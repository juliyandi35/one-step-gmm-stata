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bankan\Skripsi\"/>
    </mc:Choice>
  </mc:AlternateContent>
  <xr:revisionPtr revIDLastSave="0" documentId="13_ncr:1_{DFE3DEA0-E32E-4573-A65F-68E86A79B5A2}" xr6:coauthVersionLast="47" xr6:coauthVersionMax="47" xr10:uidLastSave="{00000000-0000-0000-0000-000000000000}"/>
  <bookViews>
    <workbookView xWindow="-120" yWindow="-120" windowWidth="20730" windowHeight="11040" xr2:uid="{D16F08FC-BFE8-40E8-99E4-29B402AF7271}"/>
  </bookViews>
  <sheets>
    <sheet name="pake yang ini" sheetId="19" r:id="rId1"/>
    <sheet name="2018" sheetId="14" r:id="rId2"/>
    <sheet name="coba" sheetId="11" r:id="rId3"/>
    <sheet name="2019" sheetId="15" r:id="rId4"/>
    <sheet name="2020" sheetId="16" r:id="rId5"/>
    <sheet name="2021" sheetId="17" r:id="rId6"/>
    <sheet name="2022" sheetId="18" r:id="rId7"/>
    <sheet name="Sheet1" sheetId="1" r:id="rId8"/>
    <sheet name="URUTAN ASET" sheetId="12" r:id="rId9"/>
    <sheet name="Sheet9" sheetId="9" r:id="rId10"/>
    <sheet name="ckpn" sheetId="10" r:id="rId11"/>
    <sheet name="loangrowth" sheetId="2" r:id="rId12"/>
    <sheet name="loangrowth1" sheetId="3" r:id="rId13"/>
    <sheet name="loangrowth2" sheetId="7" r:id="rId14"/>
    <sheet name="lar" sheetId="4" r:id="rId15"/>
    <sheet name="aset2017-2022" sheetId="5" r:id="rId16"/>
    <sheet name="bank size" sheetId="8" r:id="rId17"/>
    <sheet name="aset2018-2022" sheetId="6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12" l="1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7" i="12"/>
  <c r="L6" i="12"/>
  <c r="L5" i="12"/>
  <c r="L4" i="12"/>
  <c r="L2" i="12"/>
  <c r="L1" i="12"/>
  <c r="U315" i="11"/>
  <c r="C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1" i="12"/>
  <c r="G15" i="12" s="1"/>
  <c r="N3" i="11"/>
  <c r="O3" i="11"/>
  <c r="P3" i="11"/>
  <c r="Q3" i="11"/>
  <c r="R3" i="11"/>
  <c r="S3" i="11"/>
  <c r="T3" i="11"/>
  <c r="U3" i="11"/>
  <c r="N4" i="11"/>
  <c r="O4" i="11"/>
  <c r="P4" i="11"/>
  <c r="Q4" i="11"/>
  <c r="R4" i="11"/>
  <c r="S4" i="11"/>
  <c r="T4" i="11"/>
  <c r="U4" i="11"/>
  <c r="N5" i="11"/>
  <c r="O5" i="11"/>
  <c r="P5" i="11"/>
  <c r="Q5" i="11"/>
  <c r="R5" i="11"/>
  <c r="S5" i="11"/>
  <c r="T5" i="11"/>
  <c r="U5" i="11"/>
  <c r="N6" i="11"/>
  <c r="O6" i="11"/>
  <c r="P6" i="11"/>
  <c r="Q6" i="11"/>
  <c r="R6" i="11"/>
  <c r="S6" i="11"/>
  <c r="T6" i="11"/>
  <c r="U6" i="11"/>
  <c r="N7" i="11"/>
  <c r="O7" i="11"/>
  <c r="P7" i="11"/>
  <c r="Q7" i="11"/>
  <c r="R7" i="11"/>
  <c r="S7" i="11"/>
  <c r="T7" i="11"/>
  <c r="U7" i="11"/>
  <c r="N8" i="11"/>
  <c r="O8" i="11"/>
  <c r="P8" i="11"/>
  <c r="Q8" i="11"/>
  <c r="R8" i="11"/>
  <c r="S8" i="11"/>
  <c r="T8" i="11"/>
  <c r="U8" i="11"/>
  <c r="N9" i="11"/>
  <c r="O9" i="11"/>
  <c r="P9" i="11"/>
  <c r="Q9" i="11"/>
  <c r="R9" i="11"/>
  <c r="S9" i="11"/>
  <c r="T9" i="11"/>
  <c r="U9" i="11"/>
  <c r="N10" i="11"/>
  <c r="O10" i="11"/>
  <c r="P10" i="11"/>
  <c r="Q10" i="11"/>
  <c r="R10" i="11"/>
  <c r="S10" i="11"/>
  <c r="T10" i="11"/>
  <c r="U10" i="11"/>
  <c r="N11" i="11"/>
  <c r="O11" i="11"/>
  <c r="P11" i="11"/>
  <c r="Q11" i="11"/>
  <c r="R11" i="11"/>
  <c r="S11" i="11"/>
  <c r="T11" i="11"/>
  <c r="U11" i="11"/>
  <c r="N12" i="11"/>
  <c r="O12" i="11"/>
  <c r="P12" i="11"/>
  <c r="Q12" i="11"/>
  <c r="R12" i="11"/>
  <c r="S12" i="11"/>
  <c r="T12" i="11"/>
  <c r="U12" i="11"/>
  <c r="N13" i="11"/>
  <c r="O13" i="11"/>
  <c r="P13" i="11"/>
  <c r="Q13" i="11"/>
  <c r="R13" i="11"/>
  <c r="S13" i="11"/>
  <c r="T13" i="11"/>
  <c r="U13" i="11"/>
  <c r="N14" i="11"/>
  <c r="O14" i="11"/>
  <c r="P14" i="11"/>
  <c r="Q14" i="11"/>
  <c r="R14" i="11"/>
  <c r="S14" i="11"/>
  <c r="T14" i="11"/>
  <c r="U14" i="11"/>
  <c r="N15" i="11"/>
  <c r="O15" i="11"/>
  <c r="P15" i="11"/>
  <c r="Q15" i="11"/>
  <c r="R15" i="11"/>
  <c r="S15" i="11"/>
  <c r="T15" i="11"/>
  <c r="U15" i="11"/>
  <c r="N16" i="11"/>
  <c r="O16" i="11"/>
  <c r="P16" i="11"/>
  <c r="Q16" i="11"/>
  <c r="R16" i="11"/>
  <c r="S16" i="11"/>
  <c r="T16" i="11"/>
  <c r="U16" i="11"/>
  <c r="N17" i="11"/>
  <c r="O17" i="11"/>
  <c r="P17" i="11"/>
  <c r="Q17" i="11"/>
  <c r="R17" i="11"/>
  <c r="S17" i="11"/>
  <c r="T17" i="11"/>
  <c r="U17" i="11"/>
  <c r="N18" i="11"/>
  <c r="O18" i="11"/>
  <c r="P18" i="11"/>
  <c r="Q18" i="11"/>
  <c r="R18" i="11"/>
  <c r="S18" i="11"/>
  <c r="T18" i="11"/>
  <c r="U18" i="11"/>
  <c r="N19" i="11"/>
  <c r="O19" i="11"/>
  <c r="P19" i="11"/>
  <c r="Q19" i="11"/>
  <c r="R19" i="11"/>
  <c r="S19" i="11"/>
  <c r="T19" i="11"/>
  <c r="U19" i="11"/>
  <c r="N20" i="11"/>
  <c r="O20" i="11"/>
  <c r="P20" i="11"/>
  <c r="Q20" i="11"/>
  <c r="R20" i="11"/>
  <c r="S20" i="11"/>
  <c r="T20" i="11"/>
  <c r="U20" i="11"/>
  <c r="N21" i="11"/>
  <c r="O21" i="11"/>
  <c r="P21" i="11"/>
  <c r="Q21" i="11"/>
  <c r="R21" i="11"/>
  <c r="S21" i="11"/>
  <c r="T21" i="11"/>
  <c r="U21" i="11"/>
  <c r="N22" i="11"/>
  <c r="O22" i="11"/>
  <c r="P22" i="11"/>
  <c r="Q22" i="11"/>
  <c r="R22" i="11"/>
  <c r="S22" i="11"/>
  <c r="T22" i="11"/>
  <c r="U22" i="11"/>
  <c r="N23" i="11"/>
  <c r="O23" i="11"/>
  <c r="P23" i="11"/>
  <c r="Q23" i="11"/>
  <c r="R23" i="11"/>
  <c r="S23" i="11"/>
  <c r="T23" i="11"/>
  <c r="U23" i="11"/>
  <c r="N24" i="11"/>
  <c r="O24" i="11"/>
  <c r="P24" i="11"/>
  <c r="Q24" i="11"/>
  <c r="R24" i="11"/>
  <c r="S24" i="11"/>
  <c r="T24" i="11"/>
  <c r="U24" i="11"/>
  <c r="N25" i="11"/>
  <c r="O25" i="11"/>
  <c r="P25" i="11"/>
  <c r="Q25" i="11"/>
  <c r="R25" i="11"/>
  <c r="S25" i="11"/>
  <c r="T25" i="11"/>
  <c r="U25" i="11"/>
  <c r="N26" i="11"/>
  <c r="O26" i="11"/>
  <c r="P26" i="11"/>
  <c r="Q26" i="11"/>
  <c r="R26" i="11"/>
  <c r="S26" i="11"/>
  <c r="T26" i="11"/>
  <c r="U26" i="11"/>
  <c r="N27" i="11"/>
  <c r="O27" i="11"/>
  <c r="P27" i="11"/>
  <c r="Q27" i="11"/>
  <c r="R27" i="11"/>
  <c r="S27" i="11"/>
  <c r="T27" i="11"/>
  <c r="U27" i="11"/>
  <c r="N28" i="11"/>
  <c r="O28" i="11"/>
  <c r="P28" i="11"/>
  <c r="Q28" i="11"/>
  <c r="R28" i="11"/>
  <c r="S28" i="11"/>
  <c r="T28" i="11"/>
  <c r="U28" i="11"/>
  <c r="N29" i="11"/>
  <c r="O29" i="11"/>
  <c r="P29" i="11"/>
  <c r="Q29" i="11"/>
  <c r="R29" i="11"/>
  <c r="S29" i="11"/>
  <c r="T29" i="11"/>
  <c r="U29" i="11"/>
  <c r="N30" i="11"/>
  <c r="O30" i="11"/>
  <c r="P30" i="11"/>
  <c r="Q30" i="11"/>
  <c r="R30" i="11"/>
  <c r="S30" i="11"/>
  <c r="T30" i="11"/>
  <c r="U30" i="11"/>
  <c r="N31" i="11"/>
  <c r="O31" i="11"/>
  <c r="P31" i="11"/>
  <c r="Q31" i="11"/>
  <c r="R31" i="11"/>
  <c r="S31" i="11"/>
  <c r="T31" i="11"/>
  <c r="U31" i="11"/>
  <c r="N32" i="11"/>
  <c r="O32" i="11"/>
  <c r="P32" i="11"/>
  <c r="Q32" i="11"/>
  <c r="R32" i="11"/>
  <c r="S32" i="11"/>
  <c r="T32" i="11"/>
  <c r="U32" i="11"/>
  <c r="N33" i="11"/>
  <c r="O33" i="11"/>
  <c r="P33" i="11"/>
  <c r="Q33" i="11"/>
  <c r="R33" i="11"/>
  <c r="S33" i="11"/>
  <c r="T33" i="11"/>
  <c r="U33" i="11"/>
  <c r="N34" i="11"/>
  <c r="O34" i="11"/>
  <c r="P34" i="11"/>
  <c r="Q34" i="11"/>
  <c r="R34" i="11"/>
  <c r="S34" i="11"/>
  <c r="T34" i="11"/>
  <c r="U34" i="11"/>
  <c r="N35" i="11"/>
  <c r="O35" i="11"/>
  <c r="P35" i="11"/>
  <c r="Q35" i="11"/>
  <c r="R35" i="11"/>
  <c r="S35" i="11"/>
  <c r="T35" i="11"/>
  <c r="U35" i="11"/>
  <c r="N36" i="11"/>
  <c r="O36" i="11"/>
  <c r="P36" i="11"/>
  <c r="Q36" i="11"/>
  <c r="R36" i="11"/>
  <c r="S36" i="11"/>
  <c r="T36" i="11"/>
  <c r="U36" i="11"/>
  <c r="N37" i="11"/>
  <c r="O37" i="11"/>
  <c r="P37" i="11"/>
  <c r="Q37" i="11"/>
  <c r="R37" i="11"/>
  <c r="S37" i="11"/>
  <c r="T37" i="11"/>
  <c r="U37" i="11"/>
  <c r="N38" i="11"/>
  <c r="O38" i="11"/>
  <c r="P38" i="11"/>
  <c r="Q38" i="11"/>
  <c r="R38" i="11"/>
  <c r="S38" i="11"/>
  <c r="T38" i="11"/>
  <c r="U38" i="11"/>
  <c r="N39" i="11"/>
  <c r="O39" i="11"/>
  <c r="P39" i="11"/>
  <c r="Q39" i="11"/>
  <c r="R39" i="11"/>
  <c r="S39" i="11"/>
  <c r="T39" i="11"/>
  <c r="U39" i="11"/>
  <c r="N40" i="11"/>
  <c r="O40" i="11"/>
  <c r="P40" i="11"/>
  <c r="Q40" i="11"/>
  <c r="R40" i="11"/>
  <c r="S40" i="11"/>
  <c r="T40" i="11"/>
  <c r="U40" i="11"/>
  <c r="N41" i="11"/>
  <c r="O41" i="11"/>
  <c r="P41" i="11"/>
  <c r="Q41" i="11"/>
  <c r="R41" i="11"/>
  <c r="S41" i="11"/>
  <c r="T41" i="11"/>
  <c r="U41" i="11"/>
  <c r="N42" i="11"/>
  <c r="O42" i="11"/>
  <c r="P42" i="11"/>
  <c r="Q42" i="11"/>
  <c r="R42" i="11"/>
  <c r="S42" i="11"/>
  <c r="T42" i="11"/>
  <c r="U42" i="11"/>
  <c r="N43" i="11"/>
  <c r="O43" i="11"/>
  <c r="P43" i="11"/>
  <c r="Q43" i="11"/>
  <c r="R43" i="11"/>
  <c r="S43" i="11"/>
  <c r="T43" i="11"/>
  <c r="U43" i="11"/>
  <c r="N44" i="11"/>
  <c r="O44" i="11"/>
  <c r="P44" i="11"/>
  <c r="Q44" i="11"/>
  <c r="R44" i="11"/>
  <c r="S44" i="11"/>
  <c r="T44" i="11"/>
  <c r="U44" i="11"/>
  <c r="N45" i="11"/>
  <c r="O45" i="11"/>
  <c r="P45" i="11"/>
  <c r="Q45" i="11"/>
  <c r="R45" i="11"/>
  <c r="S45" i="11"/>
  <c r="T45" i="11"/>
  <c r="U45" i="11"/>
  <c r="N46" i="11"/>
  <c r="O46" i="11"/>
  <c r="P46" i="11"/>
  <c r="Q46" i="11"/>
  <c r="R46" i="11"/>
  <c r="S46" i="11"/>
  <c r="T46" i="11"/>
  <c r="U46" i="11"/>
  <c r="N47" i="11"/>
  <c r="O47" i="11"/>
  <c r="P47" i="11"/>
  <c r="Q47" i="11"/>
  <c r="R47" i="11"/>
  <c r="S47" i="11"/>
  <c r="T47" i="11"/>
  <c r="U47" i="11"/>
  <c r="N48" i="11"/>
  <c r="O48" i="11"/>
  <c r="P48" i="11"/>
  <c r="Q48" i="11"/>
  <c r="R48" i="11"/>
  <c r="S48" i="11"/>
  <c r="T48" i="11"/>
  <c r="U48" i="11"/>
  <c r="N49" i="11"/>
  <c r="O49" i="11"/>
  <c r="P49" i="11"/>
  <c r="Q49" i="11"/>
  <c r="R49" i="11"/>
  <c r="S49" i="11"/>
  <c r="T49" i="11"/>
  <c r="U49" i="11"/>
  <c r="N50" i="11"/>
  <c r="O50" i="11"/>
  <c r="P50" i="11"/>
  <c r="Q50" i="11"/>
  <c r="R50" i="11"/>
  <c r="S50" i="11"/>
  <c r="T50" i="11"/>
  <c r="U50" i="11"/>
  <c r="N51" i="11"/>
  <c r="O51" i="11"/>
  <c r="P51" i="11"/>
  <c r="Q51" i="11"/>
  <c r="R51" i="11"/>
  <c r="S51" i="11"/>
  <c r="T51" i="11"/>
  <c r="U51" i="11"/>
  <c r="N52" i="11"/>
  <c r="O52" i="11"/>
  <c r="P52" i="11"/>
  <c r="Q52" i="11"/>
  <c r="R52" i="11"/>
  <c r="S52" i="11"/>
  <c r="T52" i="11"/>
  <c r="U52" i="11"/>
  <c r="N53" i="11"/>
  <c r="O53" i="11"/>
  <c r="P53" i="11"/>
  <c r="Q53" i="11"/>
  <c r="R53" i="11"/>
  <c r="S53" i="11"/>
  <c r="T53" i="11"/>
  <c r="U53" i="11"/>
  <c r="N54" i="11"/>
  <c r="O54" i="11"/>
  <c r="P54" i="11"/>
  <c r="Q54" i="11"/>
  <c r="R54" i="11"/>
  <c r="S54" i="11"/>
  <c r="T54" i="11"/>
  <c r="U54" i="11"/>
  <c r="N55" i="11"/>
  <c r="O55" i="11"/>
  <c r="P55" i="11"/>
  <c r="Q55" i="11"/>
  <c r="R55" i="11"/>
  <c r="S55" i="11"/>
  <c r="T55" i="11"/>
  <c r="U55" i="11"/>
  <c r="N56" i="11"/>
  <c r="O56" i="11"/>
  <c r="P56" i="11"/>
  <c r="Q56" i="11"/>
  <c r="R56" i="11"/>
  <c r="S56" i="11"/>
  <c r="T56" i="11"/>
  <c r="U56" i="11"/>
  <c r="N57" i="11"/>
  <c r="O57" i="11"/>
  <c r="P57" i="11"/>
  <c r="Q57" i="11"/>
  <c r="R57" i="11"/>
  <c r="S57" i="11"/>
  <c r="T57" i="11"/>
  <c r="U57" i="11"/>
  <c r="N58" i="11"/>
  <c r="O58" i="11"/>
  <c r="P58" i="11"/>
  <c r="Q58" i="11"/>
  <c r="R58" i="11"/>
  <c r="S58" i="11"/>
  <c r="T58" i="11"/>
  <c r="U58" i="11"/>
  <c r="N59" i="11"/>
  <c r="O59" i="11"/>
  <c r="P59" i="11"/>
  <c r="Q59" i="11"/>
  <c r="R59" i="11"/>
  <c r="S59" i="11"/>
  <c r="T59" i="11"/>
  <c r="U59" i="11"/>
  <c r="N60" i="11"/>
  <c r="O60" i="11"/>
  <c r="P60" i="11"/>
  <c r="Q60" i="11"/>
  <c r="R60" i="11"/>
  <c r="S60" i="11"/>
  <c r="T60" i="11"/>
  <c r="U60" i="11"/>
  <c r="N61" i="11"/>
  <c r="O61" i="11"/>
  <c r="P61" i="11"/>
  <c r="Q61" i="11"/>
  <c r="R61" i="11"/>
  <c r="S61" i="11"/>
  <c r="T61" i="11"/>
  <c r="U61" i="11"/>
  <c r="N62" i="11"/>
  <c r="O62" i="11"/>
  <c r="P62" i="11"/>
  <c r="Q62" i="11"/>
  <c r="R62" i="11"/>
  <c r="S62" i="11"/>
  <c r="T62" i="11"/>
  <c r="U62" i="11"/>
  <c r="N63" i="11"/>
  <c r="O63" i="11"/>
  <c r="P63" i="11"/>
  <c r="Q63" i="11"/>
  <c r="R63" i="11"/>
  <c r="S63" i="11"/>
  <c r="T63" i="11"/>
  <c r="U63" i="11"/>
  <c r="N64" i="11"/>
  <c r="O64" i="11"/>
  <c r="P64" i="11"/>
  <c r="Q64" i="11"/>
  <c r="R64" i="11"/>
  <c r="S64" i="11"/>
  <c r="T64" i="11"/>
  <c r="U64" i="11"/>
  <c r="N65" i="11"/>
  <c r="O65" i="11"/>
  <c r="P65" i="11"/>
  <c r="Q65" i="11"/>
  <c r="R65" i="11"/>
  <c r="S65" i="11"/>
  <c r="T65" i="11"/>
  <c r="U65" i="11"/>
  <c r="N66" i="11"/>
  <c r="O66" i="11"/>
  <c r="P66" i="11"/>
  <c r="Q66" i="11"/>
  <c r="R66" i="11"/>
  <c r="S66" i="11"/>
  <c r="T66" i="11"/>
  <c r="U66" i="11"/>
  <c r="N67" i="11"/>
  <c r="O67" i="11"/>
  <c r="P67" i="11"/>
  <c r="Q67" i="11"/>
  <c r="R67" i="11"/>
  <c r="S67" i="11"/>
  <c r="T67" i="11"/>
  <c r="U67" i="11"/>
  <c r="N68" i="11"/>
  <c r="O68" i="11"/>
  <c r="P68" i="11"/>
  <c r="Q68" i="11"/>
  <c r="R68" i="11"/>
  <c r="S68" i="11"/>
  <c r="T68" i="11"/>
  <c r="U68" i="11"/>
  <c r="N69" i="11"/>
  <c r="O69" i="11"/>
  <c r="P69" i="11"/>
  <c r="Q69" i="11"/>
  <c r="R69" i="11"/>
  <c r="S69" i="11"/>
  <c r="T69" i="11"/>
  <c r="U69" i="11"/>
  <c r="N70" i="11"/>
  <c r="O70" i="11"/>
  <c r="P70" i="11"/>
  <c r="Q70" i="11"/>
  <c r="R70" i="11"/>
  <c r="S70" i="11"/>
  <c r="T70" i="11"/>
  <c r="U70" i="11"/>
  <c r="N71" i="11"/>
  <c r="O71" i="11"/>
  <c r="P71" i="11"/>
  <c r="Q71" i="11"/>
  <c r="R71" i="11"/>
  <c r="S71" i="11"/>
  <c r="T71" i="11"/>
  <c r="U71" i="11"/>
  <c r="N72" i="11"/>
  <c r="O72" i="11"/>
  <c r="P72" i="11"/>
  <c r="Q72" i="11"/>
  <c r="R72" i="11"/>
  <c r="S72" i="11"/>
  <c r="T72" i="11"/>
  <c r="U72" i="11"/>
  <c r="N73" i="11"/>
  <c r="O73" i="11"/>
  <c r="P73" i="11"/>
  <c r="Q73" i="11"/>
  <c r="R73" i="11"/>
  <c r="S73" i="11"/>
  <c r="T73" i="11"/>
  <c r="U73" i="11"/>
  <c r="N74" i="11"/>
  <c r="O74" i="11"/>
  <c r="P74" i="11"/>
  <c r="Q74" i="11"/>
  <c r="R74" i="11"/>
  <c r="S74" i="11"/>
  <c r="T74" i="11"/>
  <c r="U74" i="11"/>
  <c r="N75" i="11"/>
  <c r="O75" i="11"/>
  <c r="P75" i="11"/>
  <c r="Q75" i="11"/>
  <c r="R75" i="11"/>
  <c r="S75" i="11"/>
  <c r="T75" i="11"/>
  <c r="U75" i="11"/>
  <c r="N76" i="11"/>
  <c r="O76" i="11"/>
  <c r="P76" i="11"/>
  <c r="Q76" i="11"/>
  <c r="R76" i="11"/>
  <c r="S76" i="11"/>
  <c r="T76" i="11"/>
  <c r="U76" i="11"/>
  <c r="N77" i="11"/>
  <c r="O77" i="11"/>
  <c r="P77" i="11"/>
  <c r="Q77" i="11"/>
  <c r="R77" i="11"/>
  <c r="S77" i="11"/>
  <c r="T77" i="11"/>
  <c r="U77" i="11"/>
  <c r="N78" i="11"/>
  <c r="O78" i="11"/>
  <c r="P78" i="11"/>
  <c r="Q78" i="11"/>
  <c r="R78" i="11"/>
  <c r="S78" i="11"/>
  <c r="T78" i="11"/>
  <c r="U78" i="11"/>
  <c r="N79" i="11"/>
  <c r="O79" i="11"/>
  <c r="P79" i="11"/>
  <c r="Q79" i="11"/>
  <c r="R79" i="11"/>
  <c r="S79" i="11"/>
  <c r="T79" i="11"/>
  <c r="U79" i="11"/>
  <c r="N80" i="11"/>
  <c r="O80" i="11"/>
  <c r="P80" i="11"/>
  <c r="Q80" i="11"/>
  <c r="R80" i="11"/>
  <c r="S80" i="11"/>
  <c r="T80" i="11"/>
  <c r="U80" i="11"/>
  <c r="N81" i="11"/>
  <c r="O81" i="11"/>
  <c r="P81" i="11"/>
  <c r="Q81" i="11"/>
  <c r="R81" i="11"/>
  <c r="S81" i="11"/>
  <c r="T81" i="11"/>
  <c r="U81" i="11"/>
  <c r="N82" i="11"/>
  <c r="O82" i="11"/>
  <c r="P82" i="11"/>
  <c r="Q82" i="11"/>
  <c r="R82" i="11"/>
  <c r="S82" i="11"/>
  <c r="T82" i="11"/>
  <c r="U82" i="11"/>
  <c r="N83" i="11"/>
  <c r="O83" i="11"/>
  <c r="P83" i="11"/>
  <c r="Q83" i="11"/>
  <c r="R83" i="11"/>
  <c r="S83" i="11"/>
  <c r="T83" i="11"/>
  <c r="U83" i="11"/>
  <c r="N84" i="11"/>
  <c r="O84" i="11"/>
  <c r="P84" i="11"/>
  <c r="Q84" i="11"/>
  <c r="R84" i="11"/>
  <c r="S84" i="11"/>
  <c r="T84" i="11"/>
  <c r="U84" i="11"/>
  <c r="N85" i="11"/>
  <c r="O85" i="11"/>
  <c r="P85" i="11"/>
  <c r="Q85" i="11"/>
  <c r="R85" i="11"/>
  <c r="S85" i="11"/>
  <c r="T85" i="11"/>
  <c r="U85" i="11"/>
  <c r="N86" i="11"/>
  <c r="O86" i="11"/>
  <c r="P86" i="11"/>
  <c r="Q86" i="11"/>
  <c r="R86" i="11"/>
  <c r="S86" i="11"/>
  <c r="T86" i="11"/>
  <c r="U86" i="11"/>
  <c r="N87" i="11"/>
  <c r="O87" i="11"/>
  <c r="P87" i="11"/>
  <c r="Q87" i="11"/>
  <c r="R87" i="11"/>
  <c r="S87" i="11"/>
  <c r="T87" i="11"/>
  <c r="U87" i="11"/>
  <c r="N88" i="11"/>
  <c r="O88" i="11"/>
  <c r="P88" i="11"/>
  <c r="Q88" i="11"/>
  <c r="R88" i="11"/>
  <c r="S88" i="11"/>
  <c r="T88" i="11"/>
  <c r="U88" i="11"/>
  <c r="N89" i="11"/>
  <c r="O89" i="11"/>
  <c r="P89" i="11"/>
  <c r="Q89" i="11"/>
  <c r="R89" i="11"/>
  <c r="S89" i="11"/>
  <c r="T89" i="11"/>
  <c r="U89" i="11"/>
  <c r="N90" i="11"/>
  <c r="O90" i="11"/>
  <c r="P90" i="11"/>
  <c r="Q90" i="11"/>
  <c r="R90" i="11"/>
  <c r="S90" i="11"/>
  <c r="T90" i="11"/>
  <c r="U90" i="11"/>
  <c r="N91" i="11"/>
  <c r="O91" i="11"/>
  <c r="P91" i="11"/>
  <c r="Q91" i="11"/>
  <c r="R91" i="11"/>
  <c r="S91" i="11"/>
  <c r="T91" i="11"/>
  <c r="U91" i="11"/>
  <c r="N92" i="11"/>
  <c r="O92" i="11"/>
  <c r="P92" i="11"/>
  <c r="Q92" i="11"/>
  <c r="R92" i="11"/>
  <c r="S92" i="11"/>
  <c r="T92" i="11"/>
  <c r="U92" i="11"/>
  <c r="N93" i="11"/>
  <c r="O93" i="11"/>
  <c r="P93" i="11"/>
  <c r="Q93" i="11"/>
  <c r="R93" i="11"/>
  <c r="S93" i="11"/>
  <c r="T93" i="11"/>
  <c r="U93" i="11"/>
  <c r="N94" i="11"/>
  <c r="O94" i="11"/>
  <c r="P94" i="11"/>
  <c r="Q94" i="11"/>
  <c r="R94" i="11"/>
  <c r="S94" i="11"/>
  <c r="T94" i="11"/>
  <c r="U94" i="11"/>
  <c r="N95" i="11"/>
  <c r="O95" i="11"/>
  <c r="P95" i="11"/>
  <c r="Q95" i="11"/>
  <c r="R95" i="11"/>
  <c r="S95" i="11"/>
  <c r="T95" i="11"/>
  <c r="U95" i="11"/>
  <c r="N96" i="11"/>
  <c r="O96" i="11"/>
  <c r="P96" i="11"/>
  <c r="Q96" i="11"/>
  <c r="R96" i="11"/>
  <c r="S96" i="11"/>
  <c r="T96" i="11"/>
  <c r="U96" i="11"/>
  <c r="N97" i="11"/>
  <c r="O97" i="11"/>
  <c r="P97" i="11"/>
  <c r="Q97" i="11"/>
  <c r="R97" i="11"/>
  <c r="S97" i="11"/>
  <c r="T97" i="11"/>
  <c r="U97" i="11"/>
  <c r="N98" i="11"/>
  <c r="O98" i="11"/>
  <c r="P98" i="11"/>
  <c r="Q98" i="11"/>
  <c r="R98" i="11"/>
  <c r="S98" i="11"/>
  <c r="T98" i="11"/>
  <c r="U98" i="11"/>
  <c r="N99" i="11"/>
  <c r="O99" i="11"/>
  <c r="P99" i="11"/>
  <c r="Q99" i="11"/>
  <c r="R99" i="11"/>
  <c r="S99" i="11"/>
  <c r="T99" i="11"/>
  <c r="U99" i="11"/>
  <c r="N100" i="11"/>
  <c r="O100" i="11"/>
  <c r="P100" i="11"/>
  <c r="Q100" i="11"/>
  <c r="R100" i="11"/>
  <c r="S100" i="11"/>
  <c r="T100" i="11"/>
  <c r="U100" i="11"/>
  <c r="N101" i="11"/>
  <c r="O101" i="11"/>
  <c r="P101" i="11"/>
  <c r="Q101" i="11"/>
  <c r="R101" i="11"/>
  <c r="S101" i="11"/>
  <c r="T101" i="11"/>
  <c r="U101" i="11"/>
  <c r="N102" i="11"/>
  <c r="O102" i="11"/>
  <c r="P102" i="11"/>
  <c r="Q102" i="11"/>
  <c r="R102" i="11"/>
  <c r="S102" i="11"/>
  <c r="T102" i="11"/>
  <c r="U102" i="11"/>
  <c r="N103" i="11"/>
  <c r="O103" i="11"/>
  <c r="P103" i="11"/>
  <c r="Q103" i="11"/>
  <c r="R103" i="11"/>
  <c r="S103" i="11"/>
  <c r="T103" i="11"/>
  <c r="U103" i="11"/>
  <c r="N104" i="11"/>
  <c r="O104" i="11"/>
  <c r="P104" i="11"/>
  <c r="Q104" i="11"/>
  <c r="R104" i="11"/>
  <c r="S104" i="11"/>
  <c r="T104" i="11"/>
  <c r="U104" i="11"/>
  <c r="N105" i="11"/>
  <c r="O105" i="11"/>
  <c r="P105" i="11"/>
  <c r="Q105" i="11"/>
  <c r="R105" i="11"/>
  <c r="S105" i="11"/>
  <c r="T105" i="11"/>
  <c r="U105" i="11"/>
  <c r="N106" i="11"/>
  <c r="O106" i="11"/>
  <c r="P106" i="11"/>
  <c r="Q106" i="11"/>
  <c r="R106" i="11"/>
  <c r="S106" i="11"/>
  <c r="T106" i="11"/>
  <c r="U106" i="11"/>
  <c r="N107" i="11"/>
  <c r="O107" i="11"/>
  <c r="P107" i="11"/>
  <c r="Q107" i="11"/>
  <c r="R107" i="11"/>
  <c r="S107" i="11"/>
  <c r="T107" i="11"/>
  <c r="U107" i="11"/>
  <c r="N108" i="11"/>
  <c r="O108" i="11"/>
  <c r="P108" i="11"/>
  <c r="Q108" i="11"/>
  <c r="R108" i="11"/>
  <c r="S108" i="11"/>
  <c r="T108" i="11"/>
  <c r="U108" i="11"/>
  <c r="N109" i="11"/>
  <c r="O109" i="11"/>
  <c r="P109" i="11"/>
  <c r="Q109" i="11"/>
  <c r="R109" i="11"/>
  <c r="S109" i="11"/>
  <c r="T109" i="11"/>
  <c r="U109" i="11"/>
  <c r="N110" i="11"/>
  <c r="O110" i="11"/>
  <c r="P110" i="11"/>
  <c r="Q110" i="11"/>
  <c r="R110" i="11"/>
  <c r="S110" i="11"/>
  <c r="T110" i="11"/>
  <c r="U110" i="11"/>
  <c r="N111" i="11"/>
  <c r="O111" i="11"/>
  <c r="P111" i="11"/>
  <c r="Q111" i="11"/>
  <c r="R111" i="11"/>
  <c r="S111" i="11"/>
  <c r="T111" i="11"/>
  <c r="U111" i="11"/>
  <c r="N112" i="11"/>
  <c r="O112" i="11"/>
  <c r="P112" i="11"/>
  <c r="Q112" i="11"/>
  <c r="R112" i="11"/>
  <c r="S112" i="11"/>
  <c r="T112" i="11"/>
  <c r="U112" i="11"/>
  <c r="N113" i="11"/>
  <c r="O113" i="11"/>
  <c r="P113" i="11"/>
  <c r="Q113" i="11"/>
  <c r="R113" i="11"/>
  <c r="S113" i="11"/>
  <c r="T113" i="11"/>
  <c r="U113" i="11"/>
  <c r="N114" i="11"/>
  <c r="O114" i="11"/>
  <c r="P114" i="11"/>
  <c r="Q114" i="11"/>
  <c r="R114" i="11"/>
  <c r="S114" i="11"/>
  <c r="T114" i="11"/>
  <c r="U114" i="11"/>
  <c r="N115" i="11"/>
  <c r="O115" i="11"/>
  <c r="P115" i="11"/>
  <c r="Q115" i="11"/>
  <c r="R115" i="11"/>
  <c r="S115" i="11"/>
  <c r="T115" i="11"/>
  <c r="U115" i="11"/>
  <c r="N116" i="11"/>
  <c r="O116" i="11"/>
  <c r="P116" i="11"/>
  <c r="Q116" i="11"/>
  <c r="R116" i="11"/>
  <c r="S116" i="11"/>
  <c r="T116" i="11"/>
  <c r="U116" i="11"/>
  <c r="N117" i="11"/>
  <c r="O117" i="11"/>
  <c r="P117" i="11"/>
  <c r="Q117" i="11"/>
  <c r="R117" i="11"/>
  <c r="S117" i="11"/>
  <c r="T117" i="11"/>
  <c r="U117" i="11"/>
  <c r="N118" i="11"/>
  <c r="O118" i="11"/>
  <c r="P118" i="11"/>
  <c r="Q118" i="11"/>
  <c r="R118" i="11"/>
  <c r="S118" i="11"/>
  <c r="T118" i="11"/>
  <c r="U118" i="11"/>
  <c r="N119" i="11"/>
  <c r="O119" i="11"/>
  <c r="P119" i="11"/>
  <c r="Q119" i="11"/>
  <c r="R119" i="11"/>
  <c r="S119" i="11"/>
  <c r="T119" i="11"/>
  <c r="U119" i="11"/>
  <c r="N120" i="11"/>
  <c r="O120" i="11"/>
  <c r="P120" i="11"/>
  <c r="Q120" i="11"/>
  <c r="R120" i="11"/>
  <c r="S120" i="11"/>
  <c r="T120" i="11"/>
  <c r="U120" i="11"/>
  <c r="N121" i="11"/>
  <c r="O121" i="11"/>
  <c r="P121" i="11"/>
  <c r="Q121" i="11"/>
  <c r="R121" i="11"/>
  <c r="S121" i="11"/>
  <c r="T121" i="11"/>
  <c r="U121" i="11"/>
  <c r="N122" i="11"/>
  <c r="O122" i="11"/>
  <c r="P122" i="11"/>
  <c r="Q122" i="11"/>
  <c r="R122" i="11"/>
  <c r="S122" i="11"/>
  <c r="T122" i="11"/>
  <c r="U122" i="11"/>
  <c r="N123" i="11"/>
  <c r="O123" i="11"/>
  <c r="P123" i="11"/>
  <c r="Q123" i="11"/>
  <c r="R123" i="11"/>
  <c r="S123" i="11"/>
  <c r="T123" i="11"/>
  <c r="U123" i="11"/>
  <c r="N124" i="11"/>
  <c r="O124" i="11"/>
  <c r="P124" i="11"/>
  <c r="Q124" i="11"/>
  <c r="R124" i="11"/>
  <c r="S124" i="11"/>
  <c r="T124" i="11"/>
  <c r="U124" i="11"/>
  <c r="N125" i="11"/>
  <c r="O125" i="11"/>
  <c r="P125" i="11"/>
  <c r="Q125" i="11"/>
  <c r="R125" i="11"/>
  <c r="S125" i="11"/>
  <c r="T125" i="11"/>
  <c r="U125" i="11"/>
  <c r="N126" i="11"/>
  <c r="O126" i="11"/>
  <c r="P126" i="11"/>
  <c r="Q126" i="11"/>
  <c r="R126" i="11"/>
  <c r="S126" i="11"/>
  <c r="T126" i="11"/>
  <c r="U126" i="11"/>
  <c r="N127" i="11"/>
  <c r="O127" i="11"/>
  <c r="P127" i="11"/>
  <c r="Q127" i="11"/>
  <c r="R127" i="11"/>
  <c r="S127" i="11"/>
  <c r="T127" i="11"/>
  <c r="U127" i="11"/>
  <c r="N128" i="11"/>
  <c r="O128" i="11"/>
  <c r="P128" i="11"/>
  <c r="Q128" i="11"/>
  <c r="R128" i="11"/>
  <c r="S128" i="11"/>
  <c r="T128" i="11"/>
  <c r="U128" i="11"/>
  <c r="N129" i="11"/>
  <c r="O129" i="11"/>
  <c r="P129" i="11"/>
  <c r="Q129" i="11"/>
  <c r="R129" i="11"/>
  <c r="S129" i="11"/>
  <c r="T129" i="11"/>
  <c r="U129" i="11"/>
  <c r="N130" i="11"/>
  <c r="O130" i="11"/>
  <c r="P130" i="11"/>
  <c r="Q130" i="11"/>
  <c r="R130" i="11"/>
  <c r="S130" i="11"/>
  <c r="T130" i="11"/>
  <c r="U130" i="11"/>
  <c r="N131" i="11"/>
  <c r="O131" i="11"/>
  <c r="P131" i="11"/>
  <c r="Q131" i="11"/>
  <c r="R131" i="11"/>
  <c r="S131" i="11"/>
  <c r="T131" i="11"/>
  <c r="U131" i="11"/>
  <c r="N132" i="11"/>
  <c r="O132" i="11"/>
  <c r="P132" i="11"/>
  <c r="Q132" i="11"/>
  <c r="R132" i="11"/>
  <c r="S132" i="11"/>
  <c r="T132" i="11"/>
  <c r="U132" i="11"/>
  <c r="N133" i="11"/>
  <c r="O133" i="11"/>
  <c r="P133" i="11"/>
  <c r="Q133" i="11"/>
  <c r="R133" i="11"/>
  <c r="S133" i="11"/>
  <c r="T133" i="11"/>
  <c r="U133" i="11"/>
  <c r="N134" i="11"/>
  <c r="O134" i="11"/>
  <c r="P134" i="11"/>
  <c r="Q134" i="11"/>
  <c r="R134" i="11"/>
  <c r="S134" i="11"/>
  <c r="T134" i="11"/>
  <c r="U134" i="11"/>
  <c r="N135" i="11"/>
  <c r="O135" i="11"/>
  <c r="P135" i="11"/>
  <c r="Q135" i="11"/>
  <c r="R135" i="11"/>
  <c r="S135" i="11"/>
  <c r="T135" i="11"/>
  <c r="U135" i="11"/>
  <c r="N136" i="11"/>
  <c r="O136" i="11"/>
  <c r="P136" i="11"/>
  <c r="Q136" i="11"/>
  <c r="R136" i="11"/>
  <c r="S136" i="11"/>
  <c r="T136" i="11"/>
  <c r="U136" i="11"/>
  <c r="N137" i="11"/>
  <c r="O137" i="11"/>
  <c r="P137" i="11"/>
  <c r="Q137" i="11"/>
  <c r="R137" i="11"/>
  <c r="S137" i="11"/>
  <c r="T137" i="11"/>
  <c r="U137" i="11"/>
  <c r="N138" i="11"/>
  <c r="O138" i="11"/>
  <c r="P138" i="11"/>
  <c r="Q138" i="11"/>
  <c r="R138" i="11"/>
  <c r="S138" i="11"/>
  <c r="T138" i="11"/>
  <c r="U138" i="11"/>
  <c r="N139" i="11"/>
  <c r="O139" i="11"/>
  <c r="P139" i="11"/>
  <c r="Q139" i="11"/>
  <c r="R139" i="11"/>
  <c r="S139" i="11"/>
  <c r="T139" i="11"/>
  <c r="U139" i="11"/>
  <c r="N140" i="11"/>
  <c r="O140" i="11"/>
  <c r="P140" i="11"/>
  <c r="Q140" i="11"/>
  <c r="R140" i="11"/>
  <c r="S140" i="11"/>
  <c r="T140" i="11"/>
  <c r="U140" i="11"/>
  <c r="N141" i="11"/>
  <c r="O141" i="11"/>
  <c r="P141" i="11"/>
  <c r="Q141" i="11"/>
  <c r="R141" i="11"/>
  <c r="S141" i="11"/>
  <c r="T141" i="11"/>
  <c r="U141" i="11"/>
  <c r="N142" i="11"/>
  <c r="O142" i="11"/>
  <c r="P142" i="11"/>
  <c r="Q142" i="11"/>
  <c r="R142" i="11"/>
  <c r="S142" i="11"/>
  <c r="T142" i="11"/>
  <c r="U142" i="11"/>
  <c r="N143" i="11"/>
  <c r="O143" i="11"/>
  <c r="P143" i="11"/>
  <c r="Q143" i="11"/>
  <c r="R143" i="11"/>
  <c r="S143" i="11"/>
  <c r="T143" i="11"/>
  <c r="U143" i="11"/>
  <c r="N144" i="11"/>
  <c r="O144" i="11"/>
  <c r="P144" i="11"/>
  <c r="Q144" i="11"/>
  <c r="R144" i="11"/>
  <c r="S144" i="11"/>
  <c r="T144" i="11"/>
  <c r="U144" i="11"/>
  <c r="N145" i="11"/>
  <c r="O145" i="11"/>
  <c r="P145" i="11"/>
  <c r="Q145" i="11"/>
  <c r="R145" i="11"/>
  <c r="S145" i="11"/>
  <c r="T145" i="11"/>
  <c r="U145" i="11"/>
  <c r="N146" i="11"/>
  <c r="O146" i="11"/>
  <c r="P146" i="11"/>
  <c r="Q146" i="11"/>
  <c r="R146" i="11"/>
  <c r="S146" i="11"/>
  <c r="T146" i="11"/>
  <c r="U146" i="11"/>
  <c r="N147" i="11"/>
  <c r="O147" i="11"/>
  <c r="P147" i="11"/>
  <c r="Q147" i="11"/>
  <c r="R147" i="11"/>
  <c r="S147" i="11"/>
  <c r="T147" i="11"/>
  <c r="U147" i="11"/>
  <c r="N148" i="11"/>
  <c r="O148" i="11"/>
  <c r="P148" i="11"/>
  <c r="Q148" i="11"/>
  <c r="R148" i="11"/>
  <c r="S148" i="11"/>
  <c r="T148" i="11"/>
  <c r="U148" i="11"/>
  <c r="N149" i="11"/>
  <c r="O149" i="11"/>
  <c r="P149" i="11"/>
  <c r="Q149" i="11"/>
  <c r="R149" i="11"/>
  <c r="S149" i="11"/>
  <c r="T149" i="11"/>
  <c r="U149" i="11"/>
  <c r="N150" i="11"/>
  <c r="O150" i="11"/>
  <c r="P150" i="11"/>
  <c r="Q150" i="11"/>
  <c r="R150" i="11"/>
  <c r="S150" i="11"/>
  <c r="T150" i="11"/>
  <c r="U150" i="11"/>
  <c r="N151" i="11"/>
  <c r="O151" i="11"/>
  <c r="P151" i="11"/>
  <c r="Q151" i="11"/>
  <c r="R151" i="11"/>
  <c r="S151" i="11"/>
  <c r="T151" i="11"/>
  <c r="U151" i="11"/>
  <c r="N152" i="11"/>
  <c r="O152" i="11"/>
  <c r="P152" i="11"/>
  <c r="Q152" i="11"/>
  <c r="R152" i="11"/>
  <c r="S152" i="11"/>
  <c r="T152" i="11"/>
  <c r="U152" i="11"/>
  <c r="N153" i="11"/>
  <c r="O153" i="11"/>
  <c r="P153" i="11"/>
  <c r="Q153" i="11"/>
  <c r="R153" i="11"/>
  <c r="S153" i="11"/>
  <c r="T153" i="11"/>
  <c r="U153" i="11"/>
  <c r="N154" i="11"/>
  <c r="O154" i="11"/>
  <c r="P154" i="11"/>
  <c r="Q154" i="11"/>
  <c r="R154" i="11"/>
  <c r="S154" i="11"/>
  <c r="T154" i="11"/>
  <c r="U154" i="11"/>
  <c r="N155" i="11"/>
  <c r="O155" i="11"/>
  <c r="P155" i="11"/>
  <c r="Q155" i="11"/>
  <c r="R155" i="11"/>
  <c r="S155" i="11"/>
  <c r="T155" i="11"/>
  <c r="U155" i="11"/>
  <c r="N156" i="11"/>
  <c r="O156" i="11"/>
  <c r="P156" i="11"/>
  <c r="Q156" i="11"/>
  <c r="R156" i="11"/>
  <c r="S156" i="11"/>
  <c r="T156" i="11"/>
  <c r="U156" i="11"/>
  <c r="N157" i="11"/>
  <c r="O157" i="11"/>
  <c r="P157" i="11"/>
  <c r="Q157" i="11"/>
  <c r="R157" i="11"/>
  <c r="S157" i="11"/>
  <c r="T157" i="11"/>
  <c r="U157" i="11"/>
  <c r="N158" i="11"/>
  <c r="O158" i="11"/>
  <c r="P158" i="11"/>
  <c r="Q158" i="11"/>
  <c r="R158" i="11"/>
  <c r="S158" i="11"/>
  <c r="T158" i="11"/>
  <c r="U158" i="11"/>
  <c r="N159" i="11"/>
  <c r="O159" i="11"/>
  <c r="P159" i="11"/>
  <c r="Q159" i="11"/>
  <c r="R159" i="11"/>
  <c r="S159" i="11"/>
  <c r="T159" i="11"/>
  <c r="U159" i="11"/>
  <c r="N160" i="11"/>
  <c r="O160" i="11"/>
  <c r="P160" i="11"/>
  <c r="Q160" i="11"/>
  <c r="R160" i="11"/>
  <c r="S160" i="11"/>
  <c r="T160" i="11"/>
  <c r="U160" i="11"/>
  <c r="N161" i="11"/>
  <c r="O161" i="11"/>
  <c r="P161" i="11"/>
  <c r="Q161" i="11"/>
  <c r="R161" i="11"/>
  <c r="S161" i="11"/>
  <c r="T161" i="11"/>
  <c r="U161" i="11"/>
  <c r="N163" i="11"/>
  <c r="O163" i="11"/>
  <c r="P163" i="11"/>
  <c r="Q163" i="11"/>
  <c r="R163" i="11"/>
  <c r="S163" i="11"/>
  <c r="T163" i="11"/>
  <c r="U163" i="11"/>
  <c r="N164" i="11"/>
  <c r="O164" i="11"/>
  <c r="P164" i="11"/>
  <c r="Q164" i="11"/>
  <c r="R164" i="11"/>
  <c r="S164" i="11"/>
  <c r="T164" i="11"/>
  <c r="U164" i="11"/>
  <c r="N165" i="11"/>
  <c r="O165" i="11"/>
  <c r="P165" i="11"/>
  <c r="Q165" i="11"/>
  <c r="R165" i="11"/>
  <c r="S165" i="11"/>
  <c r="T165" i="11"/>
  <c r="U165" i="11"/>
  <c r="N166" i="11"/>
  <c r="O166" i="11"/>
  <c r="P166" i="11"/>
  <c r="Q166" i="11"/>
  <c r="R166" i="11"/>
  <c r="S166" i="11"/>
  <c r="T166" i="11"/>
  <c r="U166" i="11"/>
  <c r="N167" i="11"/>
  <c r="O167" i="11"/>
  <c r="P167" i="11"/>
  <c r="Q167" i="11"/>
  <c r="R167" i="11"/>
  <c r="S167" i="11"/>
  <c r="T167" i="11"/>
  <c r="U167" i="11"/>
  <c r="N168" i="11"/>
  <c r="O168" i="11"/>
  <c r="P168" i="11"/>
  <c r="Q168" i="11"/>
  <c r="R168" i="11"/>
  <c r="S168" i="11"/>
  <c r="T168" i="11"/>
  <c r="U168" i="11"/>
  <c r="N169" i="11"/>
  <c r="O169" i="11"/>
  <c r="P169" i="11"/>
  <c r="Q169" i="11"/>
  <c r="R169" i="11"/>
  <c r="S169" i="11"/>
  <c r="T169" i="11"/>
  <c r="U169" i="11"/>
  <c r="N170" i="11"/>
  <c r="O170" i="11"/>
  <c r="P170" i="11"/>
  <c r="Q170" i="11"/>
  <c r="R170" i="11"/>
  <c r="S170" i="11"/>
  <c r="T170" i="11"/>
  <c r="U170" i="11"/>
  <c r="N171" i="11"/>
  <c r="O171" i="11"/>
  <c r="P171" i="11"/>
  <c r="Q171" i="11"/>
  <c r="R171" i="11"/>
  <c r="S171" i="11"/>
  <c r="T171" i="11"/>
  <c r="U171" i="11"/>
  <c r="N172" i="11"/>
  <c r="O172" i="11"/>
  <c r="P172" i="11"/>
  <c r="Q172" i="11"/>
  <c r="R172" i="11"/>
  <c r="S172" i="11"/>
  <c r="T172" i="11"/>
  <c r="U172" i="11"/>
  <c r="N173" i="11"/>
  <c r="O173" i="11"/>
  <c r="P173" i="11"/>
  <c r="Q173" i="11"/>
  <c r="R173" i="11"/>
  <c r="S173" i="11"/>
  <c r="T173" i="11"/>
  <c r="U173" i="11"/>
  <c r="N174" i="11"/>
  <c r="O174" i="11"/>
  <c r="P174" i="11"/>
  <c r="Q174" i="11"/>
  <c r="R174" i="11"/>
  <c r="S174" i="11"/>
  <c r="T174" i="11"/>
  <c r="U174" i="11"/>
  <c r="N175" i="11"/>
  <c r="O175" i="11"/>
  <c r="P175" i="11"/>
  <c r="Q175" i="11"/>
  <c r="R175" i="11"/>
  <c r="S175" i="11"/>
  <c r="T175" i="11"/>
  <c r="U175" i="11"/>
  <c r="N176" i="11"/>
  <c r="O176" i="11"/>
  <c r="P176" i="11"/>
  <c r="Q176" i="11"/>
  <c r="R176" i="11"/>
  <c r="S176" i="11"/>
  <c r="T176" i="11"/>
  <c r="U176" i="11"/>
  <c r="N177" i="11"/>
  <c r="O177" i="11"/>
  <c r="P177" i="11"/>
  <c r="Q177" i="11"/>
  <c r="R177" i="11"/>
  <c r="S177" i="11"/>
  <c r="T177" i="11"/>
  <c r="U177" i="11"/>
  <c r="N178" i="11"/>
  <c r="O178" i="11"/>
  <c r="P178" i="11"/>
  <c r="Q178" i="11"/>
  <c r="R178" i="11"/>
  <c r="S178" i="11"/>
  <c r="T178" i="11"/>
  <c r="U178" i="11"/>
  <c r="N179" i="11"/>
  <c r="O179" i="11"/>
  <c r="P179" i="11"/>
  <c r="Q179" i="11"/>
  <c r="R179" i="11"/>
  <c r="S179" i="11"/>
  <c r="T179" i="11"/>
  <c r="U179" i="11"/>
  <c r="N180" i="11"/>
  <c r="O180" i="11"/>
  <c r="P180" i="11"/>
  <c r="Q180" i="11"/>
  <c r="R180" i="11"/>
  <c r="S180" i="11"/>
  <c r="T180" i="11"/>
  <c r="U180" i="11"/>
  <c r="N181" i="11"/>
  <c r="O181" i="11"/>
  <c r="P181" i="11"/>
  <c r="Q181" i="11"/>
  <c r="R181" i="11"/>
  <c r="S181" i="11"/>
  <c r="T181" i="11"/>
  <c r="U181" i="11"/>
  <c r="N182" i="11"/>
  <c r="O182" i="11"/>
  <c r="P182" i="11"/>
  <c r="Q182" i="11"/>
  <c r="R182" i="11"/>
  <c r="S182" i="11"/>
  <c r="T182" i="11"/>
  <c r="U182" i="11"/>
  <c r="N183" i="11"/>
  <c r="O183" i="11"/>
  <c r="P183" i="11"/>
  <c r="Q183" i="11"/>
  <c r="R183" i="11"/>
  <c r="S183" i="11"/>
  <c r="T183" i="11"/>
  <c r="U183" i="11"/>
  <c r="N184" i="11"/>
  <c r="O184" i="11"/>
  <c r="P184" i="11"/>
  <c r="Q184" i="11"/>
  <c r="R184" i="11"/>
  <c r="S184" i="11"/>
  <c r="T184" i="11"/>
  <c r="U184" i="11"/>
  <c r="N185" i="11"/>
  <c r="O185" i="11"/>
  <c r="P185" i="11"/>
  <c r="Q185" i="11"/>
  <c r="R185" i="11"/>
  <c r="S185" i="11"/>
  <c r="T185" i="11"/>
  <c r="U185" i="11"/>
  <c r="N186" i="11"/>
  <c r="O186" i="11"/>
  <c r="P186" i="11"/>
  <c r="Q186" i="11"/>
  <c r="R186" i="11"/>
  <c r="S186" i="11"/>
  <c r="T186" i="11"/>
  <c r="U186" i="11"/>
  <c r="N187" i="11"/>
  <c r="O187" i="11"/>
  <c r="P187" i="11"/>
  <c r="Q187" i="11"/>
  <c r="R187" i="11"/>
  <c r="S187" i="11"/>
  <c r="T187" i="11"/>
  <c r="U187" i="11"/>
  <c r="N188" i="11"/>
  <c r="O188" i="11"/>
  <c r="P188" i="11"/>
  <c r="Q188" i="11"/>
  <c r="R188" i="11"/>
  <c r="S188" i="11"/>
  <c r="T188" i="11"/>
  <c r="U188" i="11"/>
  <c r="N189" i="11"/>
  <c r="O189" i="11"/>
  <c r="P189" i="11"/>
  <c r="Q189" i="11"/>
  <c r="R189" i="11"/>
  <c r="S189" i="11"/>
  <c r="T189" i="11"/>
  <c r="U189" i="11"/>
  <c r="N190" i="11"/>
  <c r="O190" i="11"/>
  <c r="P190" i="11"/>
  <c r="Q190" i="11"/>
  <c r="R190" i="11"/>
  <c r="S190" i="11"/>
  <c r="T190" i="11"/>
  <c r="U190" i="11"/>
  <c r="N191" i="11"/>
  <c r="O191" i="11"/>
  <c r="P191" i="11"/>
  <c r="Q191" i="11"/>
  <c r="R191" i="11"/>
  <c r="S191" i="11"/>
  <c r="T191" i="11"/>
  <c r="U191" i="11"/>
  <c r="N192" i="11"/>
  <c r="O192" i="11"/>
  <c r="P192" i="11"/>
  <c r="Q192" i="11"/>
  <c r="R192" i="11"/>
  <c r="S192" i="11"/>
  <c r="T192" i="11"/>
  <c r="U192" i="11"/>
  <c r="N193" i="11"/>
  <c r="O193" i="11"/>
  <c r="P193" i="11"/>
  <c r="Q193" i="11"/>
  <c r="R193" i="11"/>
  <c r="S193" i="11"/>
  <c r="T193" i="11"/>
  <c r="U193" i="11"/>
  <c r="N194" i="11"/>
  <c r="O194" i="11"/>
  <c r="P194" i="11"/>
  <c r="Q194" i="11"/>
  <c r="R194" i="11"/>
  <c r="S194" i="11"/>
  <c r="T194" i="11"/>
  <c r="U194" i="11"/>
  <c r="N195" i="11"/>
  <c r="O195" i="11"/>
  <c r="P195" i="11"/>
  <c r="Q195" i="11"/>
  <c r="R195" i="11"/>
  <c r="S195" i="11"/>
  <c r="T195" i="11"/>
  <c r="U195" i="11"/>
  <c r="N196" i="11"/>
  <c r="O196" i="11"/>
  <c r="P196" i="11"/>
  <c r="Q196" i="11"/>
  <c r="R196" i="11"/>
  <c r="S196" i="11"/>
  <c r="T196" i="11"/>
  <c r="U196" i="11"/>
  <c r="N197" i="11"/>
  <c r="O197" i="11"/>
  <c r="P197" i="11"/>
  <c r="Q197" i="11"/>
  <c r="R197" i="11"/>
  <c r="S197" i="11"/>
  <c r="T197" i="11"/>
  <c r="U197" i="11"/>
  <c r="N198" i="11"/>
  <c r="O198" i="11"/>
  <c r="P198" i="11"/>
  <c r="Q198" i="11"/>
  <c r="R198" i="11"/>
  <c r="S198" i="11"/>
  <c r="T198" i="11"/>
  <c r="U198" i="11"/>
  <c r="N199" i="11"/>
  <c r="O199" i="11"/>
  <c r="P199" i="11"/>
  <c r="Q199" i="11"/>
  <c r="R199" i="11"/>
  <c r="S199" i="11"/>
  <c r="T199" i="11"/>
  <c r="U199" i="11"/>
  <c r="N200" i="11"/>
  <c r="O200" i="11"/>
  <c r="P200" i="11"/>
  <c r="Q200" i="11"/>
  <c r="R200" i="11"/>
  <c r="S200" i="11"/>
  <c r="T200" i="11"/>
  <c r="U200" i="11"/>
  <c r="N201" i="11"/>
  <c r="O201" i="11"/>
  <c r="P201" i="11"/>
  <c r="Q201" i="11"/>
  <c r="R201" i="11"/>
  <c r="S201" i="11"/>
  <c r="T201" i="11"/>
  <c r="U201" i="11"/>
  <c r="N202" i="11"/>
  <c r="O202" i="11"/>
  <c r="P202" i="11"/>
  <c r="Q202" i="11"/>
  <c r="R202" i="11"/>
  <c r="S202" i="11"/>
  <c r="T202" i="11"/>
  <c r="U202" i="11"/>
  <c r="N203" i="11"/>
  <c r="O203" i="11"/>
  <c r="P203" i="11"/>
  <c r="Q203" i="11"/>
  <c r="R203" i="11"/>
  <c r="S203" i="11"/>
  <c r="T203" i="11"/>
  <c r="U203" i="11"/>
  <c r="N204" i="11"/>
  <c r="O204" i="11"/>
  <c r="P204" i="11"/>
  <c r="Q204" i="11"/>
  <c r="R204" i="11"/>
  <c r="S204" i="11"/>
  <c r="T204" i="11"/>
  <c r="U204" i="11"/>
  <c r="N205" i="11"/>
  <c r="O205" i="11"/>
  <c r="P205" i="11"/>
  <c r="Q205" i="11"/>
  <c r="R205" i="11"/>
  <c r="S205" i="11"/>
  <c r="T205" i="11"/>
  <c r="U205" i="11"/>
  <c r="N206" i="11"/>
  <c r="O206" i="11"/>
  <c r="P206" i="11"/>
  <c r="Q206" i="11"/>
  <c r="R206" i="11"/>
  <c r="S206" i="11"/>
  <c r="T206" i="11"/>
  <c r="U206" i="11"/>
  <c r="N207" i="11"/>
  <c r="O207" i="11"/>
  <c r="P207" i="11"/>
  <c r="Q207" i="11"/>
  <c r="R207" i="11"/>
  <c r="S207" i="11"/>
  <c r="T207" i="11"/>
  <c r="U207" i="11"/>
  <c r="N208" i="11"/>
  <c r="O208" i="11"/>
  <c r="P208" i="11"/>
  <c r="Q208" i="11"/>
  <c r="R208" i="11"/>
  <c r="S208" i="11"/>
  <c r="T208" i="11"/>
  <c r="U208" i="11"/>
  <c r="N209" i="11"/>
  <c r="O209" i="11"/>
  <c r="P209" i="11"/>
  <c r="Q209" i="11"/>
  <c r="R209" i="11"/>
  <c r="S209" i="11"/>
  <c r="T209" i="11"/>
  <c r="U209" i="11"/>
  <c r="N210" i="11"/>
  <c r="O210" i="11"/>
  <c r="P210" i="11"/>
  <c r="Q210" i="11"/>
  <c r="R210" i="11"/>
  <c r="S210" i="11"/>
  <c r="T210" i="11"/>
  <c r="U210" i="11"/>
  <c r="N211" i="11"/>
  <c r="O211" i="11"/>
  <c r="P211" i="11"/>
  <c r="Q211" i="11"/>
  <c r="R211" i="11"/>
  <c r="S211" i="11"/>
  <c r="T211" i="11"/>
  <c r="U211" i="11"/>
  <c r="N212" i="11"/>
  <c r="O212" i="11"/>
  <c r="P212" i="11"/>
  <c r="Q212" i="11"/>
  <c r="R212" i="11"/>
  <c r="S212" i="11"/>
  <c r="T212" i="11"/>
  <c r="U212" i="11"/>
  <c r="N213" i="11"/>
  <c r="O213" i="11"/>
  <c r="P213" i="11"/>
  <c r="Q213" i="11"/>
  <c r="R213" i="11"/>
  <c r="S213" i="11"/>
  <c r="T213" i="11"/>
  <c r="U213" i="11"/>
  <c r="N214" i="11"/>
  <c r="O214" i="11"/>
  <c r="P214" i="11"/>
  <c r="Q214" i="11"/>
  <c r="R214" i="11"/>
  <c r="S214" i="11"/>
  <c r="T214" i="11"/>
  <c r="U214" i="11"/>
  <c r="N215" i="11"/>
  <c r="O215" i="11"/>
  <c r="P215" i="11"/>
  <c r="Q215" i="11"/>
  <c r="R215" i="11"/>
  <c r="S215" i="11"/>
  <c r="T215" i="11"/>
  <c r="U215" i="11"/>
  <c r="N216" i="11"/>
  <c r="O216" i="11"/>
  <c r="P216" i="11"/>
  <c r="Q216" i="11"/>
  <c r="R216" i="11"/>
  <c r="S216" i="11"/>
  <c r="T216" i="11"/>
  <c r="U216" i="11"/>
  <c r="N217" i="11"/>
  <c r="O217" i="11"/>
  <c r="P217" i="11"/>
  <c r="Q217" i="11"/>
  <c r="R217" i="11"/>
  <c r="S217" i="11"/>
  <c r="T217" i="11"/>
  <c r="U217" i="11"/>
  <c r="N218" i="11"/>
  <c r="O218" i="11"/>
  <c r="P218" i="11"/>
  <c r="Q218" i="11"/>
  <c r="R218" i="11"/>
  <c r="S218" i="11"/>
  <c r="T218" i="11"/>
  <c r="U218" i="11"/>
  <c r="N219" i="11"/>
  <c r="O219" i="11"/>
  <c r="P219" i="11"/>
  <c r="Q219" i="11"/>
  <c r="R219" i="11"/>
  <c r="S219" i="11"/>
  <c r="T219" i="11"/>
  <c r="U219" i="11"/>
  <c r="N220" i="11"/>
  <c r="O220" i="11"/>
  <c r="P220" i="11"/>
  <c r="Q220" i="11"/>
  <c r="R220" i="11"/>
  <c r="S220" i="11"/>
  <c r="T220" i="11"/>
  <c r="U220" i="11"/>
  <c r="N221" i="11"/>
  <c r="O221" i="11"/>
  <c r="P221" i="11"/>
  <c r="Q221" i="11"/>
  <c r="R221" i="11"/>
  <c r="S221" i="11"/>
  <c r="T221" i="11"/>
  <c r="U221" i="11"/>
  <c r="N222" i="11"/>
  <c r="O222" i="11"/>
  <c r="P222" i="11"/>
  <c r="Q222" i="11"/>
  <c r="R222" i="11"/>
  <c r="S222" i="11"/>
  <c r="T222" i="11"/>
  <c r="U222" i="11"/>
  <c r="N223" i="11"/>
  <c r="O223" i="11"/>
  <c r="P223" i="11"/>
  <c r="Q223" i="11"/>
  <c r="R223" i="11"/>
  <c r="S223" i="11"/>
  <c r="T223" i="11"/>
  <c r="U223" i="11"/>
  <c r="N224" i="11"/>
  <c r="O224" i="11"/>
  <c r="P224" i="11"/>
  <c r="Q224" i="11"/>
  <c r="R224" i="11"/>
  <c r="S224" i="11"/>
  <c r="T224" i="11"/>
  <c r="U224" i="11"/>
  <c r="N225" i="11"/>
  <c r="O225" i="11"/>
  <c r="P225" i="11"/>
  <c r="Q225" i="11"/>
  <c r="R225" i="11"/>
  <c r="S225" i="11"/>
  <c r="T225" i="11"/>
  <c r="U225" i="11"/>
  <c r="N226" i="11"/>
  <c r="O226" i="11"/>
  <c r="P226" i="11"/>
  <c r="Q226" i="11"/>
  <c r="R226" i="11"/>
  <c r="S226" i="11"/>
  <c r="T226" i="11"/>
  <c r="U226" i="11"/>
  <c r="N227" i="11"/>
  <c r="O227" i="11"/>
  <c r="P227" i="11"/>
  <c r="Q227" i="11"/>
  <c r="R227" i="11"/>
  <c r="S227" i="11"/>
  <c r="T227" i="11"/>
  <c r="U227" i="11"/>
  <c r="N228" i="11"/>
  <c r="O228" i="11"/>
  <c r="P228" i="11"/>
  <c r="Q228" i="11"/>
  <c r="R228" i="11"/>
  <c r="S228" i="11"/>
  <c r="T228" i="11"/>
  <c r="U228" i="11"/>
  <c r="N229" i="11"/>
  <c r="O229" i="11"/>
  <c r="P229" i="11"/>
  <c r="Q229" i="11"/>
  <c r="R229" i="11"/>
  <c r="S229" i="11"/>
  <c r="T229" i="11"/>
  <c r="U229" i="11"/>
  <c r="N230" i="11"/>
  <c r="O230" i="11"/>
  <c r="P230" i="11"/>
  <c r="Q230" i="11"/>
  <c r="R230" i="11"/>
  <c r="S230" i="11"/>
  <c r="T230" i="11"/>
  <c r="U230" i="11"/>
  <c r="N231" i="11"/>
  <c r="O231" i="11"/>
  <c r="P231" i="11"/>
  <c r="Q231" i="11"/>
  <c r="R231" i="11"/>
  <c r="S231" i="11"/>
  <c r="T231" i="11"/>
  <c r="U231" i="11"/>
  <c r="N232" i="11"/>
  <c r="O232" i="11"/>
  <c r="P232" i="11"/>
  <c r="Q232" i="11"/>
  <c r="R232" i="11"/>
  <c r="S232" i="11"/>
  <c r="T232" i="11"/>
  <c r="U232" i="11"/>
  <c r="N233" i="11"/>
  <c r="O233" i="11"/>
  <c r="P233" i="11"/>
  <c r="Q233" i="11"/>
  <c r="R233" i="11"/>
  <c r="S233" i="11"/>
  <c r="T233" i="11"/>
  <c r="U233" i="11"/>
  <c r="N234" i="11"/>
  <c r="O234" i="11"/>
  <c r="P234" i="11"/>
  <c r="Q234" i="11"/>
  <c r="R234" i="11"/>
  <c r="S234" i="11"/>
  <c r="T234" i="11"/>
  <c r="U234" i="11"/>
  <c r="N235" i="11"/>
  <c r="O235" i="11"/>
  <c r="P235" i="11"/>
  <c r="Q235" i="11"/>
  <c r="R235" i="11"/>
  <c r="S235" i="11"/>
  <c r="T235" i="11"/>
  <c r="U235" i="11"/>
  <c r="N236" i="11"/>
  <c r="O236" i="11"/>
  <c r="P236" i="11"/>
  <c r="Q236" i="11"/>
  <c r="R236" i="11"/>
  <c r="S236" i="11"/>
  <c r="T236" i="11"/>
  <c r="U236" i="11"/>
  <c r="N237" i="11"/>
  <c r="O237" i="11"/>
  <c r="P237" i="11"/>
  <c r="Q237" i="11"/>
  <c r="R237" i="11"/>
  <c r="S237" i="11"/>
  <c r="T237" i="11"/>
  <c r="U237" i="11"/>
  <c r="N238" i="11"/>
  <c r="O238" i="11"/>
  <c r="P238" i="11"/>
  <c r="Q238" i="11"/>
  <c r="R238" i="11"/>
  <c r="S238" i="11"/>
  <c r="T238" i="11"/>
  <c r="U238" i="11"/>
  <c r="N239" i="11"/>
  <c r="O239" i="11"/>
  <c r="P239" i="11"/>
  <c r="Q239" i="11"/>
  <c r="R239" i="11"/>
  <c r="S239" i="11"/>
  <c r="T239" i="11"/>
  <c r="U239" i="11"/>
  <c r="N240" i="11"/>
  <c r="O240" i="11"/>
  <c r="P240" i="11"/>
  <c r="Q240" i="11"/>
  <c r="R240" i="11"/>
  <c r="S240" i="11"/>
  <c r="T240" i="11"/>
  <c r="U240" i="11"/>
  <c r="N241" i="11"/>
  <c r="O241" i="11"/>
  <c r="P241" i="11"/>
  <c r="Q241" i="11"/>
  <c r="R241" i="11"/>
  <c r="S241" i="11"/>
  <c r="T241" i="11"/>
  <c r="U241" i="11"/>
  <c r="N242" i="11"/>
  <c r="O242" i="11"/>
  <c r="P242" i="11"/>
  <c r="Q242" i="11"/>
  <c r="R242" i="11"/>
  <c r="S242" i="11"/>
  <c r="T242" i="11"/>
  <c r="U242" i="11"/>
  <c r="N243" i="11"/>
  <c r="O243" i="11"/>
  <c r="P243" i="11"/>
  <c r="Q243" i="11"/>
  <c r="R243" i="11"/>
  <c r="S243" i="11"/>
  <c r="T243" i="11"/>
  <c r="U243" i="11"/>
  <c r="N244" i="11"/>
  <c r="O244" i="11"/>
  <c r="P244" i="11"/>
  <c r="Q244" i="11"/>
  <c r="R244" i="11"/>
  <c r="S244" i="11"/>
  <c r="T244" i="11"/>
  <c r="U244" i="11"/>
  <c r="N245" i="11"/>
  <c r="O245" i="11"/>
  <c r="P245" i="11"/>
  <c r="Q245" i="11"/>
  <c r="R245" i="11"/>
  <c r="S245" i="11"/>
  <c r="T245" i="11"/>
  <c r="U245" i="11"/>
  <c r="N246" i="11"/>
  <c r="O246" i="11"/>
  <c r="P246" i="11"/>
  <c r="Q246" i="11"/>
  <c r="R246" i="11"/>
  <c r="S246" i="11"/>
  <c r="T246" i="11"/>
  <c r="U246" i="11"/>
  <c r="N247" i="11"/>
  <c r="O247" i="11"/>
  <c r="P247" i="11"/>
  <c r="Q247" i="11"/>
  <c r="R247" i="11"/>
  <c r="S247" i="11"/>
  <c r="T247" i="11"/>
  <c r="U247" i="11"/>
  <c r="N248" i="11"/>
  <c r="O248" i="11"/>
  <c r="P248" i="11"/>
  <c r="Q248" i="11"/>
  <c r="R248" i="11"/>
  <c r="S248" i="11"/>
  <c r="T248" i="11"/>
  <c r="U248" i="11"/>
  <c r="N249" i="11"/>
  <c r="O249" i="11"/>
  <c r="P249" i="11"/>
  <c r="Q249" i="11"/>
  <c r="R249" i="11"/>
  <c r="S249" i="11"/>
  <c r="T249" i="11"/>
  <c r="U249" i="11"/>
  <c r="N250" i="11"/>
  <c r="O250" i="11"/>
  <c r="P250" i="11"/>
  <c r="Q250" i="11"/>
  <c r="R250" i="11"/>
  <c r="S250" i="11"/>
  <c r="T250" i="11"/>
  <c r="U250" i="11"/>
  <c r="N251" i="11"/>
  <c r="O251" i="11"/>
  <c r="P251" i="11"/>
  <c r="Q251" i="11"/>
  <c r="R251" i="11"/>
  <c r="S251" i="11"/>
  <c r="T251" i="11"/>
  <c r="U251" i="11"/>
  <c r="N252" i="11"/>
  <c r="O252" i="11"/>
  <c r="P252" i="11"/>
  <c r="Q252" i="11"/>
  <c r="R252" i="11"/>
  <c r="S252" i="11"/>
  <c r="T252" i="11"/>
  <c r="U252" i="11"/>
  <c r="N253" i="11"/>
  <c r="O253" i="11"/>
  <c r="P253" i="11"/>
  <c r="Q253" i="11"/>
  <c r="R253" i="11"/>
  <c r="S253" i="11"/>
  <c r="T253" i="11"/>
  <c r="U253" i="11"/>
  <c r="N254" i="11"/>
  <c r="O254" i="11"/>
  <c r="P254" i="11"/>
  <c r="Q254" i="11"/>
  <c r="R254" i="11"/>
  <c r="S254" i="11"/>
  <c r="T254" i="11"/>
  <c r="U254" i="11"/>
  <c r="N255" i="11"/>
  <c r="O255" i="11"/>
  <c r="P255" i="11"/>
  <c r="Q255" i="11"/>
  <c r="R255" i="11"/>
  <c r="S255" i="11"/>
  <c r="T255" i="11"/>
  <c r="U255" i="11"/>
  <c r="N256" i="11"/>
  <c r="O256" i="11"/>
  <c r="P256" i="11"/>
  <c r="Q256" i="11"/>
  <c r="R256" i="11"/>
  <c r="S256" i="11"/>
  <c r="T256" i="11"/>
  <c r="U256" i="11"/>
  <c r="N257" i="11"/>
  <c r="O257" i="11"/>
  <c r="P257" i="11"/>
  <c r="Q257" i="11"/>
  <c r="R257" i="11"/>
  <c r="S257" i="11"/>
  <c r="T257" i="11"/>
  <c r="U257" i="11"/>
  <c r="N258" i="11"/>
  <c r="O258" i="11"/>
  <c r="P258" i="11"/>
  <c r="Q258" i="11"/>
  <c r="R258" i="11"/>
  <c r="S258" i="11"/>
  <c r="T258" i="11"/>
  <c r="U258" i="11"/>
  <c r="N259" i="11"/>
  <c r="O259" i="11"/>
  <c r="P259" i="11"/>
  <c r="Q259" i="11"/>
  <c r="R259" i="11"/>
  <c r="S259" i="11"/>
  <c r="T259" i="11"/>
  <c r="U259" i="11"/>
  <c r="N260" i="11"/>
  <c r="O260" i="11"/>
  <c r="P260" i="11"/>
  <c r="Q260" i="11"/>
  <c r="R260" i="11"/>
  <c r="S260" i="11"/>
  <c r="T260" i="11"/>
  <c r="U260" i="11"/>
  <c r="N261" i="11"/>
  <c r="O261" i="11"/>
  <c r="P261" i="11"/>
  <c r="Q261" i="11"/>
  <c r="R261" i="11"/>
  <c r="S261" i="11"/>
  <c r="T261" i="11"/>
  <c r="U261" i="11"/>
  <c r="N262" i="11"/>
  <c r="O262" i="11"/>
  <c r="P262" i="11"/>
  <c r="Q262" i="11"/>
  <c r="R262" i="11"/>
  <c r="S262" i="11"/>
  <c r="T262" i="11"/>
  <c r="U262" i="11"/>
  <c r="N263" i="11"/>
  <c r="O263" i="11"/>
  <c r="P263" i="11"/>
  <c r="Q263" i="11"/>
  <c r="R263" i="11"/>
  <c r="S263" i="11"/>
  <c r="T263" i="11"/>
  <c r="U263" i="11"/>
  <c r="N264" i="11"/>
  <c r="O264" i="11"/>
  <c r="P264" i="11"/>
  <c r="Q264" i="11"/>
  <c r="R264" i="11"/>
  <c r="S264" i="11"/>
  <c r="T264" i="11"/>
  <c r="U264" i="11"/>
  <c r="N265" i="11"/>
  <c r="O265" i="11"/>
  <c r="P265" i="11"/>
  <c r="Q265" i="11"/>
  <c r="R265" i="11"/>
  <c r="S265" i="11"/>
  <c r="T265" i="11"/>
  <c r="U265" i="11"/>
  <c r="N266" i="11"/>
  <c r="O266" i="11"/>
  <c r="P266" i="11"/>
  <c r="Q266" i="11"/>
  <c r="R266" i="11"/>
  <c r="S266" i="11"/>
  <c r="T266" i="11"/>
  <c r="U266" i="11"/>
  <c r="N267" i="11"/>
  <c r="O267" i="11"/>
  <c r="P267" i="11"/>
  <c r="Q267" i="11"/>
  <c r="R267" i="11"/>
  <c r="S267" i="11"/>
  <c r="T267" i="11"/>
  <c r="U267" i="11"/>
  <c r="N268" i="11"/>
  <c r="O268" i="11"/>
  <c r="P268" i="11"/>
  <c r="Q268" i="11"/>
  <c r="R268" i="11"/>
  <c r="S268" i="11"/>
  <c r="T268" i="11"/>
  <c r="U268" i="11"/>
  <c r="N269" i="11"/>
  <c r="O269" i="11"/>
  <c r="P269" i="11"/>
  <c r="Q269" i="11"/>
  <c r="R269" i="11"/>
  <c r="S269" i="11"/>
  <c r="T269" i="11"/>
  <c r="U269" i="11"/>
  <c r="N270" i="11"/>
  <c r="O270" i="11"/>
  <c r="P270" i="11"/>
  <c r="Q270" i="11"/>
  <c r="R270" i="11"/>
  <c r="S270" i="11"/>
  <c r="T270" i="11"/>
  <c r="U270" i="11"/>
  <c r="N271" i="11"/>
  <c r="O271" i="11"/>
  <c r="P271" i="11"/>
  <c r="Q271" i="11"/>
  <c r="R271" i="11"/>
  <c r="S271" i="11"/>
  <c r="T271" i="11"/>
  <c r="U271" i="11"/>
  <c r="N272" i="11"/>
  <c r="O272" i="11"/>
  <c r="P272" i="11"/>
  <c r="Q272" i="11"/>
  <c r="R272" i="11"/>
  <c r="S272" i="11"/>
  <c r="T272" i="11"/>
  <c r="U272" i="11"/>
  <c r="N273" i="11"/>
  <c r="O273" i="11"/>
  <c r="P273" i="11"/>
  <c r="Q273" i="11"/>
  <c r="R273" i="11"/>
  <c r="S273" i="11"/>
  <c r="T273" i="11"/>
  <c r="U273" i="11"/>
  <c r="N274" i="11"/>
  <c r="O274" i="11"/>
  <c r="P274" i="11"/>
  <c r="Q274" i="11"/>
  <c r="R274" i="11"/>
  <c r="S274" i="11"/>
  <c r="T274" i="11"/>
  <c r="U274" i="11"/>
  <c r="N275" i="11"/>
  <c r="O275" i="11"/>
  <c r="P275" i="11"/>
  <c r="Q275" i="11"/>
  <c r="R275" i="11"/>
  <c r="S275" i="11"/>
  <c r="T275" i="11"/>
  <c r="U275" i="11"/>
  <c r="N276" i="11"/>
  <c r="O276" i="11"/>
  <c r="P276" i="11"/>
  <c r="Q276" i="11"/>
  <c r="R276" i="11"/>
  <c r="S276" i="11"/>
  <c r="T276" i="11"/>
  <c r="U276" i="11"/>
  <c r="N277" i="11"/>
  <c r="O277" i="11"/>
  <c r="P277" i="11"/>
  <c r="Q277" i="11"/>
  <c r="R277" i="11"/>
  <c r="S277" i="11"/>
  <c r="T277" i="11"/>
  <c r="U277" i="11"/>
  <c r="N278" i="11"/>
  <c r="O278" i="11"/>
  <c r="P278" i="11"/>
  <c r="Q278" i="11"/>
  <c r="R278" i="11"/>
  <c r="S278" i="11"/>
  <c r="T278" i="11"/>
  <c r="U278" i="11"/>
  <c r="N279" i="11"/>
  <c r="O279" i="11"/>
  <c r="P279" i="11"/>
  <c r="Q279" i="11"/>
  <c r="R279" i="11"/>
  <c r="S279" i="11"/>
  <c r="T279" i="11"/>
  <c r="U279" i="11"/>
  <c r="N280" i="11"/>
  <c r="O280" i="11"/>
  <c r="P280" i="11"/>
  <c r="Q280" i="11"/>
  <c r="R280" i="11"/>
  <c r="S280" i="11"/>
  <c r="T280" i="11"/>
  <c r="U280" i="11"/>
  <c r="N281" i="11"/>
  <c r="O281" i="11"/>
  <c r="P281" i="11"/>
  <c r="Q281" i="11"/>
  <c r="R281" i="11"/>
  <c r="S281" i="11"/>
  <c r="T281" i="11"/>
  <c r="U281" i="11"/>
  <c r="N282" i="11"/>
  <c r="O282" i="11"/>
  <c r="P282" i="11"/>
  <c r="Q282" i="11"/>
  <c r="R282" i="11"/>
  <c r="S282" i="11"/>
  <c r="T282" i="11"/>
  <c r="U282" i="11"/>
  <c r="N283" i="11"/>
  <c r="O283" i="11"/>
  <c r="P283" i="11"/>
  <c r="Q283" i="11"/>
  <c r="R283" i="11"/>
  <c r="S283" i="11"/>
  <c r="T283" i="11"/>
  <c r="U283" i="11"/>
  <c r="N284" i="11"/>
  <c r="O284" i="11"/>
  <c r="P284" i="11"/>
  <c r="Q284" i="11"/>
  <c r="R284" i="11"/>
  <c r="S284" i="11"/>
  <c r="T284" i="11"/>
  <c r="U284" i="11"/>
  <c r="N285" i="11"/>
  <c r="O285" i="11"/>
  <c r="P285" i="11"/>
  <c r="Q285" i="11"/>
  <c r="R285" i="11"/>
  <c r="S285" i="11"/>
  <c r="T285" i="11"/>
  <c r="U285" i="11"/>
  <c r="N286" i="11"/>
  <c r="O286" i="11"/>
  <c r="P286" i="11"/>
  <c r="Q286" i="11"/>
  <c r="R286" i="11"/>
  <c r="S286" i="11"/>
  <c r="T286" i="11"/>
  <c r="U286" i="11"/>
  <c r="N287" i="11"/>
  <c r="O287" i="11"/>
  <c r="P287" i="11"/>
  <c r="Q287" i="11"/>
  <c r="R287" i="11"/>
  <c r="S287" i="11"/>
  <c r="T287" i="11"/>
  <c r="U287" i="11"/>
  <c r="N288" i="11"/>
  <c r="O288" i="11"/>
  <c r="P288" i="11"/>
  <c r="Q288" i="11"/>
  <c r="R288" i="11"/>
  <c r="S288" i="11"/>
  <c r="T288" i="11"/>
  <c r="U288" i="11"/>
  <c r="N289" i="11"/>
  <c r="O289" i="11"/>
  <c r="P289" i="11"/>
  <c r="Q289" i="11"/>
  <c r="R289" i="11"/>
  <c r="S289" i="11"/>
  <c r="T289" i="11"/>
  <c r="U289" i="11"/>
  <c r="N290" i="11"/>
  <c r="O290" i="11"/>
  <c r="P290" i="11"/>
  <c r="Q290" i="11"/>
  <c r="R290" i="11"/>
  <c r="S290" i="11"/>
  <c r="T290" i="11"/>
  <c r="U290" i="11"/>
  <c r="N291" i="11"/>
  <c r="O291" i="11"/>
  <c r="P291" i="11"/>
  <c r="Q291" i="11"/>
  <c r="R291" i="11"/>
  <c r="S291" i="11"/>
  <c r="T291" i="11"/>
  <c r="U291" i="11"/>
  <c r="N292" i="11"/>
  <c r="O292" i="11"/>
  <c r="P292" i="11"/>
  <c r="Q292" i="11"/>
  <c r="R292" i="11"/>
  <c r="S292" i="11"/>
  <c r="T292" i="11"/>
  <c r="U292" i="11"/>
  <c r="N293" i="11"/>
  <c r="O293" i="11"/>
  <c r="P293" i="11"/>
  <c r="Q293" i="11"/>
  <c r="R293" i="11"/>
  <c r="S293" i="11"/>
  <c r="T293" i="11"/>
  <c r="U293" i="11"/>
  <c r="N294" i="11"/>
  <c r="O294" i="11"/>
  <c r="P294" i="11"/>
  <c r="Q294" i="11"/>
  <c r="R294" i="11"/>
  <c r="S294" i="11"/>
  <c r="T294" i="11"/>
  <c r="U294" i="11"/>
  <c r="N295" i="11"/>
  <c r="O295" i="11"/>
  <c r="P295" i="11"/>
  <c r="Q295" i="11"/>
  <c r="R295" i="11"/>
  <c r="S295" i="11"/>
  <c r="T295" i="11"/>
  <c r="U295" i="11"/>
  <c r="N296" i="11"/>
  <c r="O296" i="11"/>
  <c r="P296" i="11"/>
  <c r="Q296" i="11"/>
  <c r="R296" i="11"/>
  <c r="S296" i="11"/>
  <c r="T296" i="11"/>
  <c r="U296" i="11"/>
  <c r="N297" i="11"/>
  <c r="O297" i="11"/>
  <c r="P297" i="11"/>
  <c r="Q297" i="11"/>
  <c r="R297" i="11"/>
  <c r="S297" i="11"/>
  <c r="T297" i="11"/>
  <c r="U297" i="11"/>
  <c r="N298" i="11"/>
  <c r="O298" i="11"/>
  <c r="P298" i="11"/>
  <c r="Q298" i="11"/>
  <c r="R298" i="11"/>
  <c r="S298" i="11"/>
  <c r="T298" i="11"/>
  <c r="U298" i="11"/>
  <c r="N299" i="11"/>
  <c r="O299" i="11"/>
  <c r="P299" i="11"/>
  <c r="Q299" i="11"/>
  <c r="R299" i="11"/>
  <c r="S299" i="11"/>
  <c r="T299" i="11"/>
  <c r="U299" i="11"/>
  <c r="N300" i="11"/>
  <c r="O300" i="11"/>
  <c r="P300" i="11"/>
  <c r="Q300" i="11"/>
  <c r="R300" i="11"/>
  <c r="S300" i="11"/>
  <c r="T300" i="11"/>
  <c r="U300" i="11"/>
  <c r="N301" i="11"/>
  <c r="O301" i="11"/>
  <c r="P301" i="11"/>
  <c r="Q301" i="11"/>
  <c r="R301" i="11"/>
  <c r="S301" i="11"/>
  <c r="T301" i="11"/>
  <c r="U301" i="11"/>
  <c r="N302" i="11"/>
  <c r="O302" i="11"/>
  <c r="P302" i="11"/>
  <c r="Q302" i="11"/>
  <c r="R302" i="11"/>
  <c r="S302" i="11"/>
  <c r="T302" i="11"/>
  <c r="U302" i="11"/>
  <c r="N303" i="11"/>
  <c r="O303" i="11"/>
  <c r="P303" i="11"/>
  <c r="Q303" i="11"/>
  <c r="R303" i="11"/>
  <c r="S303" i="11"/>
  <c r="T303" i="11"/>
  <c r="U303" i="11"/>
  <c r="N304" i="11"/>
  <c r="O304" i="11"/>
  <c r="P304" i="11"/>
  <c r="Q304" i="11"/>
  <c r="R304" i="11"/>
  <c r="S304" i="11"/>
  <c r="T304" i="11"/>
  <c r="U304" i="11"/>
  <c r="N305" i="11"/>
  <c r="O305" i="11"/>
  <c r="P305" i="11"/>
  <c r="Q305" i="11"/>
  <c r="R305" i="11"/>
  <c r="S305" i="11"/>
  <c r="T305" i="11"/>
  <c r="U305" i="11"/>
  <c r="N306" i="11"/>
  <c r="O306" i="11"/>
  <c r="P306" i="11"/>
  <c r="Q306" i="11"/>
  <c r="R306" i="11"/>
  <c r="S306" i="11"/>
  <c r="T306" i="11"/>
  <c r="U306" i="11"/>
  <c r="N307" i="11"/>
  <c r="O307" i="11"/>
  <c r="P307" i="11"/>
  <c r="Q307" i="11"/>
  <c r="R307" i="11"/>
  <c r="S307" i="11"/>
  <c r="T307" i="11"/>
  <c r="U307" i="11"/>
  <c r="N308" i="11"/>
  <c r="O308" i="11"/>
  <c r="P308" i="11"/>
  <c r="Q308" i="11"/>
  <c r="R308" i="11"/>
  <c r="S308" i="11"/>
  <c r="T308" i="11"/>
  <c r="U308" i="11"/>
  <c r="N309" i="11"/>
  <c r="O309" i="11"/>
  <c r="P309" i="11"/>
  <c r="Q309" i="11"/>
  <c r="R309" i="11"/>
  <c r="S309" i="11"/>
  <c r="T309" i="11"/>
  <c r="U309" i="11"/>
  <c r="N310" i="11"/>
  <c r="O310" i="11"/>
  <c r="P310" i="11"/>
  <c r="Q310" i="11"/>
  <c r="R310" i="11"/>
  <c r="S310" i="11"/>
  <c r="T310" i="11"/>
  <c r="U310" i="11"/>
  <c r="N311" i="11"/>
  <c r="O311" i="11"/>
  <c r="P311" i="11"/>
  <c r="Q311" i="11"/>
  <c r="R311" i="11"/>
  <c r="S311" i="11"/>
  <c r="T311" i="11"/>
  <c r="U311" i="11"/>
  <c r="N312" i="11"/>
  <c r="O312" i="11"/>
  <c r="P312" i="11"/>
  <c r="Q312" i="11"/>
  <c r="R312" i="11"/>
  <c r="S312" i="11"/>
  <c r="T312" i="11"/>
  <c r="U312" i="11"/>
  <c r="N313" i="11"/>
  <c r="O313" i="11"/>
  <c r="P313" i="11"/>
  <c r="Q313" i="11"/>
  <c r="R313" i="11"/>
  <c r="S313" i="11"/>
  <c r="T313" i="11"/>
  <c r="U313" i="11"/>
  <c r="N314" i="11"/>
  <c r="O314" i="11"/>
  <c r="P314" i="11"/>
  <c r="Q314" i="11"/>
  <c r="R314" i="11"/>
  <c r="S314" i="11"/>
  <c r="T314" i="11"/>
  <c r="U314" i="11"/>
  <c r="N315" i="11"/>
  <c r="O315" i="11"/>
  <c r="P315" i="11"/>
  <c r="Q315" i="11"/>
  <c r="R315" i="11"/>
  <c r="S315" i="11"/>
  <c r="T315" i="11"/>
  <c r="N316" i="11"/>
  <c r="O316" i="11"/>
  <c r="P316" i="11"/>
  <c r="Q316" i="11"/>
  <c r="R316" i="11"/>
  <c r="S316" i="11"/>
  <c r="T316" i="11"/>
  <c r="U316" i="11"/>
  <c r="N317" i="11"/>
  <c r="O317" i="11"/>
  <c r="P317" i="11"/>
  <c r="Q317" i="11"/>
  <c r="R317" i="11"/>
  <c r="S317" i="11"/>
  <c r="T317" i="11"/>
  <c r="U317" i="11"/>
  <c r="N318" i="11"/>
  <c r="O318" i="11"/>
  <c r="P318" i="11"/>
  <c r="Q318" i="11"/>
  <c r="R318" i="11"/>
  <c r="S318" i="11"/>
  <c r="T318" i="11"/>
  <c r="U318" i="11"/>
  <c r="N319" i="11"/>
  <c r="O319" i="11"/>
  <c r="P319" i="11"/>
  <c r="Q319" i="11"/>
  <c r="R319" i="11"/>
  <c r="S319" i="11"/>
  <c r="T319" i="11"/>
  <c r="U319" i="11"/>
  <c r="N320" i="11"/>
  <c r="O320" i="11"/>
  <c r="P320" i="11"/>
  <c r="Q320" i="11"/>
  <c r="R320" i="11"/>
  <c r="S320" i="11"/>
  <c r="T320" i="11"/>
  <c r="U320" i="11"/>
  <c r="N321" i="11"/>
  <c r="O321" i="11"/>
  <c r="P321" i="11"/>
  <c r="Q321" i="11"/>
  <c r="R321" i="11"/>
  <c r="S321" i="11"/>
  <c r="T321" i="11"/>
  <c r="U321" i="11"/>
  <c r="N322" i="11"/>
  <c r="O322" i="11"/>
  <c r="P322" i="11"/>
  <c r="Q322" i="11"/>
  <c r="R322" i="11"/>
  <c r="S322" i="11"/>
  <c r="T322" i="11"/>
  <c r="U322" i="11"/>
  <c r="N324" i="11"/>
  <c r="O324" i="11"/>
  <c r="P324" i="11"/>
  <c r="Q324" i="11"/>
  <c r="R324" i="11"/>
  <c r="S324" i="11"/>
  <c r="T324" i="11"/>
  <c r="U324" i="11"/>
  <c r="N325" i="11"/>
  <c r="O325" i="11"/>
  <c r="P325" i="11"/>
  <c r="Q325" i="11"/>
  <c r="R325" i="11"/>
  <c r="S325" i="11"/>
  <c r="T325" i="11"/>
  <c r="U325" i="11"/>
  <c r="N326" i="11"/>
  <c r="O326" i="11"/>
  <c r="P326" i="11"/>
  <c r="Q326" i="11"/>
  <c r="R326" i="11"/>
  <c r="S326" i="11"/>
  <c r="T326" i="11"/>
  <c r="U326" i="11"/>
  <c r="N327" i="11"/>
  <c r="O327" i="11"/>
  <c r="P327" i="11"/>
  <c r="Q327" i="11"/>
  <c r="R327" i="11"/>
  <c r="S327" i="11"/>
  <c r="T327" i="11"/>
  <c r="U327" i="11"/>
  <c r="N328" i="11"/>
  <c r="O328" i="11"/>
  <c r="P328" i="11"/>
  <c r="Q328" i="11"/>
  <c r="R328" i="11"/>
  <c r="S328" i="11"/>
  <c r="T328" i="11"/>
  <c r="U328" i="11"/>
  <c r="N329" i="11"/>
  <c r="O329" i="11"/>
  <c r="P329" i="11"/>
  <c r="Q329" i="11"/>
  <c r="R329" i="11"/>
  <c r="S329" i="11"/>
  <c r="T329" i="11"/>
  <c r="U329" i="11"/>
  <c r="N330" i="11"/>
  <c r="O330" i="11"/>
  <c r="P330" i="11"/>
  <c r="Q330" i="11"/>
  <c r="R330" i="11"/>
  <c r="S330" i="11"/>
  <c r="T330" i="11"/>
  <c r="U330" i="11"/>
  <c r="N331" i="11"/>
  <c r="O331" i="11"/>
  <c r="P331" i="11"/>
  <c r="Q331" i="11"/>
  <c r="R331" i="11"/>
  <c r="S331" i="11"/>
  <c r="T331" i="11"/>
  <c r="U331" i="11"/>
  <c r="N332" i="11"/>
  <c r="O332" i="11"/>
  <c r="P332" i="11"/>
  <c r="Q332" i="11"/>
  <c r="R332" i="11"/>
  <c r="S332" i="11"/>
  <c r="T332" i="11"/>
  <c r="U332" i="11"/>
  <c r="N333" i="11"/>
  <c r="O333" i="11"/>
  <c r="P333" i="11"/>
  <c r="Q333" i="11"/>
  <c r="R333" i="11"/>
  <c r="S333" i="11"/>
  <c r="T333" i="11"/>
  <c r="U333" i="11"/>
  <c r="N334" i="11"/>
  <c r="O334" i="11"/>
  <c r="P334" i="11"/>
  <c r="Q334" i="11"/>
  <c r="R334" i="11"/>
  <c r="S334" i="11"/>
  <c r="T334" i="11"/>
  <c r="U334" i="11"/>
  <c r="N335" i="11"/>
  <c r="O335" i="11"/>
  <c r="P335" i="11"/>
  <c r="Q335" i="11"/>
  <c r="R335" i="11"/>
  <c r="S335" i="11"/>
  <c r="T335" i="11"/>
  <c r="U335" i="11"/>
  <c r="N336" i="11"/>
  <c r="O336" i="11"/>
  <c r="P336" i="11"/>
  <c r="Q336" i="11"/>
  <c r="R336" i="11"/>
  <c r="S336" i="11"/>
  <c r="T336" i="11"/>
  <c r="U336" i="11"/>
  <c r="N337" i="11"/>
  <c r="O337" i="11"/>
  <c r="P337" i="11"/>
  <c r="Q337" i="11"/>
  <c r="R337" i="11"/>
  <c r="S337" i="11"/>
  <c r="T337" i="11"/>
  <c r="U337" i="11"/>
  <c r="N338" i="11"/>
  <c r="O338" i="11"/>
  <c r="P338" i="11"/>
  <c r="Q338" i="11"/>
  <c r="R338" i="11"/>
  <c r="S338" i="11"/>
  <c r="T338" i="11"/>
  <c r="U338" i="11"/>
  <c r="N339" i="11"/>
  <c r="O339" i="11"/>
  <c r="P339" i="11"/>
  <c r="Q339" i="11"/>
  <c r="R339" i="11"/>
  <c r="S339" i="11"/>
  <c r="T339" i="11"/>
  <c r="U339" i="11"/>
  <c r="N340" i="11"/>
  <c r="O340" i="11"/>
  <c r="P340" i="11"/>
  <c r="Q340" i="11"/>
  <c r="R340" i="11"/>
  <c r="S340" i="11"/>
  <c r="T340" i="11"/>
  <c r="U340" i="11"/>
  <c r="N341" i="11"/>
  <c r="O341" i="11"/>
  <c r="P341" i="11"/>
  <c r="Q341" i="11"/>
  <c r="R341" i="11"/>
  <c r="S341" i="11"/>
  <c r="T341" i="11"/>
  <c r="U341" i="11"/>
  <c r="N342" i="11"/>
  <c r="O342" i="11"/>
  <c r="P342" i="11"/>
  <c r="Q342" i="11"/>
  <c r="R342" i="11"/>
  <c r="S342" i="11"/>
  <c r="T342" i="11"/>
  <c r="U342" i="11"/>
  <c r="N343" i="11"/>
  <c r="O343" i="11"/>
  <c r="P343" i="11"/>
  <c r="Q343" i="11"/>
  <c r="R343" i="11"/>
  <c r="S343" i="11"/>
  <c r="T343" i="11"/>
  <c r="U343" i="11"/>
  <c r="N344" i="11"/>
  <c r="O344" i="11"/>
  <c r="P344" i="11"/>
  <c r="Q344" i="11"/>
  <c r="R344" i="11"/>
  <c r="S344" i="11"/>
  <c r="T344" i="11"/>
  <c r="U344" i="11"/>
  <c r="N345" i="11"/>
  <c r="O345" i="11"/>
  <c r="P345" i="11"/>
  <c r="Q345" i="11"/>
  <c r="R345" i="11"/>
  <c r="S345" i="11"/>
  <c r="T345" i="11"/>
  <c r="U345" i="11"/>
  <c r="N346" i="11"/>
  <c r="O346" i="11"/>
  <c r="P346" i="11"/>
  <c r="Q346" i="11"/>
  <c r="R346" i="11"/>
  <c r="S346" i="11"/>
  <c r="T346" i="11"/>
  <c r="U346" i="11"/>
  <c r="N347" i="11"/>
  <c r="O347" i="11"/>
  <c r="P347" i="11"/>
  <c r="Q347" i="11"/>
  <c r="R347" i="11"/>
  <c r="S347" i="11"/>
  <c r="T347" i="11"/>
  <c r="U347" i="11"/>
  <c r="N348" i="11"/>
  <c r="O348" i="11"/>
  <c r="P348" i="11"/>
  <c r="Q348" i="11"/>
  <c r="R348" i="11"/>
  <c r="S348" i="11"/>
  <c r="T348" i="11"/>
  <c r="U348" i="11"/>
  <c r="N349" i="11"/>
  <c r="O349" i="11"/>
  <c r="P349" i="11"/>
  <c r="Q349" i="11"/>
  <c r="R349" i="11"/>
  <c r="S349" i="11"/>
  <c r="T349" i="11"/>
  <c r="U349" i="11"/>
  <c r="N350" i="11"/>
  <c r="O350" i="11"/>
  <c r="P350" i="11"/>
  <c r="Q350" i="11"/>
  <c r="R350" i="11"/>
  <c r="S350" i="11"/>
  <c r="T350" i="11"/>
  <c r="U350" i="11"/>
  <c r="N351" i="11"/>
  <c r="O351" i="11"/>
  <c r="P351" i="11"/>
  <c r="Q351" i="11"/>
  <c r="R351" i="11"/>
  <c r="S351" i="11"/>
  <c r="T351" i="11"/>
  <c r="U351" i="11"/>
  <c r="N352" i="11"/>
  <c r="O352" i="11"/>
  <c r="P352" i="11"/>
  <c r="Q352" i="11"/>
  <c r="R352" i="11"/>
  <c r="S352" i="11"/>
  <c r="T352" i="11"/>
  <c r="U352" i="11"/>
  <c r="N353" i="11"/>
  <c r="O353" i="11"/>
  <c r="P353" i="11"/>
  <c r="Q353" i="11"/>
  <c r="R353" i="11"/>
  <c r="S353" i="11"/>
  <c r="T353" i="11"/>
  <c r="U353" i="11"/>
  <c r="N354" i="11"/>
  <c r="O354" i="11"/>
  <c r="P354" i="11"/>
  <c r="Q354" i="11"/>
  <c r="R354" i="11"/>
  <c r="S354" i="11"/>
  <c r="T354" i="11"/>
  <c r="U354" i="11"/>
  <c r="N355" i="11"/>
  <c r="O355" i="11"/>
  <c r="P355" i="11"/>
  <c r="Q355" i="11"/>
  <c r="R355" i="11"/>
  <c r="S355" i="11"/>
  <c r="T355" i="11"/>
  <c r="U355" i="11"/>
  <c r="N356" i="11"/>
  <c r="O356" i="11"/>
  <c r="P356" i="11"/>
  <c r="Q356" i="11"/>
  <c r="R356" i="11"/>
  <c r="S356" i="11"/>
  <c r="T356" i="11"/>
  <c r="U356" i="11"/>
  <c r="N357" i="11"/>
  <c r="O357" i="11"/>
  <c r="P357" i="11"/>
  <c r="Q357" i="11"/>
  <c r="R357" i="11"/>
  <c r="S357" i="11"/>
  <c r="T357" i="11"/>
  <c r="U357" i="11"/>
  <c r="N358" i="11"/>
  <c r="O358" i="11"/>
  <c r="P358" i="11"/>
  <c r="Q358" i="11"/>
  <c r="R358" i="11"/>
  <c r="S358" i="11"/>
  <c r="T358" i="11"/>
  <c r="U358" i="11"/>
  <c r="N359" i="11"/>
  <c r="O359" i="11"/>
  <c r="P359" i="11"/>
  <c r="Q359" i="11"/>
  <c r="R359" i="11"/>
  <c r="S359" i="11"/>
  <c r="T359" i="11"/>
  <c r="U359" i="11"/>
  <c r="N360" i="11"/>
  <c r="O360" i="11"/>
  <c r="P360" i="11"/>
  <c r="Q360" i="11"/>
  <c r="R360" i="11"/>
  <c r="S360" i="11"/>
  <c r="T360" i="11"/>
  <c r="U360" i="11"/>
  <c r="N361" i="11"/>
  <c r="O361" i="11"/>
  <c r="P361" i="11"/>
  <c r="Q361" i="11"/>
  <c r="R361" i="11"/>
  <c r="S361" i="11"/>
  <c r="T361" i="11"/>
  <c r="U361" i="11"/>
  <c r="N362" i="11"/>
  <c r="O362" i="11"/>
  <c r="P362" i="11"/>
  <c r="Q362" i="11"/>
  <c r="R362" i="11"/>
  <c r="S362" i="11"/>
  <c r="T362" i="11"/>
  <c r="U362" i="11"/>
  <c r="N363" i="11"/>
  <c r="O363" i="11"/>
  <c r="P363" i="11"/>
  <c r="Q363" i="11"/>
  <c r="R363" i="11"/>
  <c r="S363" i="11"/>
  <c r="T363" i="11"/>
  <c r="U363" i="11"/>
  <c r="N364" i="11"/>
  <c r="O364" i="11"/>
  <c r="P364" i="11"/>
  <c r="Q364" i="11"/>
  <c r="R364" i="11"/>
  <c r="S364" i="11"/>
  <c r="T364" i="11"/>
  <c r="U364" i="11"/>
  <c r="N365" i="11"/>
  <c r="O365" i="11"/>
  <c r="P365" i="11"/>
  <c r="Q365" i="11"/>
  <c r="R365" i="11"/>
  <c r="S365" i="11"/>
  <c r="T365" i="11"/>
  <c r="U365" i="11"/>
  <c r="N366" i="11"/>
  <c r="O366" i="11"/>
  <c r="P366" i="11"/>
  <c r="Q366" i="11"/>
  <c r="R366" i="11"/>
  <c r="S366" i="11"/>
  <c r="T366" i="11"/>
  <c r="U366" i="11"/>
  <c r="N367" i="11"/>
  <c r="O367" i="11"/>
  <c r="P367" i="11"/>
  <c r="Q367" i="11"/>
  <c r="R367" i="11"/>
  <c r="S367" i="11"/>
  <c r="T367" i="11"/>
  <c r="U367" i="11"/>
  <c r="N368" i="11"/>
  <c r="O368" i="11"/>
  <c r="P368" i="11"/>
  <c r="Q368" i="11"/>
  <c r="R368" i="11"/>
  <c r="S368" i="11"/>
  <c r="T368" i="11"/>
  <c r="U368" i="11"/>
  <c r="N369" i="11"/>
  <c r="O369" i="11"/>
  <c r="P369" i="11"/>
  <c r="Q369" i="11"/>
  <c r="R369" i="11"/>
  <c r="S369" i="11"/>
  <c r="T369" i="11"/>
  <c r="U369" i="11"/>
  <c r="N370" i="11"/>
  <c r="O370" i="11"/>
  <c r="P370" i="11"/>
  <c r="Q370" i="11"/>
  <c r="R370" i="11"/>
  <c r="S370" i="11"/>
  <c r="T370" i="11"/>
  <c r="U370" i="11"/>
  <c r="N371" i="11"/>
  <c r="O371" i="11"/>
  <c r="P371" i="11"/>
  <c r="Q371" i="11"/>
  <c r="R371" i="11"/>
  <c r="S371" i="11"/>
  <c r="T371" i="11"/>
  <c r="U371" i="11"/>
  <c r="N372" i="11"/>
  <c r="O372" i="11"/>
  <c r="P372" i="11"/>
  <c r="Q372" i="11"/>
  <c r="R372" i="11"/>
  <c r="S372" i="11"/>
  <c r="T372" i="11"/>
  <c r="U372" i="11"/>
  <c r="N373" i="11"/>
  <c r="O373" i="11"/>
  <c r="P373" i="11"/>
  <c r="Q373" i="11"/>
  <c r="R373" i="11"/>
  <c r="S373" i="11"/>
  <c r="T373" i="11"/>
  <c r="U373" i="11"/>
  <c r="N374" i="11"/>
  <c r="O374" i="11"/>
  <c r="P374" i="11"/>
  <c r="Q374" i="11"/>
  <c r="R374" i="11"/>
  <c r="S374" i="11"/>
  <c r="T374" i="11"/>
  <c r="U374" i="11"/>
  <c r="N375" i="11"/>
  <c r="O375" i="11"/>
  <c r="P375" i="11"/>
  <c r="Q375" i="11"/>
  <c r="R375" i="11"/>
  <c r="S375" i="11"/>
  <c r="T375" i="11"/>
  <c r="U375" i="11"/>
  <c r="N376" i="11"/>
  <c r="O376" i="11"/>
  <c r="P376" i="11"/>
  <c r="Q376" i="11"/>
  <c r="R376" i="11"/>
  <c r="S376" i="11"/>
  <c r="T376" i="11"/>
  <c r="U376" i="11"/>
  <c r="N377" i="11"/>
  <c r="O377" i="11"/>
  <c r="P377" i="11"/>
  <c r="Q377" i="11"/>
  <c r="R377" i="11"/>
  <c r="S377" i="11"/>
  <c r="T377" i="11"/>
  <c r="U377" i="11"/>
  <c r="N378" i="11"/>
  <c r="O378" i="11"/>
  <c r="P378" i="11"/>
  <c r="Q378" i="11"/>
  <c r="R378" i="11"/>
  <c r="S378" i="11"/>
  <c r="T378" i="11"/>
  <c r="U378" i="11"/>
  <c r="N379" i="11"/>
  <c r="O379" i="11"/>
  <c r="P379" i="11"/>
  <c r="Q379" i="11"/>
  <c r="R379" i="11"/>
  <c r="S379" i="11"/>
  <c r="T379" i="11"/>
  <c r="U379" i="11"/>
  <c r="N380" i="11"/>
  <c r="O380" i="11"/>
  <c r="P380" i="11"/>
  <c r="Q380" i="11"/>
  <c r="R380" i="11"/>
  <c r="S380" i="11"/>
  <c r="T380" i="11"/>
  <c r="U380" i="11"/>
  <c r="N381" i="11"/>
  <c r="O381" i="11"/>
  <c r="P381" i="11"/>
  <c r="Q381" i="11"/>
  <c r="R381" i="11"/>
  <c r="S381" i="11"/>
  <c r="T381" i="11"/>
  <c r="U381" i="11"/>
  <c r="N382" i="11"/>
  <c r="O382" i="11"/>
  <c r="P382" i="11"/>
  <c r="Q382" i="11"/>
  <c r="R382" i="11"/>
  <c r="S382" i="11"/>
  <c r="T382" i="11"/>
  <c r="U382" i="11"/>
  <c r="N383" i="11"/>
  <c r="O383" i="11"/>
  <c r="P383" i="11"/>
  <c r="Q383" i="11"/>
  <c r="R383" i="11"/>
  <c r="S383" i="11"/>
  <c r="T383" i="11"/>
  <c r="U383" i="11"/>
  <c r="N384" i="11"/>
  <c r="O384" i="11"/>
  <c r="P384" i="11"/>
  <c r="Q384" i="11"/>
  <c r="R384" i="11"/>
  <c r="S384" i="11"/>
  <c r="T384" i="11"/>
  <c r="U384" i="11"/>
  <c r="N385" i="11"/>
  <c r="O385" i="11"/>
  <c r="P385" i="11"/>
  <c r="Q385" i="11"/>
  <c r="R385" i="11"/>
  <c r="S385" i="11"/>
  <c r="T385" i="11"/>
  <c r="U385" i="11"/>
  <c r="N386" i="11"/>
  <c r="O386" i="11"/>
  <c r="P386" i="11"/>
  <c r="Q386" i="11"/>
  <c r="R386" i="11"/>
  <c r="S386" i="11"/>
  <c r="T386" i="11"/>
  <c r="U386" i="11"/>
  <c r="N387" i="11"/>
  <c r="O387" i="11"/>
  <c r="P387" i="11"/>
  <c r="Q387" i="11"/>
  <c r="R387" i="11"/>
  <c r="S387" i="11"/>
  <c r="T387" i="11"/>
  <c r="U387" i="11"/>
  <c r="N388" i="11"/>
  <c r="O388" i="11"/>
  <c r="P388" i="11"/>
  <c r="Q388" i="11"/>
  <c r="R388" i="11"/>
  <c r="S388" i="11"/>
  <c r="T388" i="11"/>
  <c r="U388" i="11"/>
  <c r="N389" i="11"/>
  <c r="O389" i="11"/>
  <c r="P389" i="11"/>
  <c r="Q389" i="11"/>
  <c r="R389" i="11"/>
  <c r="S389" i="11"/>
  <c r="T389" i="11"/>
  <c r="U389" i="11"/>
  <c r="N390" i="11"/>
  <c r="O390" i="11"/>
  <c r="P390" i="11"/>
  <c r="Q390" i="11"/>
  <c r="R390" i="11"/>
  <c r="S390" i="11"/>
  <c r="T390" i="11"/>
  <c r="U390" i="11"/>
  <c r="N391" i="11"/>
  <c r="O391" i="11"/>
  <c r="P391" i="11"/>
  <c r="Q391" i="11"/>
  <c r="R391" i="11"/>
  <c r="S391" i="11"/>
  <c r="T391" i="11"/>
  <c r="U391" i="11"/>
  <c r="N392" i="11"/>
  <c r="O392" i="11"/>
  <c r="P392" i="11"/>
  <c r="Q392" i="11"/>
  <c r="R392" i="11"/>
  <c r="S392" i="11"/>
  <c r="T392" i="11"/>
  <c r="U392" i="11"/>
  <c r="N393" i="11"/>
  <c r="O393" i="11"/>
  <c r="P393" i="11"/>
  <c r="Q393" i="11"/>
  <c r="R393" i="11"/>
  <c r="S393" i="11"/>
  <c r="T393" i="11"/>
  <c r="U393" i="11"/>
  <c r="N394" i="11"/>
  <c r="O394" i="11"/>
  <c r="P394" i="11"/>
  <c r="Q394" i="11"/>
  <c r="R394" i="11"/>
  <c r="S394" i="11"/>
  <c r="T394" i="11"/>
  <c r="U394" i="11"/>
  <c r="N395" i="11"/>
  <c r="O395" i="11"/>
  <c r="P395" i="11"/>
  <c r="Q395" i="11"/>
  <c r="R395" i="11"/>
  <c r="S395" i="11"/>
  <c r="T395" i="11"/>
  <c r="U395" i="11"/>
  <c r="N396" i="11"/>
  <c r="O396" i="11"/>
  <c r="P396" i="11"/>
  <c r="Q396" i="11"/>
  <c r="R396" i="11"/>
  <c r="S396" i="11"/>
  <c r="T396" i="11"/>
  <c r="U396" i="11"/>
  <c r="N397" i="11"/>
  <c r="O397" i="11"/>
  <c r="P397" i="11"/>
  <c r="Q397" i="11"/>
  <c r="R397" i="11"/>
  <c r="S397" i="11"/>
  <c r="T397" i="11"/>
  <c r="U397" i="11"/>
  <c r="N398" i="11"/>
  <c r="O398" i="11"/>
  <c r="P398" i="11"/>
  <c r="Q398" i="11"/>
  <c r="R398" i="11"/>
  <c r="S398" i="11"/>
  <c r="T398" i="11"/>
  <c r="U398" i="11"/>
  <c r="N399" i="11"/>
  <c r="O399" i="11"/>
  <c r="P399" i="11"/>
  <c r="Q399" i="11"/>
  <c r="R399" i="11"/>
  <c r="S399" i="11"/>
  <c r="T399" i="11"/>
  <c r="U399" i="11"/>
  <c r="N400" i="11"/>
  <c r="O400" i="11"/>
  <c r="P400" i="11"/>
  <c r="Q400" i="11"/>
  <c r="R400" i="11"/>
  <c r="S400" i="11"/>
  <c r="T400" i="11"/>
  <c r="U400" i="11"/>
  <c r="N401" i="11"/>
  <c r="O401" i="11"/>
  <c r="P401" i="11"/>
  <c r="Q401" i="11"/>
  <c r="R401" i="11"/>
  <c r="S401" i="11"/>
  <c r="T401" i="11"/>
  <c r="U401" i="11"/>
  <c r="N402" i="11"/>
  <c r="O402" i="11"/>
  <c r="P402" i="11"/>
  <c r="Q402" i="11"/>
  <c r="R402" i="11"/>
  <c r="S402" i="11"/>
  <c r="T402" i="11"/>
  <c r="U402" i="11"/>
  <c r="N403" i="11"/>
  <c r="O403" i="11"/>
  <c r="P403" i="11"/>
  <c r="Q403" i="11"/>
  <c r="R403" i="11"/>
  <c r="S403" i="11"/>
  <c r="T403" i="11"/>
  <c r="U403" i="11"/>
  <c r="N404" i="11"/>
  <c r="O404" i="11"/>
  <c r="P404" i="11"/>
  <c r="Q404" i="11"/>
  <c r="R404" i="11"/>
  <c r="S404" i="11"/>
  <c r="T404" i="11"/>
  <c r="U404" i="11"/>
  <c r="N405" i="11"/>
  <c r="O405" i="11"/>
  <c r="P405" i="11"/>
  <c r="Q405" i="11"/>
  <c r="R405" i="11"/>
  <c r="S405" i="11"/>
  <c r="T405" i="11"/>
  <c r="U405" i="11"/>
  <c r="N406" i="11"/>
  <c r="O406" i="11"/>
  <c r="P406" i="11"/>
  <c r="Q406" i="11"/>
  <c r="R406" i="11"/>
  <c r="S406" i="11"/>
  <c r="T406" i="11"/>
  <c r="U406" i="11"/>
  <c r="N407" i="11"/>
  <c r="O407" i="11"/>
  <c r="P407" i="11"/>
  <c r="Q407" i="11"/>
  <c r="R407" i="11"/>
  <c r="S407" i="11"/>
  <c r="T407" i="11"/>
  <c r="U407" i="11"/>
  <c r="N408" i="11"/>
  <c r="O408" i="11"/>
  <c r="P408" i="11"/>
  <c r="Q408" i="11"/>
  <c r="R408" i="11"/>
  <c r="S408" i="11"/>
  <c r="T408" i="11"/>
  <c r="U408" i="11"/>
  <c r="N409" i="11"/>
  <c r="O409" i="11"/>
  <c r="P409" i="11"/>
  <c r="Q409" i="11"/>
  <c r="R409" i="11"/>
  <c r="S409" i="11"/>
  <c r="T409" i="11"/>
  <c r="U409" i="11"/>
  <c r="N410" i="11"/>
  <c r="O410" i="11"/>
  <c r="P410" i="11"/>
  <c r="Q410" i="11"/>
  <c r="R410" i="11"/>
  <c r="S410" i="11"/>
  <c r="T410" i="11"/>
  <c r="U410" i="11"/>
  <c r="N411" i="11"/>
  <c r="O411" i="11"/>
  <c r="P411" i="11"/>
  <c r="Q411" i="11"/>
  <c r="R411" i="11"/>
  <c r="S411" i="11"/>
  <c r="T411" i="11"/>
  <c r="U411" i="11"/>
  <c r="N412" i="11"/>
  <c r="O412" i="11"/>
  <c r="P412" i="11"/>
  <c r="Q412" i="11"/>
  <c r="R412" i="11"/>
  <c r="S412" i="11"/>
  <c r="T412" i="11"/>
  <c r="U412" i="11"/>
  <c r="N413" i="11"/>
  <c r="O413" i="11"/>
  <c r="P413" i="11"/>
  <c r="Q413" i="11"/>
  <c r="R413" i="11"/>
  <c r="S413" i="11"/>
  <c r="T413" i="11"/>
  <c r="U413" i="11"/>
  <c r="N414" i="11"/>
  <c r="O414" i="11"/>
  <c r="P414" i="11"/>
  <c r="Q414" i="11"/>
  <c r="R414" i="11"/>
  <c r="S414" i="11"/>
  <c r="T414" i="11"/>
  <c r="U414" i="11"/>
  <c r="N415" i="11"/>
  <c r="O415" i="11"/>
  <c r="P415" i="11"/>
  <c r="Q415" i="11"/>
  <c r="R415" i="11"/>
  <c r="S415" i="11"/>
  <c r="T415" i="11"/>
  <c r="U415" i="11"/>
  <c r="N416" i="11"/>
  <c r="O416" i="11"/>
  <c r="P416" i="11"/>
  <c r="Q416" i="11"/>
  <c r="R416" i="11"/>
  <c r="S416" i="11"/>
  <c r="T416" i="11"/>
  <c r="U416" i="11"/>
  <c r="N417" i="11"/>
  <c r="O417" i="11"/>
  <c r="P417" i="11"/>
  <c r="Q417" i="11"/>
  <c r="R417" i="11"/>
  <c r="S417" i="11"/>
  <c r="T417" i="11"/>
  <c r="U417" i="11"/>
  <c r="N418" i="11"/>
  <c r="O418" i="11"/>
  <c r="P418" i="11"/>
  <c r="Q418" i="11"/>
  <c r="R418" i="11"/>
  <c r="S418" i="11"/>
  <c r="T418" i="11"/>
  <c r="U418" i="11"/>
  <c r="N419" i="11"/>
  <c r="O419" i="11"/>
  <c r="P419" i="11"/>
  <c r="Q419" i="11"/>
  <c r="R419" i="11"/>
  <c r="S419" i="11"/>
  <c r="T419" i="11"/>
  <c r="U419" i="11"/>
  <c r="N420" i="11"/>
  <c r="O420" i="11"/>
  <c r="P420" i="11"/>
  <c r="Q420" i="11"/>
  <c r="R420" i="11"/>
  <c r="S420" i="11"/>
  <c r="T420" i="11"/>
  <c r="U420" i="11"/>
  <c r="N421" i="11"/>
  <c r="O421" i="11"/>
  <c r="P421" i="11"/>
  <c r="Q421" i="11"/>
  <c r="R421" i="11"/>
  <c r="S421" i="11"/>
  <c r="T421" i="11"/>
  <c r="U421" i="11"/>
  <c r="N422" i="11"/>
  <c r="O422" i="11"/>
  <c r="P422" i="11"/>
  <c r="Q422" i="11"/>
  <c r="R422" i="11"/>
  <c r="S422" i="11"/>
  <c r="T422" i="11"/>
  <c r="U422" i="11"/>
  <c r="N423" i="11"/>
  <c r="O423" i="11"/>
  <c r="P423" i="11"/>
  <c r="Q423" i="11"/>
  <c r="R423" i="11"/>
  <c r="S423" i="11"/>
  <c r="T423" i="11"/>
  <c r="U423" i="11"/>
  <c r="N424" i="11"/>
  <c r="O424" i="11"/>
  <c r="P424" i="11"/>
  <c r="Q424" i="11"/>
  <c r="R424" i="11"/>
  <c r="S424" i="11"/>
  <c r="T424" i="11"/>
  <c r="U424" i="11"/>
  <c r="N425" i="11"/>
  <c r="O425" i="11"/>
  <c r="P425" i="11"/>
  <c r="Q425" i="11"/>
  <c r="R425" i="11"/>
  <c r="S425" i="11"/>
  <c r="T425" i="11"/>
  <c r="U425" i="11"/>
  <c r="N426" i="11"/>
  <c r="O426" i="11"/>
  <c r="P426" i="11"/>
  <c r="Q426" i="11"/>
  <c r="R426" i="11"/>
  <c r="S426" i="11"/>
  <c r="T426" i="11"/>
  <c r="U426" i="11"/>
  <c r="N427" i="11"/>
  <c r="O427" i="11"/>
  <c r="P427" i="11"/>
  <c r="Q427" i="11"/>
  <c r="R427" i="11"/>
  <c r="S427" i="11"/>
  <c r="T427" i="11"/>
  <c r="U427" i="11"/>
  <c r="N428" i="11"/>
  <c r="O428" i="11"/>
  <c r="P428" i="11"/>
  <c r="Q428" i="11"/>
  <c r="R428" i="11"/>
  <c r="S428" i="11"/>
  <c r="T428" i="11"/>
  <c r="U428" i="11"/>
  <c r="N429" i="11"/>
  <c r="O429" i="11"/>
  <c r="P429" i="11"/>
  <c r="Q429" i="11"/>
  <c r="R429" i="11"/>
  <c r="S429" i="11"/>
  <c r="T429" i="11"/>
  <c r="U429" i="11"/>
  <c r="N430" i="11"/>
  <c r="O430" i="11"/>
  <c r="P430" i="11"/>
  <c r="Q430" i="11"/>
  <c r="R430" i="11"/>
  <c r="S430" i="11"/>
  <c r="T430" i="11"/>
  <c r="U430" i="11"/>
  <c r="N431" i="11"/>
  <c r="O431" i="11"/>
  <c r="P431" i="11"/>
  <c r="Q431" i="11"/>
  <c r="R431" i="11"/>
  <c r="S431" i="11"/>
  <c r="T431" i="11"/>
  <c r="U431" i="11"/>
  <c r="N432" i="11"/>
  <c r="O432" i="11"/>
  <c r="P432" i="11"/>
  <c r="Q432" i="11"/>
  <c r="R432" i="11"/>
  <c r="S432" i="11"/>
  <c r="T432" i="11"/>
  <c r="U432" i="11"/>
  <c r="N433" i="11"/>
  <c r="O433" i="11"/>
  <c r="P433" i="11"/>
  <c r="Q433" i="11"/>
  <c r="R433" i="11"/>
  <c r="S433" i="11"/>
  <c r="T433" i="11"/>
  <c r="U433" i="11"/>
  <c r="N434" i="11"/>
  <c r="O434" i="11"/>
  <c r="P434" i="11"/>
  <c r="Q434" i="11"/>
  <c r="R434" i="11"/>
  <c r="S434" i="11"/>
  <c r="T434" i="11"/>
  <c r="U434" i="11"/>
  <c r="N435" i="11"/>
  <c r="O435" i="11"/>
  <c r="P435" i="11"/>
  <c r="Q435" i="11"/>
  <c r="R435" i="11"/>
  <c r="S435" i="11"/>
  <c r="T435" i="11"/>
  <c r="U435" i="11"/>
  <c r="N436" i="11"/>
  <c r="O436" i="11"/>
  <c r="P436" i="11"/>
  <c r="Q436" i="11"/>
  <c r="R436" i="11"/>
  <c r="S436" i="11"/>
  <c r="T436" i="11"/>
  <c r="U436" i="11"/>
  <c r="N437" i="11"/>
  <c r="O437" i="11"/>
  <c r="P437" i="11"/>
  <c r="Q437" i="11"/>
  <c r="R437" i="11"/>
  <c r="S437" i="11"/>
  <c r="T437" i="11"/>
  <c r="U437" i="11"/>
  <c r="N438" i="11"/>
  <c r="O438" i="11"/>
  <c r="P438" i="11"/>
  <c r="Q438" i="11"/>
  <c r="R438" i="11"/>
  <c r="S438" i="11"/>
  <c r="T438" i="11"/>
  <c r="U438" i="11"/>
  <c r="N439" i="11"/>
  <c r="O439" i="11"/>
  <c r="P439" i="11"/>
  <c r="Q439" i="11"/>
  <c r="R439" i="11"/>
  <c r="S439" i="11"/>
  <c r="T439" i="11"/>
  <c r="U439" i="11"/>
  <c r="N440" i="11"/>
  <c r="O440" i="11"/>
  <c r="P440" i="11"/>
  <c r="Q440" i="11"/>
  <c r="R440" i="11"/>
  <c r="S440" i="11"/>
  <c r="T440" i="11"/>
  <c r="U440" i="11"/>
  <c r="N441" i="11"/>
  <c r="O441" i="11"/>
  <c r="P441" i="11"/>
  <c r="Q441" i="11"/>
  <c r="R441" i="11"/>
  <c r="S441" i="11"/>
  <c r="T441" i="11"/>
  <c r="U441" i="11"/>
  <c r="N442" i="11"/>
  <c r="O442" i="11"/>
  <c r="P442" i="11"/>
  <c r="Q442" i="11"/>
  <c r="R442" i="11"/>
  <c r="S442" i="11"/>
  <c r="T442" i="11"/>
  <c r="U442" i="11"/>
  <c r="N443" i="11"/>
  <c r="O443" i="11"/>
  <c r="P443" i="11"/>
  <c r="Q443" i="11"/>
  <c r="R443" i="11"/>
  <c r="S443" i="11"/>
  <c r="T443" i="11"/>
  <c r="U443" i="11"/>
  <c r="N444" i="11"/>
  <c r="O444" i="11"/>
  <c r="P444" i="11"/>
  <c r="Q444" i="11"/>
  <c r="R444" i="11"/>
  <c r="S444" i="11"/>
  <c r="T444" i="11"/>
  <c r="U444" i="11"/>
  <c r="N445" i="11"/>
  <c r="O445" i="11"/>
  <c r="P445" i="11"/>
  <c r="Q445" i="11"/>
  <c r="R445" i="11"/>
  <c r="S445" i="11"/>
  <c r="T445" i="11"/>
  <c r="U445" i="11"/>
  <c r="N446" i="11"/>
  <c r="O446" i="11"/>
  <c r="P446" i="11"/>
  <c r="Q446" i="11"/>
  <c r="R446" i="11"/>
  <c r="S446" i="11"/>
  <c r="T446" i="11"/>
  <c r="U446" i="11"/>
  <c r="N447" i="11"/>
  <c r="O447" i="11"/>
  <c r="P447" i="11"/>
  <c r="Q447" i="11"/>
  <c r="R447" i="11"/>
  <c r="S447" i="11"/>
  <c r="T447" i="11"/>
  <c r="U447" i="11"/>
  <c r="N448" i="11"/>
  <c r="O448" i="11"/>
  <c r="P448" i="11"/>
  <c r="Q448" i="11"/>
  <c r="R448" i="11"/>
  <c r="S448" i="11"/>
  <c r="T448" i="11"/>
  <c r="U448" i="11"/>
  <c r="N449" i="11"/>
  <c r="O449" i="11"/>
  <c r="P449" i="11"/>
  <c r="Q449" i="11"/>
  <c r="R449" i="11"/>
  <c r="S449" i="11"/>
  <c r="T449" i="11"/>
  <c r="U449" i="11"/>
  <c r="N450" i="11"/>
  <c r="O450" i="11"/>
  <c r="P450" i="11"/>
  <c r="Q450" i="11"/>
  <c r="R450" i="11"/>
  <c r="S450" i="11"/>
  <c r="T450" i="11"/>
  <c r="U450" i="11"/>
  <c r="N451" i="11"/>
  <c r="O451" i="11"/>
  <c r="P451" i="11"/>
  <c r="Q451" i="11"/>
  <c r="R451" i="11"/>
  <c r="S451" i="11"/>
  <c r="T451" i="11"/>
  <c r="U451" i="11"/>
  <c r="N452" i="11"/>
  <c r="O452" i="11"/>
  <c r="P452" i="11"/>
  <c r="Q452" i="11"/>
  <c r="R452" i="11"/>
  <c r="S452" i="11"/>
  <c r="T452" i="11"/>
  <c r="U452" i="11"/>
  <c r="N453" i="11"/>
  <c r="O453" i="11"/>
  <c r="P453" i="11"/>
  <c r="Q453" i="11"/>
  <c r="R453" i="11"/>
  <c r="S453" i="11"/>
  <c r="T453" i="11"/>
  <c r="U453" i="11"/>
  <c r="N454" i="11"/>
  <c r="O454" i="11"/>
  <c r="P454" i="11"/>
  <c r="Q454" i="11"/>
  <c r="R454" i="11"/>
  <c r="S454" i="11"/>
  <c r="T454" i="11"/>
  <c r="U454" i="11"/>
  <c r="N455" i="11"/>
  <c r="O455" i="11"/>
  <c r="P455" i="11"/>
  <c r="Q455" i="11"/>
  <c r="R455" i="11"/>
  <c r="S455" i="11"/>
  <c r="T455" i="11"/>
  <c r="U455" i="11"/>
  <c r="N456" i="11"/>
  <c r="O456" i="11"/>
  <c r="P456" i="11"/>
  <c r="Q456" i="11"/>
  <c r="R456" i="11"/>
  <c r="S456" i="11"/>
  <c r="T456" i="11"/>
  <c r="U456" i="11"/>
  <c r="N457" i="11"/>
  <c r="O457" i="11"/>
  <c r="P457" i="11"/>
  <c r="Q457" i="11"/>
  <c r="R457" i="11"/>
  <c r="S457" i="11"/>
  <c r="T457" i="11"/>
  <c r="U457" i="11"/>
  <c r="N458" i="11"/>
  <c r="O458" i="11"/>
  <c r="P458" i="11"/>
  <c r="Q458" i="11"/>
  <c r="R458" i="11"/>
  <c r="S458" i="11"/>
  <c r="T458" i="11"/>
  <c r="U458" i="11"/>
  <c r="N459" i="11"/>
  <c r="O459" i="11"/>
  <c r="P459" i="11"/>
  <c r="Q459" i="11"/>
  <c r="R459" i="11"/>
  <c r="S459" i="11"/>
  <c r="T459" i="11"/>
  <c r="U459" i="11"/>
  <c r="N460" i="11"/>
  <c r="O460" i="11"/>
  <c r="P460" i="11"/>
  <c r="Q460" i="11"/>
  <c r="R460" i="11"/>
  <c r="S460" i="11"/>
  <c r="T460" i="11"/>
  <c r="U460" i="11"/>
  <c r="N461" i="11"/>
  <c r="O461" i="11"/>
  <c r="P461" i="11"/>
  <c r="Q461" i="11"/>
  <c r="R461" i="11"/>
  <c r="S461" i="11"/>
  <c r="T461" i="11"/>
  <c r="U461" i="11"/>
  <c r="N462" i="11"/>
  <c r="O462" i="11"/>
  <c r="P462" i="11"/>
  <c r="Q462" i="11"/>
  <c r="R462" i="11"/>
  <c r="S462" i="11"/>
  <c r="T462" i="11"/>
  <c r="U462" i="11"/>
  <c r="N463" i="11"/>
  <c r="O463" i="11"/>
  <c r="P463" i="11"/>
  <c r="Q463" i="11"/>
  <c r="R463" i="11"/>
  <c r="S463" i="11"/>
  <c r="T463" i="11"/>
  <c r="U463" i="11"/>
  <c r="N464" i="11"/>
  <c r="O464" i="11"/>
  <c r="P464" i="11"/>
  <c r="Q464" i="11"/>
  <c r="R464" i="11"/>
  <c r="S464" i="11"/>
  <c r="T464" i="11"/>
  <c r="U464" i="11"/>
  <c r="N465" i="11"/>
  <c r="O465" i="11"/>
  <c r="P465" i="11"/>
  <c r="Q465" i="11"/>
  <c r="R465" i="11"/>
  <c r="S465" i="11"/>
  <c r="T465" i="11"/>
  <c r="U465" i="11"/>
  <c r="N466" i="11"/>
  <c r="O466" i="11"/>
  <c r="P466" i="11"/>
  <c r="Q466" i="11"/>
  <c r="R466" i="11"/>
  <c r="S466" i="11"/>
  <c r="T466" i="11"/>
  <c r="U466" i="11"/>
  <c r="N467" i="11"/>
  <c r="O467" i="11"/>
  <c r="P467" i="11"/>
  <c r="Q467" i="11"/>
  <c r="R467" i="11"/>
  <c r="S467" i="11"/>
  <c r="T467" i="11"/>
  <c r="U467" i="11"/>
  <c r="N468" i="11"/>
  <c r="O468" i="11"/>
  <c r="P468" i="11"/>
  <c r="Q468" i="11"/>
  <c r="R468" i="11"/>
  <c r="S468" i="11"/>
  <c r="T468" i="11"/>
  <c r="U468" i="11"/>
  <c r="N469" i="11"/>
  <c r="O469" i="11"/>
  <c r="P469" i="11"/>
  <c r="Q469" i="11"/>
  <c r="R469" i="11"/>
  <c r="S469" i="11"/>
  <c r="T469" i="11"/>
  <c r="U469" i="11"/>
  <c r="N470" i="11"/>
  <c r="O470" i="11"/>
  <c r="P470" i="11"/>
  <c r="Q470" i="11"/>
  <c r="R470" i="11"/>
  <c r="S470" i="11"/>
  <c r="T470" i="11"/>
  <c r="U470" i="11"/>
  <c r="N471" i="11"/>
  <c r="O471" i="11"/>
  <c r="P471" i="11"/>
  <c r="Q471" i="11"/>
  <c r="R471" i="11"/>
  <c r="S471" i="11"/>
  <c r="T471" i="11"/>
  <c r="U471" i="11"/>
  <c r="N472" i="11"/>
  <c r="O472" i="11"/>
  <c r="P472" i="11"/>
  <c r="Q472" i="11"/>
  <c r="R472" i="11"/>
  <c r="S472" i="11"/>
  <c r="T472" i="11"/>
  <c r="U472" i="11"/>
  <c r="N473" i="11"/>
  <c r="O473" i="11"/>
  <c r="P473" i="11"/>
  <c r="Q473" i="11"/>
  <c r="R473" i="11"/>
  <c r="S473" i="11"/>
  <c r="T473" i="11"/>
  <c r="U473" i="11"/>
  <c r="N474" i="11"/>
  <c r="O474" i="11"/>
  <c r="P474" i="11"/>
  <c r="Q474" i="11"/>
  <c r="R474" i="11"/>
  <c r="S474" i="11"/>
  <c r="T474" i="11"/>
  <c r="U474" i="11"/>
  <c r="N475" i="11"/>
  <c r="O475" i="11"/>
  <c r="P475" i="11"/>
  <c r="Q475" i="11"/>
  <c r="R475" i="11"/>
  <c r="S475" i="11"/>
  <c r="T475" i="11"/>
  <c r="U475" i="11"/>
  <c r="N476" i="11"/>
  <c r="O476" i="11"/>
  <c r="P476" i="11"/>
  <c r="Q476" i="11"/>
  <c r="R476" i="11"/>
  <c r="S476" i="11"/>
  <c r="T476" i="11"/>
  <c r="U476" i="11"/>
  <c r="N477" i="11"/>
  <c r="O477" i="11"/>
  <c r="P477" i="11"/>
  <c r="Q477" i="11"/>
  <c r="R477" i="11"/>
  <c r="S477" i="11"/>
  <c r="T477" i="11"/>
  <c r="U477" i="11"/>
  <c r="N478" i="11"/>
  <c r="O478" i="11"/>
  <c r="P478" i="11"/>
  <c r="Q478" i="11"/>
  <c r="R478" i="11"/>
  <c r="S478" i="11"/>
  <c r="T478" i="11"/>
  <c r="U478" i="11"/>
  <c r="N479" i="11"/>
  <c r="O479" i="11"/>
  <c r="P479" i="11"/>
  <c r="Q479" i="11"/>
  <c r="R479" i="11"/>
  <c r="S479" i="11"/>
  <c r="T479" i="11"/>
  <c r="U479" i="11"/>
  <c r="N480" i="11"/>
  <c r="O480" i="11"/>
  <c r="P480" i="11"/>
  <c r="Q480" i="11"/>
  <c r="R480" i="11"/>
  <c r="S480" i="11"/>
  <c r="T480" i="11"/>
  <c r="U480" i="11"/>
  <c r="N481" i="11"/>
  <c r="O481" i="11"/>
  <c r="P481" i="11"/>
  <c r="Q481" i="11"/>
  <c r="R481" i="11"/>
  <c r="S481" i="11"/>
  <c r="T481" i="11"/>
  <c r="U481" i="11"/>
  <c r="N482" i="11"/>
  <c r="O482" i="11"/>
  <c r="P482" i="11"/>
  <c r="Q482" i="11"/>
  <c r="R482" i="11"/>
  <c r="S482" i="11"/>
  <c r="T482" i="11"/>
  <c r="U482" i="11"/>
  <c r="N483" i="11"/>
  <c r="O483" i="11"/>
  <c r="P483" i="11"/>
  <c r="Q483" i="11"/>
  <c r="R483" i="11"/>
  <c r="S483" i="11"/>
  <c r="T483" i="11"/>
  <c r="U483" i="11"/>
  <c r="O2" i="11"/>
  <c r="P2" i="11"/>
  <c r="Q2" i="11"/>
  <c r="R2" i="11"/>
  <c r="S2" i="11"/>
  <c r="T2" i="11"/>
  <c r="U2" i="11"/>
  <c r="N2" i="11"/>
  <c r="G17" i="12" l="1"/>
  <c r="G16" i="12"/>
  <c r="N3" i="1"/>
  <c r="O3" i="1"/>
  <c r="P3" i="1"/>
  <c r="Q3" i="1"/>
  <c r="R3" i="1"/>
  <c r="S3" i="1"/>
  <c r="T3" i="1"/>
  <c r="U3" i="1"/>
  <c r="N4" i="1"/>
  <c r="O4" i="1"/>
  <c r="P4" i="1"/>
  <c r="Q4" i="1"/>
  <c r="R4" i="1"/>
  <c r="S4" i="1"/>
  <c r="T4" i="1"/>
  <c r="U4" i="1"/>
  <c r="N5" i="1"/>
  <c r="O5" i="1"/>
  <c r="P5" i="1"/>
  <c r="Q5" i="1"/>
  <c r="R5" i="1"/>
  <c r="S5" i="1"/>
  <c r="T5" i="1"/>
  <c r="U5" i="1"/>
  <c r="N6" i="1"/>
  <c r="O6" i="1"/>
  <c r="P6" i="1"/>
  <c r="Q6" i="1"/>
  <c r="R6" i="1"/>
  <c r="S6" i="1"/>
  <c r="T6" i="1"/>
  <c r="U6" i="1"/>
  <c r="N7" i="1"/>
  <c r="O7" i="1"/>
  <c r="P7" i="1"/>
  <c r="Q7" i="1"/>
  <c r="R7" i="1"/>
  <c r="S7" i="1"/>
  <c r="T7" i="1"/>
  <c r="U7" i="1"/>
  <c r="N8" i="1"/>
  <c r="O8" i="1"/>
  <c r="P8" i="1"/>
  <c r="Q8" i="1"/>
  <c r="R8" i="1"/>
  <c r="S8" i="1"/>
  <c r="T8" i="1"/>
  <c r="U8" i="1"/>
  <c r="N9" i="1"/>
  <c r="O9" i="1"/>
  <c r="P9" i="1"/>
  <c r="Q9" i="1"/>
  <c r="R9" i="1"/>
  <c r="S9" i="1"/>
  <c r="T9" i="1"/>
  <c r="U9" i="1"/>
  <c r="N10" i="1"/>
  <c r="O10" i="1"/>
  <c r="P10" i="1"/>
  <c r="Q10" i="1"/>
  <c r="R10" i="1"/>
  <c r="S10" i="1"/>
  <c r="T10" i="1"/>
  <c r="U10" i="1"/>
  <c r="N11" i="1"/>
  <c r="O11" i="1"/>
  <c r="P11" i="1"/>
  <c r="Q11" i="1"/>
  <c r="R11" i="1"/>
  <c r="S11" i="1"/>
  <c r="T11" i="1"/>
  <c r="U11" i="1"/>
  <c r="N12" i="1"/>
  <c r="O12" i="1"/>
  <c r="P12" i="1"/>
  <c r="Q12" i="1"/>
  <c r="R12" i="1"/>
  <c r="S12" i="1"/>
  <c r="T12" i="1"/>
  <c r="U12" i="1"/>
  <c r="N13" i="1"/>
  <c r="O13" i="1"/>
  <c r="P13" i="1"/>
  <c r="Q13" i="1"/>
  <c r="R13" i="1"/>
  <c r="S13" i="1"/>
  <c r="T13" i="1"/>
  <c r="U13" i="1"/>
  <c r="N14" i="1"/>
  <c r="O14" i="1"/>
  <c r="P14" i="1"/>
  <c r="Q14" i="1"/>
  <c r="R14" i="1"/>
  <c r="S14" i="1"/>
  <c r="T14" i="1"/>
  <c r="U14" i="1"/>
  <c r="N15" i="1"/>
  <c r="O15" i="1"/>
  <c r="P15" i="1"/>
  <c r="Q15" i="1"/>
  <c r="R15" i="1"/>
  <c r="S15" i="1"/>
  <c r="T15" i="1"/>
  <c r="U15" i="1"/>
  <c r="N16" i="1"/>
  <c r="O16" i="1"/>
  <c r="P16" i="1"/>
  <c r="Q16" i="1"/>
  <c r="R16" i="1"/>
  <c r="S16" i="1"/>
  <c r="T16" i="1"/>
  <c r="U16" i="1"/>
  <c r="N17" i="1"/>
  <c r="O17" i="1"/>
  <c r="P17" i="1"/>
  <c r="Q17" i="1"/>
  <c r="R17" i="1"/>
  <c r="S17" i="1"/>
  <c r="T17" i="1"/>
  <c r="U17" i="1"/>
  <c r="N18" i="1"/>
  <c r="O18" i="1"/>
  <c r="P18" i="1"/>
  <c r="Q18" i="1"/>
  <c r="R18" i="1"/>
  <c r="S18" i="1"/>
  <c r="T18" i="1"/>
  <c r="U18" i="1"/>
  <c r="N19" i="1"/>
  <c r="O19" i="1"/>
  <c r="P19" i="1"/>
  <c r="Q19" i="1"/>
  <c r="R19" i="1"/>
  <c r="S19" i="1"/>
  <c r="T19" i="1"/>
  <c r="U19" i="1"/>
  <c r="N20" i="1"/>
  <c r="O20" i="1"/>
  <c r="P20" i="1"/>
  <c r="Q20" i="1"/>
  <c r="R20" i="1"/>
  <c r="S20" i="1"/>
  <c r="T20" i="1"/>
  <c r="U20" i="1"/>
  <c r="N21" i="1"/>
  <c r="O21" i="1"/>
  <c r="P21" i="1"/>
  <c r="Q21" i="1"/>
  <c r="R21" i="1"/>
  <c r="S21" i="1"/>
  <c r="T21" i="1"/>
  <c r="U21" i="1"/>
  <c r="N22" i="1"/>
  <c r="O22" i="1"/>
  <c r="P22" i="1"/>
  <c r="Q22" i="1"/>
  <c r="R22" i="1"/>
  <c r="S22" i="1"/>
  <c r="T22" i="1"/>
  <c r="U22" i="1"/>
  <c r="N23" i="1"/>
  <c r="O23" i="1"/>
  <c r="P23" i="1"/>
  <c r="Q23" i="1"/>
  <c r="R23" i="1"/>
  <c r="S23" i="1"/>
  <c r="T23" i="1"/>
  <c r="U23" i="1"/>
  <c r="N24" i="1"/>
  <c r="O24" i="1"/>
  <c r="P24" i="1"/>
  <c r="Q24" i="1"/>
  <c r="R24" i="1"/>
  <c r="S24" i="1"/>
  <c r="T24" i="1"/>
  <c r="U24" i="1"/>
  <c r="N25" i="1"/>
  <c r="O25" i="1"/>
  <c r="P25" i="1"/>
  <c r="Q25" i="1"/>
  <c r="R25" i="1"/>
  <c r="S25" i="1"/>
  <c r="T25" i="1"/>
  <c r="U25" i="1"/>
  <c r="N26" i="1"/>
  <c r="O26" i="1"/>
  <c r="P26" i="1"/>
  <c r="Q26" i="1"/>
  <c r="R26" i="1"/>
  <c r="S26" i="1"/>
  <c r="T26" i="1"/>
  <c r="U26" i="1"/>
  <c r="N27" i="1"/>
  <c r="O27" i="1"/>
  <c r="P27" i="1"/>
  <c r="Q27" i="1"/>
  <c r="R27" i="1"/>
  <c r="S27" i="1"/>
  <c r="T27" i="1"/>
  <c r="U27" i="1"/>
  <c r="N28" i="1"/>
  <c r="O28" i="1"/>
  <c r="P28" i="1"/>
  <c r="Q28" i="1"/>
  <c r="R28" i="1"/>
  <c r="S28" i="1"/>
  <c r="T28" i="1"/>
  <c r="U28" i="1"/>
  <c r="N29" i="1"/>
  <c r="O29" i="1"/>
  <c r="P29" i="1"/>
  <c r="Q29" i="1"/>
  <c r="R29" i="1"/>
  <c r="S29" i="1"/>
  <c r="T29" i="1"/>
  <c r="U29" i="1"/>
  <c r="N30" i="1"/>
  <c r="O30" i="1"/>
  <c r="P30" i="1"/>
  <c r="Q30" i="1"/>
  <c r="R30" i="1"/>
  <c r="S30" i="1"/>
  <c r="T30" i="1"/>
  <c r="U30" i="1"/>
  <c r="N31" i="1"/>
  <c r="O31" i="1"/>
  <c r="P31" i="1"/>
  <c r="Q31" i="1"/>
  <c r="R31" i="1"/>
  <c r="S31" i="1"/>
  <c r="T31" i="1"/>
  <c r="U31" i="1"/>
  <c r="N32" i="1"/>
  <c r="O32" i="1"/>
  <c r="P32" i="1"/>
  <c r="Q32" i="1"/>
  <c r="R32" i="1"/>
  <c r="S32" i="1"/>
  <c r="T32" i="1"/>
  <c r="U32" i="1"/>
  <c r="N33" i="1"/>
  <c r="O33" i="1"/>
  <c r="P33" i="1"/>
  <c r="Q33" i="1"/>
  <c r="R33" i="1"/>
  <c r="S33" i="1"/>
  <c r="T33" i="1"/>
  <c r="U33" i="1"/>
  <c r="N34" i="1"/>
  <c r="O34" i="1"/>
  <c r="P34" i="1"/>
  <c r="Q34" i="1"/>
  <c r="R34" i="1"/>
  <c r="S34" i="1"/>
  <c r="T34" i="1"/>
  <c r="U34" i="1"/>
  <c r="N35" i="1"/>
  <c r="O35" i="1"/>
  <c r="P35" i="1"/>
  <c r="Q35" i="1"/>
  <c r="R35" i="1"/>
  <c r="S35" i="1"/>
  <c r="T35" i="1"/>
  <c r="U35" i="1"/>
  <c r="N36" i="1"/>
  <c r="O36" i="1"/>
  <c r="P36" i="1"/>
  <c r="Q36" i="1"/>
  <c r="R36" i="1"/>
  <c r="S36" i="1"/>
  <c r="T36" i="1"/>
  <c r="U36" i="1"/>
  <c r="N37" i="1"/>
  <c r="O37" i="1"/>
  <c r="P37" i="1"/>
  <c r="Q37" i="1"/>
  <c r="R37" i="1"/>
  <c r="S37" i="1"/>
  <c r="T37" i="1"/>
  <c r="U37" i="1"/>
  <c r="N38" i="1"/>
  <c r="O38" i="1"/>
  <c r="P38" i="1"/>
  <c r="Q38" i="1"/>
  <c r="R38" i="1"/>
  <c r="S38" i="1"/>
  <c r="T38" i="1"/>
  <c r="U38" i="1"/>
  <c r="N39" i="1"/>
  <c r="O39" i="1"/>
  <c r="P39" i="1"/>
  <c r="Q39" i="1"/>
  <c r="R39" i="1"/>
  <c r="S39" i="1"/>
  <c r="T39" i="1"/>
  <c r="U39" i="1"/>
  <c r="N40" i="1"/>
  <c r="O40" i="1"/>
  <c r="P40" i="1"/>
  <c r="Q40" i="1"/>
  <c r="R40" i="1"/>
  <c r="S40" i="1"/>
  <c r="T40" i="1"/>
  <c r="U40" i="1"/>
  <c r="N41" i="1"/>
  <c r="O41" i="1"/>
  <c r="P41" i="1"/>
  <c r="Q41" i="1"/>
  <c r="R41" i="1"/>
  <c r="S41" i="1"/>
  <c r="T41" i="1"/>
  <c r="U41" i="1"/>
  <c r="N42" i="1"/>
  <c r="O42" i="1"/>
  <c r="P42" i="1"/>
  <c r="Q42" i="1"/>
  <c r="R42" i="1"/>
  <c r="S42" i="1"/>
  <c r="T42" i="1"/>
  <c r="U42" i="1"/>
  <c r="N43" i="1"/>
  <c r="O43" i="1"/>
  <c r="P43" i="1"/>
  <c r="Q43" i="1"/>
  <c r="R43" i="1"/>
  <c r="S43" i="1"/>
  <c r="T43" i="1"/>
  <c r="U43" i="1"/>
  <c r="N44" i="1"/>
  <c r="O44" i="1"/>
  <c r="P44" i="1"/>
  <c r="Q44" i="1"/>
  <c r="R44" i="1"/>
  <c r="S44" i="1"/>
  <c r="T44" i="1"/>
  <c r="U44" i="1"/>
  <c r="N45" i="1"/>
  <c r="O45" i="1"/>
  <c r="P45" i="1"/>
  <c r="Q45" i="1"/>
  <c r="R45" i="1"/>
  <c r="S45" i="1"/>
  <c r="T45" i="1"/>
  <c r="U45" i="1"/>
  <c r="N46" i="1"/>
  <c r="O46" i="1"/>
  <c r="P46" i="1"/>
  <c r="Q46" i="1"/>
  <c r="R46" i="1"/>
  <c r="S46" i="1"/>
  <c r="T46" i="1"/>
  <c r="U46" i="1"/>
  <c r="N47" i="1"/>
  <c r="O47" i="1"/>
  <c r="P47" i="1"/>
  <c r="Q47" i="1"/>
  <c r="R47" i="1"/>
  <c r="S47" i="1"/>
  <c r="T47" i="1"/>
  <c r="U47" i="1"/>
  <c r="N48" i="1"/>
  <c r="O48" i="1"/>
  <c r="P48" i="1"/>
  <c r="Q48" i="1"/>
  <c r="R48" i="1"/>
  <c r="S48" i="1"/>
  <c r="T48" i="1"/>
  <c r="U48" i="1"/>
  <c r="N49" i="1"/>
  <c r="O49" i="1"/>
  <c r="P49" i="1"/>
  <c r="Q49" i="1"/>
  <c r="R49" i="1"/>
  <c r="S49" i="1"/>
  <c r="T49" i="1"/>
  <c r="U49" i="1"/>
  <c r="N50" i="1"/>
  <c r="O50" i="1"/>
  <c r="P50" i="1"/>
  <c r="Q50" i="1"/>
  <c r="R50" i="1"/>
  <c r="S50" i="1"/>
  <c r="T50" i="1"/>
  <c r="U50" i="1"/>
  <c r="N51" i="1"/>
  <c r="O51" i="1"/>
  <c r="P51" i="1"/>
  <c r="Q51" i="1"/>
  <c r="R51" i="1"/>
  <c r="S51" i="1"/>
  <c r="T51" i="1"/>
  <c r="U51" i="1"/>
  <c r="N52" i="1"/>
  <c r="O52" i="1"/>
  <c r="P52" i="1"/>
  <c r="Q52" i="1"/>
  <c r="R52" i="1"/>
  <c r="S52" i="1"/>
  <c r="T52" i="1"/>
  <c r="U52" i="1"/>
  <c r="N53" i="1"/>
  <c r="O53" i="1"/>
  <c r="P53" i="1"/>
  <c r="Q53" i="1"/>
  <c r="R53" i="1"/>
  <c r="S53" i="1"/>
  <c r="T53" i="1"/>
  <c r="U53" i="1"/>
  <c r="N54" i="1"/>
  <c r="O54" i="1"/>
  <c r="P54" i="1"/>
  <c r="Q54" i="1"/>
  <c r="R54" i="1"/>
  <c r="S54" i="1"/>
  <c r="T54" i="1"/>
  <c r="U54" i="1"/>
  <c r="N55" i="1"/>
  <c r="O55" i="1"/>
  <c r="P55" i="1"/>
  <c r="Q55" i="1"/>
  <c r="R55" i="1"/>
  <c r="S55" i="1"/>
  <c r="T55" i="1"/>
  <c r="U55" i="1"/>
  <c r="N56" i="1"/>
  <c r="O56" i="1"/>
  <c r="P56" i="1"/>
  <c r="Q56" i="1"/>
  <c r="R56" i="1"/>
  <c r="S56" i="1"/>
  <c r="T56" i="1"/>
  <c r="U56" i="1"/>
  <c r="N57" i="1"/>
  <c r="O57" i="1"/>
  <c r="P57" i="1"/>
  <c r="Q57" i="1"/>
  <c r="R57" i="1"/>
  <c r="S57" i="1"/>
  <c r="T57" i="1"/>
  <c r="U57" i="1"/>
  <c r="N58" i="1"/>
  <c r="O58" i="1"/>
  <c r="P58" i="1"/>
  <c r="Q58" i="1"/>
  <c r="R58" i="1"/>
  <c r="S58" i="1"/>
  <c r="T58" i="1"/>
  <c r="U58" i="1"/>
  <c r="N59" i="1"/>
  <c r="O59" i="1"/>
  <c r="P59" i="1"/>
  <c r="Q59" i="1"/>
  <c r="R59" i="1"/>
  <c r="S59" i="1"/>
  <c r="T59" i="1"/>
  <c r="U59" i="1"/>
  <c r="N60" i="1"/>
  <c r="O60" i="1"/>
  <c r="P60" i="1"/>
  <c r="Q60" i="1"/>
  <c r="R60" i="1"/>
  <c r="S60" i="1"/>
  <c r="T60" i="1"/>
  <c r="U60" i="1"/>
  <c r="N61" i="1"/>
  <c r="O61" i="1"/>
  <c r="P61" i="1"/>
  <c r="Q61" i="1"/>
  <c r="R61" i="1"/>
  <c r="S61" i="1"/>
  <c r="T61" i="1"/>
  <c r="U61" i="1"/>
  <c r="N62" i="1"/>
  <c r="O62" i="1"/>
  <c r="P62" i="1"/>
  <c r="Q62" i="1"/>
  <c r="R62" i="1"/>
  <c r="S62" i="1"/>
  <c r="T62" i="1"/>
  <c r="U62" i="1"/>
  <c r="N63" i="1"/>
  <c r="O63" i="1"/>
  <c r="P63" i="1"/>
  <c r="Q63" i="1"/>
  <c r="R63" i="1"/>
  <c r="S63" i="1"/>
  <c r="T63" i="1"/>
  <c r="U63" i="1"/>
  <c r="N64" i="1"/>
  <c r="O64" i="1"/>
  <c r="P64" i="1"/>
  <c r="Q64" i="1"/>
  <c r="R64" i="1"/>
  <c r="S64" i="1"/>
  <c r="T64" i="1"/>
  <c r="U64" i="1"/>
  <c r="N65" i="1"/>
  <c r="O65" i="1"/>
  <c r="P65" i="1"/>
  <c r="Q65" i="1"/>
  <c r="R65" i="1"/>
  <c r="S65" i="1"/>
  <c r="T65" i="1"/>
  <c r="U65" i="1"/>
  <c r="N66" i="1"/>
  <c r="O66" i="1"/>
  <c r="P66" i="1"/>
  <c r="Q66" i="1"/>
  <c r="R66" i="1"/>
  <c r="S66" i="1"/>
  <c r="T66" i="1"/>
  <c r="U66" i="1"/>
  <c r="N67" i="1"/>
  <c r="O67" i="1"/>
  <c r="P67" i="1"/>
  <c r="Q67" i="1"/>
  <c r="R67" i="1"/>
  <c r="S67" i="1"/>
  <c r="T67" i="1"/>
  <c r="U67" i="1"/>
  <c r="N68" i="1"/>
  <c r="O68" i="1"/>
  <c r="P68" i="1"/>
  <c r="Q68" i="1"/>
  <c r="R68" i="1"/>
  <c r="S68" i="1"/>
  <c r="T68" i="1"/>
  <c r="U68" i="1"/>
  <c r="N69" i="1"/>
  <c r="O69" i="1"/>
  <c r="P69" i="1"/>
  <c r="Q69" i="1"/>
  <c r="R69" i="1"/>
  <c r="S69" i="1"/>
  <c r="T69" i="1"/>
  <c r="U69" i="1"/>
  <c r="N70" i="1"/>
  <c r="O70" i="1"/>
  <c r="P70" i="1"/>
  <c r="Q70" i="1"/>
  <c r="R70" i="1"/>
  <c r="S70" i="1"/>
  <c r="T70" i="1"/>
  <c r="U70" i="1"/>
  <c r="N71" i="1"/>
  <c r="O71" i="1"/>
  <c r="P71" i="1"/>
  <c r="Q71" i="1"/>
  <c r="R71" i="1"/>
  <c r="S71" i="1"/>
  <c r="T71" i="1"/>
  <c r="U71" i="1"/>
  <c r="N72" i="1"/>
  <c r="O72" i="1"/>
  <c r="P72" i="1"/>
  <c r="Q72" i="1"/>
  <c r="R72" i="1"/>
  <c r="S72" i="1"/>
  <c r="T72" i="1"/>
  <c r="U72" i="1"/>
  <c r="N73" i="1"/>
  <c r="O73" i="1"/>
  <c r="P73" i="1"/>
  <c r="Q73" i="1"/>
  <c r="R73" i="1"/>
  <c r="S73" i="1"/>
  <c r="T73" i="1"/>
  <c r="U73" i="1"/>
  <c r="N74" i="1"/>
  <c r="O74" i="1"/>
  <c r="P74" i="1"/>
  <c r="Q74" i="1"/>
  <c r="R74" i="1"/>
  <c r="S74" i="1"/>
  <c r="T74" i="1"/>
  <c r="U74" i="1"/>
  <c r="N75" i="1"/>
  <c r="O75" i="1"/>
  <c r="P75" i="1"/>
  <c r="Q75" i="1"/>
  <c r="R75" i="1"/>
  <c r="S75" i="1"/>
  <c r="T75" i="1"/>
  <c r="U75" i="1"/>
  <c r="N76" i="1"/>
  <c r="O76" i="1"/>
  <c r="P76" i="1"/>
  <c r="Q76" i="1"/>
  <c r="R76" i="1"/>
  <c r="S76" i="1"/>
  <c r="T76" i="1"/>
  <c r="U76" i="1"/>
  <c r="N77" i="1"/>
  <c r="O77" i="1"/>
  <c r="P77" i="1"/>
  <c r="Q77" i="1"/>
  <c r="R77" i="1"/>
  <c r="S77" i="1"/>
  <c r="T77" i="1"/>
  <c r="U77" i="1"/>
  <c r="N78" i="1"/>
  <c r="O78" i="1"/>
  <c r="P78" i="1"/>
  <c r="Q78" i="1"/>
  <c r="R78" i="1"/>
  <c r="S78" i="1"/>
  <c r="T78" i="1"/>
  <c r="U78" i="1"/>
  <c r="N79" i="1"/>
  <c r="O79" i="1"/>
  <c r="P79" i="1"/>
  <c r="Q79" i="1"/>
  <c r="R79" i="1"/>
  <c r="S79" i="1"/>
  <c r="T79" i="1"/>
  <c r="U79" i="1"/>
  <c r="N80" i="1"/>
  <c r="O80" i="1"/>
  <c r="P80" i="1"/>
  <c r="Q80" i="1"/>
  <c r="R80" i="1"/>
  <c r="S80" i="1"/>
  <c r="T80" i="1"/>
  <c r="U80" i="1"/>
  <c r="N81" i="1"/>
  <c r="O81" i="1"/>
  <c r="P81" i="1"/>
  <c r="Q81" i="1"/>
  <c r="R81" i="1"/>
  <c r="S81" i="1"/>
  <c r="T81" i="1"/>
  <c r="U81" i="1"/>
  <c r="N82" i="1"/>
  <c r="O82" i="1"/>
  <c r="P82" i="1"/>
  <c r="Q82" i="1"/>
  <c r="R82" i="1"/>
  <c r="S82" i="1"/>
  <c r="T82" i="1"/>
  <c r="U82" i="1"/>
  <c r="N83" i="1"/>
  <c r="O83" i="1"/>
  <c r="P83" i="1"/>
  <c r="Q83" i="1"/>
  <c r="R83" i="1"/>
  <c r="S83" i="1"/>
  <c r="T83" i="1"/>
  <c r="U83" i="1"/>
  <c r="N84" i="1"/>
  <c r="O84" i="1"/>
  <c r="P84" i="1"/>
  <c r="Q84" i="1"/>
  <c r="R84" i="1"/>
  <c r="S84" i="1"/>
  <c r="T84" i="1"/>
  <c r="U84" i="1"/>
  <c r="N85" i="1"/>
  <c r="O85" i="1"/>
  <c r="P85" i="1"/>
  <c r="Q85" i="1"/>
  <c r="R85" i="1"/>
  <c r="S85" i="1"/>
  <c r="T85" i="1"/>
  <c r="U85" i="1"/>
  <c r="N86" i="1"/>
  <c r="O86" i="1"/>
  <c r="P86" i="1"/>
  <c r="Q86" i="1"/>
  <c r="R86" i="1"/>
  <c r="S86" i="1"/>
  <c r="T86" i="1"/>
  <c r="U86" i="1"/>
  <c r="N87" i="1"/>
  <c r="O87" i="1"/>
  <c r="P87" i="1"/>
  <c r="Q87" i="1"/>
  <c r="R87" i="1"/>
  <c r="S87" i="1"/>
  <c r="T87" i="1"/>
  <c r="U87" i="1"/>
  <c r="N88" i="1"/>
  <c r="O88" i="1"/>
  <c r="P88" i="1"/>
  <c r="Q88" i="1"/>
  <c r="R88" i="1"/>
  <c r="S88" i="1"/>
  <c r="T88" i="1"/>
  <c r="U88" i="1"/>
  <c r="N89" i="1"/>
  <c r="O89" i="1"/>
  <c r="P89" i="1"/>
  <c r="Q89" i="1"/>
  <c r="R89" i="1"/>
  <c r="S89" i="1"/>
  <c r="T89" i="1"/>
  <c r="U89" i="1"/>
  <c r="N90" i="1"/>
  <c r="O90" i="1"/>
  <c r="P90" i="1"/>
  <c r="Q90" i="1"/>
  <c r="R90" i="1"/>
  <c r="S90" i="1"/>
  <c r="T90" i="1"/>
  <c r="U90" i="1"/>
  <c r="N91" i="1"/>
  <c r="O91" i="1"/>
  <c r="P91" i="1"/>
  <c r="Q91" i="1"/>
  <c r="R91" i="1"/>
  <c r="S91" i="1"/>
  <c r="T91" i="1"/>
  <c r="U91" i="1"/>
  <c r="N92" i="1"/>
  <c r="O92" i="1"/>
  <c r="P92" i="1"/>
  <c r="Q92" i="1"/>
  <c r="R92" i="1"/>
  <c r="S92" i="1"/>
  <c r="T92" i="1"/>
  <c r="U92" i="1"/>
  <c r="N93" i="1"/>
  <c r="O93" i="1"/>
  <c r="P93" i="1"/>
  <c r="Q93" i="1"/>
  <c r="R93" i="1"/>
  <c r="S93" i="1"/>
  <c r="T93" i="1"/>
  <c r="U93" i="1"/>
  <c r="N94" i="1"/>
  <c r="O94" i="1"/>
  <c r="P94" i="1"/>
  <c r="Q94" i="1"/>
  <c r="R94" i="1"/>
  <c r="S94" i="1"/>
  <c r="T94" i="1"/>
  <c r="U94" i="1"/>
  <c r="N95" i="1"/>
  <c r="O95" i="1"/>
  <c r="P95" i="1"/>
  <c r="Q95" i="1"/>
  <c r="R95" i="1"/>
  <c r="S95" i="1"/>
  <c r="T95" i="1"/>
  <c r="U95" i="1"/>
  <c r="N96" i="1"/>
  <c r="O96" i="1"/>
  <c r="P96" i="1"/>
  <c r="Q96" i="1"/>
  <c r="R96" i="1"/>
  <c r="S96" i="1"/>
  <c r="T96" i="1"/>
  <c r="U96" i="1"/>
  <c r="N97" i="1"/>
  <c r="O97" i="1"/>
  <c r="P97" i="1"/>
  <c r="Q97" i="1"/>
  <c r="R97" i="1"/>
  <c r="S97" i="1"/>
  <c r="T97" i="1"/>
  <c r="U97" i="1"/>
  <c r="N98" i="1"/>
  <c r="O98" i="1"/>
  <c r="P98" i="1"/>
  <c r="Q98" i="1"/>
  <c r="R98" i="1"/>
  <c r="S98" i="1"/>
  <c r="T98" i="1"/>
  <c r="U98" i="1"/>
  <c r="N99" i="1"/>
  <c r="O99" i="1"/>
  <c r="P99" i="1"/>
  <c r="Q99" i="1"/>
  <c r="R99" i="1"/>
  <c r="S99" i="1"/>
  <c r="T99" i="1"/>
  <c r="U99" i="1"/>
  <c r="N100" i="1"/>
  <c r="O100" i="1"/>
  <c r="P100" i="1"/>
  <c r="Q100" i="1"/>
  <c r="R100" i="1"/>
  <c r="S100" i="1"/>
  <c r="T100" i="1"/>
  <c r="U100" i="1"/>
  <c r="N101" i="1"/>
  <c r="O101" i="1"/>
  <c r="P101" i="1"/>
  <c r="Q101" i="1"/>
  <c r="R101" i="1"/>
  <c r="S101" i="1"/>
  <c r="T101" i="1"/>
  <c r="U101" i="1"/>
  <c r="N102" i="1"/>
  <c r="O102" i="1"/>
  <c r="P102" i="1"/>
  <c r="Q102" i="1"/>
  <c r="R102" i="1"/>
  <c r="S102" i="1"/>
  <c r="T102" i="1"/>
  <c r="U102" i="1"/>
  <c r="N103" i="1"/>
  <c r="O103" i="1"/>
  <c r="P103" i="1"/>
  <c r="Q103" i="1"/>
  <c r="R103" i="1"/>
  <c r="S103" i="1"/>
  <c r="T103" i="1"/>
  <c r="U103" i="1"/>
  <c r="N104" i="1"/>
  <c r="O104" i="1"/>
  <c r="P104" i="1"/>
  <c r="Q104" i="1"/>
  <c r="R104" i="1"/>
  <c r="S104" i="1"/>
  <c r="T104" i="1"/>
  <c r="U104" i="1"/>
  <c r="N105" i="1"/>
  <c r="O105" i="1"/>
  <c r="P105" i="1"/>
  <c r="Q105" i="1"/>
  <c r="R105" i="1"/>
  <c r="S105" i="1"/>
  <c r="T105" i="1"/>
  <c r="U105" i="1"/>
  <c r="N106" i="1"/>
  <c r="O106" i="1"/>
  <c r="P106" i="1"/>
  <c r="Q106" i="1"/>
  <c r="R106" i="1"/>
  <c r="S106" i="1"/>
  <c r="T106" i="1"/>
  <c r="U106" i="1"/>
  <c r="N107" i="1"/>
  <c r="O107" i="1"/>
  <c r="P107" i="1"/>
  <c r="Q107" i="1"/>
  <c r="R107" i="1"/>
  <c r="S107" i="1"/>
  <c r="T107" i="1"/>
  <c r="U107" i="1"/>
  <c r="N108" i="1"/>
  <c r="O108" i="1"/>
  <c r="P108" i="1"/>
  <c r="Q108" i="1"/>
  <c r="R108" i="1"/>
  <c r="S108" i="1"/>
  <c r="T108" i="1"/>
  <c r="U108" i="1"/>
  <c r="N109" i="1"/>
  <c r="O109" i="1"/>
  <c r="P109" i="1"/>
  <c r="Q109" i="1"/>
  <c r="R109" i="1"/>
  <c r="S109" i="1"/>
  <c r="T109" i="1"/>
  <c r="U109" i="1"/>
  <c r="N110" i="1"/>
  <c r="O110" i="1"/>
  <c r="P110" i="1"/>
  <c r="Q110" i="1"/>
  <c r="R110" i="1"/>
  <c r="S110" i="1"/>
  <c r="T110" i="1"/>
  <c r="U110" i="1"/>
  <c r="N111" i="1"/>
  <c r="O111" i="1"/>
  <c r="P111" i="1"/>
  <c r="Q111" i="1"/>
  <c r="R111" i="1"/>
  <c r="S111" i="1"/>
  <c r="T111" i="1"/>
  <c r="U111" i="1"/>
  <c r="N112" i="1"/>
  <c r="O112" i="1"/>
  <c r="P112" i="1"/>
  <c r="Q112" i="1"/>
  <c r="R112" i="1"/>
  <c r="S112" i="1"/>
  <c r="T112" i="1"/>
  <c r="U112" i="1"/>
  <c r="N113" i="1"/>
  <c r="O113" i="1"/>
  <c r="P113" i="1"/>
  <c r="Q113" i="1"/>
  <c r="R113" i="1"/>
  <c r="S113" i="1"/>
  <c r="T113" i="1"/>
  <c r="U113" i="1"/>
  <c r="N114" i="1"/>
  <c r="O114" i="1"/>
  <c r="P114" i="1"/>
  <c r="Q114" i="1"/>
  <c r="R114" i="1"/>
  <c r="S114" i="1"/>
  <c r="T114" i="1"/>
  <c r="U114" i="1"/>
  <c r="N115" i="1"/>
  <c r="O115" i="1"/>
  <c r="P115" i="1"/>
  <c r="Q115" i="1"/>
  <c r="R115" i="1"/>
  <c r="S115" i="1"/>
  <c r="T115" i="1"/>
  <c r="U115" i="1"/>
  <c r="N116" i="1"/>
  <c r="O116" i="1"/>
  <c r="P116" i="1"/>
  <c r="Q116" i="1"/>
  <c r="R116" i="1"/>
  <c r="S116" i="1"/>
  <c r="T116" i="1"/>
  <c r="U116" i="1"/>
  <c r="N117" i="1"/>
  <c r="O117" i="1"/>
  <c r="P117" i="1"/>
  <c r="Q117" i="1"/>
  <c r="R117" i="1"/>
  <c r="S117" i="1"/>
  <c r="T117" i="1"/>
  <c r="U117" i="1"/>
  <c r="N118" i="1"/>
  <c r="O118" i="1"/>
  <c r="P118" i="1"/>
  <c r="Q118" i="1"/>
  <c r="R118" i="1"/>
  <c r="S118" i="1"/>
  <c r="T118" i="1"/>
  <c r="U118" i="1"/>
  <c r="N119" i="1"/>
  <c r="O119" i="1"/>
  <c r="P119" i="1"/>
  <c r="Q119" i="1"/>
  <c r="R119" i="1"/>
  <c r="S119" i="1"/>
  <c r="T119" i="1"/>
  <c r="U119" i="1"/>
  <c r="N120" i="1"/>
  <c r="O120" i="1"/>
  <c r="P120" i="1"/>
  <c r="Q120" i="1"/>
  <c r="R120" i="1"/>
  <c r="S120" i="1"/>
  <c r="T120" i="1"/>
  <c r="U120" i="1"/>
  <c r="N121" i="1"/>
  <c r="O121" i="1"/>
  <c r="P121" i="1"/>
  <c r="Q121" i="1"/>
  <c r="R121" i="1"/>
  <c r="S121" i="1"/>
  <c r="T121" i="1"/>
  <c r="U121" i="1"/>
  <c r="N122" i="1"/>
  <c r="O122" i="1"/>
  <c r="P122" i="1"/>
  <c r="Q122" i="1"/>
  <c r="R122" i="1"/>
  <c r="S122" i="1"/>
  <c r="T122" i="1"/>
  <c r="U122" i="1"/>
  <c r="N123" i="1"/>
  <c r="O123" i="1"/>
  <c r="P123" i="1"/>
  <c r="Q123" i="1"/>
  <c r="R123" i="1"/>
  <c r="S123" i="1"/>
  <c r="T123" i="1"/>
  <c r="U123" i="1"/>
  <c r="N124" i="1"/>
  <c r="O124" i="1"/>
  <c r="P124" i="1"/>
  <c r="Q124" i="1"/>
  <c r="R124" i="1"/>
  <c r="S124" i="1"/>
  <c r="T124" i="1"/>
  <c r="U124" i="1"/>
  <c r="N125" i="1"/>
  <c r="O125" i="1"/>
  <c r="P125" i="1"/>
  <c r="Q125" i="1"/>
  <c r="R125" i="1"/>
  <c r="S125" i="1"/>
  <c r="T125" i="1"/>
  <c r="U125" i="1"/>
  <c r="N126" i="1"/>
  <c r="O126" i="1"/>
  <c r="P126" i="1"/>
  <c r="Q126" i="1"/>
  <c r="R126" i="1"/>
  <c r="S126" i="1"/>
  <c r="T126" i="1"/>
  <c r="U126" i="1"/>
  <c r="N127" i="1"/>
  <c r="O127" i="1"/>
  <c r="P127" i="1"/>
  <c r="Q127" i="1"/>
  <c r="R127" i="1"/>
  <c r="S127" i="1"/>
  <c r="T127" i="1"/>
  <c r="U127" i="1"/>
  <c r="N128" i="1"/>
  <c r="O128" i="1"/>
  <c r="P128" i="1"/>
  <c r="Q128" i="1"/>
  <c r="R128" i="1"/>
  <c r="S128" i="1"/>
  <c r="T128" i="1"/>
  <c r="U128" i="1"/>
  <c r="N129" i="1"/>
  <c r="O129" i="1"/>
  <c r="P129" i="1"/>
  <c r="Q129" i="1"/>
  <c r="R129" i="1"/>
  <c r="S129" i="1"/>
  <c r="T129" i="1"/>
  <c r="U129" i="1"/>
  <c r="N130" i="1"/>
  <c r="O130" i="1"/>
  <c r="P130" i="1"/>
  <c r="Q130" i="1"/>
  <c r="R130" i="1"/>
  <c r="S130" i="1"/>
  <c r="T130" i="1"/>
  <c r="U130" i="1"/>
  <c r="N131" i="1"/>
  <c r="O131" i="1"/>
  <c r="P131" i="1"/>
  <c r="Q131" i="1"/>
  <c r="R131" i="1"/>
  <c r="S131" i="1"/>
  <c r="T131" i="1"/>
  <c r="U131" i="1"/>
  <c r="N132" i="1"/>
  <c r="O132" i="1"/>
  <c r="P132" i="1"/>
  <c r="Q132" i="1"/>
  <c r="R132" i="1"/>
  <c r="S132" i="1"/>
  <c r="T132" i="1"/>
  <c r="U132" i="1"/>
  <c r="N133" i="1"/>
  <c r="O133" i="1"/>
  <c r="P133" i="1"/>
  <c r="Q133" i="1"/>
  <c r="R133" i="1"/>
  <c r="S133" i="1"/>
  <c r="T133" i="1"/>
  <c r="U133" i="1"/>
  <c r="N134" i="1"/>
  <c r="O134" i="1"/>
  <c r="P134" i="1"/>
  <c r="Q134" i="1"/>
  <c r="R134" i="1"/>
  <c r="S134" i="1"/>
  <c r="T134" i="1"/>
  <c r="U134" i="1"/>
  <c r="N135" i="1"/>
  <c r="O135" i="1"/>
  <c r="P135" i="1"/>
  <c r="Q135" i="1"/>
  <c r="R135" i="1"/>
  <c r="S135" i="1"/>
  <c r="T135" i="1"/>
  <c r="U135" i="1"/>
  <c r="N136" i="1"/>
  <c r="O136" i="1"/>
  <c r="P136" i="1"/>
  <c r="Q136" i="1"/>
  <c r="R136" i="1"/>
  <c r="S136" i="1"/>
  <c r="T136" i="1"/>
  <c r="U136" i="1"/>
  <c r="N137" i="1"/>
  <c r="O137" i="1"/>
  <c r="P137" i="1"/>
  <c r="Q137" i="1"/>
  <c r="R137" i="1"/>
  <c r="S137" i="1"/>
  <c r="T137" i="1"/>
  <c r="U137" i="1"/>
  <c r="N138" i="1"/>
  <c r="O138" i="1"/>
  <c r="P138" i="1"/>
  <c r="Q138" i="1"/>
  <c r="R138" i="1"/>
  <c r="S138" i="1"/>
  <c r="T138" i="1"/>
  <c r="U138" i="1"/>
  <c r="N139" i="1"/>
  <c r="O139" i="1"/>
  <c r="P139" i="1"/>
  <c r="Q139" i="1"/>
  <c r="R139" i="1"/>
  <c r="S139" i="1"/>
  <c r="T139" i="1"/>
  <c r="U139" i="1"/>
  <c r="N140" i="1"/>
  <c r="O140" i="1"/>
  <c r="P140" i="1"/>
  <c r="Q140" i="1"/>
  <c r="R140" i="1"/>
  <c r="S140" i="1"/>
  <c r="T140" i="1"/>
  <c r="U140" i="1"/>
  <c r="N141" i="1"/>
  <c r="O141" i="1"/>
  <c r="P141" i="1"/>
  <c r="Q141" i="1"/>
  <c r="R141" i="1"/>
  <c r="S141" i="1"/>
  <c r="T141" i="1"/>
  <c r="U141" i="1"/>
  <c r="N142" i="1"/>
  <c r="O142" i="1"/>
  <c r="P142" i="1"/>
  <c r="Q142" i="1"/>
  <c r="R142" i="1"/>
  <c r="S142" i="1"/>
  <c r="T142" i="1"/>
  <c r="U142" i="1"/>
  <c r="N143" i="1"/>
  <c r="O143" i="1"/>
  <c r="P143" i="1"/>
  <c r="Q143" i="1"/>
  <c r="R143" i="1"/>
  <c r="S143" i="1"/>
  <c r="T143" i="1"/>
  <c r="U143" i="1"/>
  <c r="N144" i="1"/>
  <c r="O144" i="1"/>
  <c r="P144" i="1"/>
  <c r="Q144" i="1"/>
  <c r="R144" i="1"/>
  <c r="S144" i="1"/>
  <c r="T144" i="1"/>
  <c r="U144" i="1"/>
  <c r="N145" i="1"/>
  <c r="O145" i="1"/>
  <c r="P145" i="1"/>
  <c r="Q145" i="1"/>
  <c r="R145" i="1"/>
  <c r="S145" i="1"/>
  <c r="T145" i="1"/>
  <c r="U145" i="1"/>
  <c r="N146" i="1"/>
  <c r="O146" i="1"/>
  <c r="P146" i="1"/>
  <c r="Q146" i="1"/>
  <c r="R146" i="1"/>
  <c r="S146" i="1"/>
  <c r="T146" i="1"/>
  <c r="U146" i="1"/>
  <c r="N147" i="1"/>
  <c r="O147" i="1"/>
  <c r="P147" i="1"/>
  <c r="Q147" i="1"/>
  <c r="R147" i="1"/>
  <c r="S147" i="1"/>
  <c r="T147" i="1"/>
  <c r="U147" i="1"/>
  <c r="N148" i="1"/>
  <c r="O148" i="1"/>
  <c r="P148" i="1"/>
  <c r="Q148" i="1"/>
  <c r="R148" i="1"/>
  <c r="S148" i="1"/>
  <c r="T148" i="1"/>
  <c r="U148" i="1"/>
  <c r="N149" i="1"/>
  <c r="O149" i="1"/>
  <c r="P149" i="1"/>
  <c r="Q149" i="1"/>
  <c r="R149" i="1"/>
  <c r="S149" i="1"/>
  <c r="T149" i="1"/>
  <c r="U149" i="1"/>
  <c r="N150" i="1"/>
  <c r="O150" i="1"/>
  <c r="P150" i="1"/>
  <c r="Q150" i="1"/>
  <c r="R150" i="1"/>
  <c r="S150" i="1"/>
  <c r="T150" i="1"/>
  <c r="U150" i="1"/>
  <c r="N151" i="1"/>
  <c r="O151" i="1"/>
  <c r="P151" i="1"/>
  <c r="Q151" i="1"/>
  <c r="R151" i="1"/>
  <c r="S151" i="1"/>
  <c r="T151" i="1"/>
  <c r="U151" i="1"/>
  <c r="N152" i="1"/>
  <c r="O152" i="1"/>
  <c r="P152" i="1"/>
  <c r="Q152" i="1"/>
  <c r="R152" i="1"/>
  <c r="S152" i="1"/>
  <c r="T152" i="1"/>
  <c r="U152" i="1"/>
  <c r="N153" i="1"/>
  <c r="O153" i="1"/>
  <c r="P153" i="1"/>
  <c r="Q153" i="1"/>
  <c r="R153" i="1"/>
  <c r="S153" i="1"/>
  <c r="T153" i="1"/>
  <c r="U153" i="1"/>
  <c r="N154" i="1"/>
  <c r="O154" i="1"/>
  <c r="P154" i="1"/>
  <c r="Q154" i="1"/>
  <c r="R154" i="1"/>
  <c r="S154" i="1"/>
  <c r="T154" i="1"/>
  <c r="U154" i="1"/>
  <c r="N155" i="1"/>
  <c r="O155" i="1"/>
  <c r="P155" i="1"/>
  <c r="Q155" i="1"/>
  <c r="R155" i="1"/>
  <c r="S155" i="1"/>
  <c r="T155" i="1"/>
  <c r="U155" i="1"/>
  <c r="N156" i="1"/>
  <c r="O156" i="1"/>
  <c r="P156" i="1"/>
  <c r="Q156" i="1"/>
  <c r="R156" i="1"/>
  <c r="S156" i="1"/>
  <c r="T156" i="1"/>
  <c r="U156" i="1"/>
  <c r="N157" i="1"/>
  <c r="O157" i="1"/>
  <c r="P157" i="1"/>
  <c r="Q157" i="1"/>
  <c r="R157" i="1"/>
  <c r="S157" i="1"/>
  <c r="T157" i="1"/>
  <c r="U157" i="1"/>
  <c r="N158" i="1"/>
  <c r="O158" i="1"/>
  <c r="P158" i="1"/>
  <c r="Q158" i="1"/>
  <c r="R158" i="1"/>
  <c r="S158" i="1"/>
  <c r="T158" i="1"/>
  <c r="U158" i="1"/>
  <c r="N159" i="1"/>
  <c r="O159" i="1"/>
  <c r="P159" i="1"/>
  <c r="Q159" i="1"/>
  <c r="R159" i="1"/>
  <c r="S159" i="1"/>
  <c r="T159" i="1"/>
  <c r="U159" i="1"/>
  <c r="N160" i="1"/>
  <c r="O160" i="1"/>
  <c r="P160" i="1"/>
  <c r="Q160" i="1"/>
  <c r="R160" i="1"/>
  <c r="S160" i="1"/>
  <c r="T160" i="1"/>
  <c r="U160" i="1"/>
  <c r="N161" i="1"/>
  <c r="O161" i="1"/>
  <c r="P161" i="1"/>
  <c r="Q161" i="1"/>
  <c r="R161" i="1"/>
  <c r="S161" i="1"/>
  <c r="T161" i="1"/>
  <c r="U161" i="1"/>
  <c r="N162" i="1"/>
  <c r="O162" i="1"/>
  <c r="P162" i="1"/>
  <c r="Q162" i="1"/>
  <c r="R162" i="1"/>
  <c r="S162" i="1"/>
  <c r="T162" i="1"/>
  <c r="U162" i="1"/>
  <c r="N163" i="1"/>
  <c r="O163" i="1"/>
  <c r="P163" i="1"/>
  <c r="Q163" i="1"/>
  <c r="R163" i="1"/>
  <c r="S163" i="1"/>
  <c r="T163" i="1"/>
  <c r="U163" i="1"/>
  <c r="N164" i="1"/>
  <c r="O164" i="1"/>
  <c r="P164" i="1"/>
  <c r="Q164" i="1"/>
  <c r="R164" i="1"/>
  <c r="S164" i="1"/>
  <c r="T164" i="1"/>
  <c r="U164" i="1"/>
  <c r="N165" i="1"/>
  <c r="O165" i="1"/>
  <c r="P165" i="1"/>
  <c r="Q165" i="1"/>
  <c r="R165" i="1"/>
  <c r="S165" i="1"/>
  <c r="T165" i="1"/>
  <c r="U165" i="1"/>
  <c r="N166" i="1"/>
  <c r="O166" i="1"/>
  <c r="P166" i="1"/>
  <c r="Q166" i="1"/>
  <c r="R166" i="1"/>
  <c r="S166" i="1"/>
  <c r="T166" i="1"/>
  <c r="U166" i="1"/>
  <c r="N167" i="1"/>
  <c r="O167" i="1"/>
  <c r="P167" i="1"/>
  <c r="Q167" i="1"/>
  <c r="R167" i="1"/>
  <c r="S167" i="1"/>
  <c r="T167" i="1"/>
  <c r="U167" i="1"/>
  <c r="N168" i="1"/>
  <c r="O168" i="1"/>
  <c r="P168" i="1"/>
  <c r="Q168" i="1"/>
  <c r="R168" i="1"/>
  <c r="S168" i="1"/>
  <c r="T168" i="1"/>
  <c r="U168" i="1"/>
  <c r="N169" i="1"/>
  <c r="O169" i="1"/>
  <c r="P169" i="1"/>
  <c r="Q169" i="1"/>
  <c r="R169" i="1"/>
  <c r="S169" i="1"/>
  <c r="T169" i="1"/>
  <c r="U169" i="1"/>
  <c r="N170" i="1"/>
  <c r="O170" i="1"/>
  <c r="P170" i="1"/>
  <c r="Q170" i="1"/>
  <c r="R170" i="1"/>
  <c r="S170" i="1"/>
  <c r="T170" i="1"/>
  <c r="U170" i="1"/>
  <c r="N171" i="1"/>
  <c r="O171" i="1"/>
  <c r="P171" i="1"/>
  <c r="Q171" i="1"/>
  <c r="R171" i="1"/>
  <c r="S171" i="1"/>
  <c r="T171" i="1"/>
  <c r="U171" i="1"/>
  <c r="N172" i="1"/>
  <c r="O172" i="1"/>
  <c r="P172" i="1"/>
  <c r="Q172" i="1"/>
  <c r="R172" i="1"/>
  <c r="S172" i="1"/>
  <c r="T172" i="1"/>
  <c r="U172" i="1"/>
  <c r="N173" i="1"/>
  <c r="O173" i="1"/>
  <c r="P173" i="1"/>
  <c r="Q173" i="1"/>
  <c r="R173" i="1"/>
  <c r="S173" i="1"/>
  <c r="T173" i="1"/>
  <c r="U173" i="1"/>
  <c r="N174" i="1"/>
  <c r="O174" i="1"/>
  <c r="P174" i="1"/>
  <c r="Q174" i="1"/>
  <c r="R174" i="1"/>
  <c r="S174" i="1"/>
  <c r="T174" i="1"/>
  <c r="U174" i="1"/>
  <c r="N175" i="1"/>
  <c r="O175" i="1"/>
  <c r="P175" i="1"/>
  <c r="Q175" i="1"/>
  <c r="R175" i="1"/>
  <c r="S175" i="1"/>
  <c r="T175" i="1"/>
  <c r="U175" i="1"/>
  <c r="N176" i="1"/>
  <c r="O176" i="1"/>
  <c r="P176" i="1"/>
  <c r="Q176" i="1"/>
  <c r="R176" i="1"/>
  <c r="S176" i="1"/>
  <c r="T176" i="1"/>
  <c r="U176" i="1"/>
  <c r="N177" i="1"/>
  <c r="O177" i="1"/>
  <c r="P177" i="1"/>
  <c r="Q177" i="1"/>
  <c r="R177" i="1"/>
  <c r="S177" i="1"/>
  <c r="T177" i="1"/>
  <c r="U177" i="1"/>
  <c r="N178" i="1"/>
  <c r="O178" i="1"/>
  <c r="P178" i="1"/>
  <c r="Q178" i="1"/>
  <c r="R178" i="1"/>
  <c r="S178" i="1"/>
  <c r="T178" i="1"/>
  <c r="U178" i="1"/>
  <c r="N179" i="1"/>
  <c r="O179" i="1"/>
  <c r="P179" i="1"/>
  <c r="Q179" i="1"/>
  <c r="R179" i="1"/>
  <c r="S179" i="1"/>
  <c r="T179" i="1"/>
  <c r="U179" i="1"/>
  <c r="N180" i="1"/>
  <c r="O180" i="1"/>
  <c r="P180" i="1"/>
  <c r="Q180" i="1"/>
  <c r="R180" i="1"/>
  <c r="S180" i="1"/>
  <c r="T180" i="1"/>
  <c r="U180" i="1"/>
  <c r="N181" i="1"/>
  <c r="O181" i="1"/>
  <c r="P181" i="1"/>
  <c r="Q181" i="1"/>
  <c r="R181" i="1"/>
  <c r="S181" i="1"/>
  <c r="T181" i="1"/>
  <c r="U181" i="1"/>
  <c r="N182" i="1"/>
  <c r="O182" i="1"/>
  <c r="P182" i="1"/>
  <c r="Q182" i="1"/>
  <c r="R182" i="1"/>
  <c r="S182" i="1"/>
  <c r="T182" i="1"/>
  <c r="U182" i="1"/>
  <c r="N183" i="1"/>
  <c r="O183" i="1"/>
  <c r="P183" i="1"/>
  <c r="Q183" i="1"/>
  <c r="R183" i="1"/>
  <c r="S183" i="1"/>
  <c r="T183" i="1"/>
  <c r="U183" i="1"/>
  <c r="N184" i="1"/>
  <c r="O184" i="1"/>
  <c r="P184" i="1"/>
  <c r="Q184" i="1"/>
  <c r="R184" i="1"/>
  <c r="S184" i="1"/>
  <c r="T184" i="1"/>
  <c r="U184" i="1"/>
  <c r="N185" i="1"/>
  <c r="O185" i="1"/>
  <c r="P185" i="1"/>
  <c r="Q185" i="1"/>
  <c r="R185" i="1"/>
  <c r="S185" i="1"/>
  <c r="T185" i="1"/>
  <c r="U185" i="1"/>
  <c r="N186" i="1"/>
  <c r="O186" i="1"/>
  <c r="P186" i="1"/>
  <c r="Q186" i="1"/>
  <c r="R186" i="1"/>
  <c r="S186" i="1"/>
  <c r="T186" i="1"/>
  <c r="U186" i="1"/>
  <c r="N187" i="1"/>
  <c r="O187" i="1"/>
  <c r="P187" i="1"/>
  <c r="Q187" i="1"/>
  <c r="R187" i="1"/>
  <c r="S187" i="1"/>
  <c r="T187" i="1"/>
  <c r="U187" i="1"/>
  <c r="N188" i="1"/>
  <c r="O188" i="1"/>
  <c r="P188" i="1"/>
  <c r="Q188" i="1"/>
  <c r="R188" i="1"/>
  <c r="S188" i="1"/>
  <c r="T188" i="1"/>
  <c r="U188" i="1"/>
  <c r="N189" i="1"/>
  <c r="O189" i="1"/>
  <c r="P189" i="1"/>
  <c r="Q189" i="1"/>
  <c r="R189" i="1"/>
  <c r="S189" i="1"/>
  <c r="T189" i="1"/>
  <c r="U189" i="1"/>
  <c r="N190" i="1"/>
  <c r="O190" i="1"/>
  <c r="P190" i="1"/>
  <c r="Q190" i="1"/>
  <c r="R190" i="1"/>
  <c r="S190" i="1"/>
  <c r="T190" i="1"/>
  <c r="U190" i="1"/>
  <c r="N191" i="1"/>
  <c r="O191" i="1"/>
  <c r="P191" i="1"/>
  <c r="Q191" i="1"/>
  <c r="R191" i="1"/>
  <c r="S191" i="1"/>
  <c r="T191" i="1"/>
  <c r="U191" i="1"/>
  <c r="N192" i="1"/>
  <c r="O192" i="1"/>
  <c r="P192" i="1"/>
  <c r="Q192" i="1"/>
  <c r="R192" i="1"/>
  <c r="S192" i="1"/>
  <c r="T192" i="1"/>
  <c r="U192" i="1"/>
  <c r="N193" i="1"/>
  <c r="O193" i="1"/>
  <c r="P193" i="1"/>
  <c r="Q193" i="1"/>
  <c r="R193" i="1"/>
  <c r="S193" i="1"/>
  <c r="T193" i="1"/>
  <c r="U193" i="1"/>
  <c r="N194" i="1"/>
  <c r="O194" i="1"/>
  <c r="P194" i="1"/>
  <c r="Q194" i="1"/>
  <c r="R194" i="1"/>
  <c r="S194" i="1"/>
  <c r="T194" i="1"/>
  <c r="U194" i="1"/>
  <c r="N195" i="1"/>
  <c r="O195" i="1"/>
  <c r="P195" i="1"/>
  <c r="Q195" i="1"/>
  <c r="R195" i="1"/>
  <c r="S195" i="1"/>
  <c r="T195" i="1"/>
  <c r="U195" i="1"/>
  <c r="N196" i="1"/>
  <c r="O196" i="1"/>
  <c r="P196" i="1"/>
  <c r="Q196" i="1"/>
  <c r="R196" i="1"/>
  <c r="S196" i="1"/>
  <c r="T196" i="1"/>
  <c r="U196" i="1"/>
  <c r="N197" i="1"/>
  <c r="O197" i="1"/>
  <c r="P197" i="1"/>
  <c r="Q197" i="1"/>
  <c r="R197" i="1"/>
  <c r="S197" i="1"/>
  <c r="T197" i="1"/>
  <c r="U197" i="1"/>
  <c r="N198" i="1"/>
  <c r="O198" i="1"/>
  <c r="P198" i="1"/>
  <c r="Q198" i="1"/>
  <c r="R198" i="1"/>
  <c r="S198" i="1"/>
  <c r="T198" i="1"/>
  <c r="U198" i="1"/>
  <c r="N199" i="1"/>
  <c r="O199" i="1"/>
  <c r="P199" i="1"/>
  <c r="Q199" i="1"/>
  <c r="R199" i="1"/>
  <c r="S199" i="1"/>
  <c r="T199" i="1"/>
  <c r="U199" i="1"/>
  <c r="N200" i="1"/>
  <c r="O200" i="1"/>
  <c r="P200" i="1"/>
  <c r="Q200" i="1"/>
  <c r="R200" i="1"/>
  <c r="S200" i="1"/>
  <c r="T200" i="1"/>
  <c r="U200" i="1"/>
  <c r="N201" i="1"/>
  <c r="O201" i="1"/>
  <c r="P201" i="1"/>
  <c r="Q201" i="1"/>
  <c r="R201" i="1"/>
  <c r="S201" i="1"/>
  <c r="T201" i="1"/>
  <c r="U201" i="1"/>
  <c r="N202" i="1"/>
  <c r="O202" i="1"/>
  <c r="P202" i="1"/>
  <c r="Q202" i="1"/>
  <c r="R202" i="1"/>
  <c r="S202" i="1"/>
  <c r="T202" i="1"/>
  <c r="U202" i="1"/>
  <c r="N203" i="1"/>
  <c r="O203" i="1"/>
  <c r="P203" i="1"/>
  <c r="Q203" i="1"/>
  <c r="R203" i="1"/>
  <c r="S203" i="1"/>
  <c r="T203" i="1"/>
  <c r="U203" i="1"/>
  <c r="N204" i="1"/>
  <c r="O204" i="1"/>
  <c r="P204" i="1"/>
  <c r="Q204" i="1"/>
  <c r="R204" i="1"/>
  <c r="S204" i="1"/>
  <c r="T204" i="1"/>
  <c r="U204" i="1"/>
  <c r="N205" i="1"/>
  <c r="O205" i="1"/>
  <c r="P205" i="1"/>
  <c r="Q205" i="1"/>
  <c r="R205" i="1"/>
  <c r="S205" i="1"/>
  <c r="T205" i="1"/>
  <c r="U205" i="1"/>
  <c r="N206" i="1"/>
  <c r="O206" i="1"/>
  <c r="P206" i="1"/>
  <c r="Q206" i="1"/>
  <c r="R206" i="1"/>
  <c r="S206" i="1"/>
  <c r="T206" i="1"/>
  <c r="U206" i="1"/>
  <c r="N207" i="1"/>
  <c r="O207" i="1"/>
  <c r="P207" i="1"/>
  <c r="Q207" i="1"/>
  <c r="R207" i="1"/>
  <c r="S207" i="1"/>
  <c r="T207" i="1"/>
  <c r="U207" i="1"/>
  <c r="N208" i="1"/>
  <c r="O208" i="1"/>
  <c r="P208" i="1"/>
  <c r="Q208" i="1"/>
  <c r="R208" i="1"/>
  <c r="S208" i="1"/>
  <c r="T208" i="1"/>
  <c r="U208" i="1"/>
  <c r="N209" i="1"/>
  <c r="O209" i="1"/>
  <c r="P209" i="1"/>
  <c r="Q209" i="1"/>
  <c r="R209" i="1"/>
  <c r="S209" i="1"/>
  <c r="T209" i="1"/>
  <c r="U209" i="1"/>
  <c r="N210" i="1"/>
  <c r="O210" i="1"/>
  <c r="P210" i="1"/>
  <c r="Q210" i="1"/>
  <c r="R210" i="1"/>
  <c r="S210" i="1"/>
  <c r="T210" i="1"/>
  <c r="U210" i="1"/>
  <c r="N211" i="1"/>
  <c r="O211" i="1"/>
  <c r="P211" i="1"/>
  <c r="Q211" i="1"/>
  <c r="R211" i="1"/>
  <c r="S211" i="1"/>
  <c r="T211" i="1"/>
  <c r="U211" i="1"/>
  <c r="N212" i="1"/>
  <c r="O212" i="1"/>
  <c r="P212" i="1"/>
  <c r="Q212" i="1"/>
  <c r="R212" i="1"/>
  <c r="S212" i="1"/>
  <c r="T212" i="1"/>
  <c r="U212" i="1"/>
  <c r="N213" i="1"/>
  <c r="O213" i="1"/>
  <c r="P213" i="1"/>
  <c r="Q213" i="1"/>
  <c r="R213" i="1"/>
  <c r="S213" i="1"/>
  <c r="T213" i="1"/>
  <c r="U213" i="1"/>
  <c r="N214" i="1"/>
  <c r="O214" i="1"/>
  <c r="P214" i="1"/>
  <c r="Q214" i="1"/>
  <c r="R214" i="1"/>
  <c r="S214" i="1"/>
  <c r="T214" i="1"/>
  <c r="U214" i="1"/>
  <c r="N215" i="1"/>
  <c r="O215" i="1"/>
  <c r="P215" i="1"/>
  <c r="Q215" i="1"/>
  <c r="R215" i="1"/>
  <c r="S215" i="1"/>
  <c r="T215" i="1"/>
  <c r="U215" i="1"/>
  <c r="N216" i="1"/>
  <c r="O216" i="1"/>
  <c r="P216" i="1"/>
  <c r="Q216" i="1"/>
  <c r="R216" i="1"/>
  <c r="S216" i="1"/>
  <c r="T216" i="1"/>
  <c r="U216" i="1"/>
  <c r="N217" i="1"/>
  <c r="O217" i="1"/>
  <c r="P217" i="1"/>
  <c r="Q217" i="1"/>
  <c r="R217" i="1"/>
  <c r="S217" i="1"/>
  <c r="T217" i="1"/>
  <c r="U217" i="1"/>
  <c r="N218" i="1"/>
  <c r="O218" i="1"/>
  <c r="P218" i="1"/>
  <c r="Q218" i="1"/>
  <c r="R218" i="1"/>
  <c r="S218" i="1"/>
  <c r="T218" i="1"/>
  <c r="U218" i="1"/>
  <c r="N219" i="1"/>
  <c r="O219" i="1"/>
  <c r="P219" i="1"/>
  <c r="Q219" i="1"/>
  <c r="R219" i="1"/>
  <c r="S219" i="1"/>
  <c r="T219" i="1"/>
  <c r="U219" i="1"/>
  <c r="N220" i="1"/>
  <c r="O220" i="1"/>
  <c r="P220" i="1"/>
  <c r="Q220" i="1"/>
  <c r="R220" i="1"/>
  <c r="S220" i="1"/>
  <c r="T220" i="1"/>
  <c r="U220" i="1"/>
  <c r="N221" i="1"/>
  <c r="O221" i="1"/>
  <c r="P221" i="1"/>
  <c r="Q221" i="1"/>
  <c r="R221" i="1"/>
  <c r="S221" i="1"/>
  <c r="T221" i="1"/>
  <c r="U221" i="1"/>
  <c r="N222" i="1"/>
  <c r="O222" i="1"/>
  <c r="P222" i="1"/>
  <c r="Q222" i="1"/>
  <c r="R222" i="1"/>
  <c r="S222" i="1"/>
  <c r="T222" i="1"/>
  <c r="U222" i="1"/>
  <c r="N223" i="1"/>
  <c r="O223" i="1"/>
  <c r="P223" i="1"/>
  <c r="Q223" i="1"/>
  <c r="R223" i="1"/>
  <c r="S223" i="1"/>
  <c r="T223" i="1"/>
  <c r="U223" i="1"/>
  <c r="N224" i="1"/>
  <c r="O224" i="1"/>
  <c r="P224" i="1"/>
  <c r="Q224" i="1"/>
  <c r="R224" i="1"/>
  <c r="S224" i="1"/>
  <c r="T224" i="1"/>
  <c r="U224" i="1"/>
  <c r="N225" i="1"/>
  <c r="O225" i="1"/>
  <c r="P225" i="1"/>
  <c r="Q225" i="1"/>
  <c r="R225" i="1"/>
  <c r="S225" i="1"/>
  <c r="T225" i="1"/>
  <c r="U225" i="1"/>
  <c r="N226" i="1"/>
  <c r="O226" i="1"/>
  <c r="P226" i="1"/>
  <c r="Q226" i="1"/>
  <c r="R226" i="1"/>
  <c r="S226" i="1"/>
  <c r="T226" i="1"/>
  <c r="U226" i="1"/>
  <c r="N227" i="1"/>
  <c r="O227" i="1"/>
  <c r="P227" i="1"/>
  <c r="Q227" i="1"/>
  <c r="R227" i="1"/>
  <c r="S227" i="1"/>
  <c r="T227" i="1"/>
  <c r="U227" i="1"/>
  <c r="N228" i="1"/>
  <c r="O228" i="1"/>
  <c r="P228" i="1"/>
  <c r="Q228" i="1"/>
  <c r="R228" i="1"/>
  <c r="S228" i="1"/>
  <c r="T228" i="1"/>
  <c r="U228" i="1"/>
  <c r="N229" i="1"/>
  <c r="O229" i="1"/>
  <c r="P229" i="1"/>
  <c r="Q229" i="1"/>
  <c r="R229" i="1"/>
  <c r="S229" i="1"/>
  <c r="T229" i="1"/>
  <c r="U229" i="1"/>
  <c r="N230" i="1"/>
  <c r="O230" i="1"/>
  <c r="P230" i="1"/>
  <c r="Q230" i="1"/>
  <c r="R230" i="1"/>
  <c r="S230" i="1"/>
  <c r="T230" i="1"/>
  <c r="U230" i="1"/>
  <c r="N231" i="1"/>
  <c r="O231" i="1"/>
  <c r="P231" i="1"/>
  <c r="Q231" i="1"/>
  <c r="R231" i="1"/>
  <c r="S231" i="1"/>
  <c r="T231" i="1"/>
  <c r="U231" i="1"/>
  <c r="N232" i="1"/>
  <c r="O232" i="1"/>
  <c r="P232" i="1"/>
  <c r="Q232" i="1"/>
  <c r="R232" i="1"/>
  <c r="S232" i="1"/>
  <c r="T232" i="1"/>
  <c r="U232" i="1"/>
  <c r="N233" i="1"/>
  <c r="O233" i="1"/>
  <c r="P233" i="1"/>
  <c r="Q233" i="1"/>
  <c r="R233" i="1"/>
  <c r="S233" i="1"/>
  <c r="T233" i="1"/>
  <c r="U233" i="1"/>
  <c r="N234" i="1"/>
  <c r="O234" i="1"/>
  <c r="P234" i="1"/>
  <c r="Q234" i="1"/>
  <c r="R234" i="1"/>
  <c r="S234" i="1"/>
  <c r="T234" i="1"/>
  <c r="U234" i="1"/>
  <c r="N235" i="1"/>
  <c r="O235" i="1"/>
  <c r="P235" i="1"/>
  <c r="Q235" i="1"/>
  <c r="R235" i="1"/>
  <c r="S235" i="1"/>
  <c r="T235" i="1"/>
  <c r="U235" i="1"/>
  <c r="N236" i="1"/>
  <c r="O236" i="1"/>
  <c r="P236" i="1"/>
  <c r="Q236" i="1"/>
  <c r="R236" i="1"/>
  <c r="S236" i="1"/>
  <c r="T236" i="1"/>
  <c r="U236" i="1"/>
  <c r="N237" i="1"/>
  <c r="O237" i="1"/>
  <c r="P237" i="1"/>
  <c r="Q237" i="1"/>
  <c r="R237" i="1"/>
  <c r="S237" i="1"/>
  <c r="T237" i="1"/>
  <c r="U237" i="1"/>
  <c r="N238" i="1"/>
  <c r="O238" i="1"/>
  <c r="P238" i="1"/>
  <c r="Q238" i="1"/>
  <c r="R238" i="1"/>
  <c r="S238" i="1"/>
  <c r="T238" i="1"/>
  <c r="U238" i="1"/>
  <c r="N239" i="1"/>
  <c r="O239" i="1"/>
  <c r="P239" i="1"/>
  <c r="Q239" i="1"/>
  <c r="R239" i="1"/>
  <c r="S239" i="1"/>
  <c r="T239" i="1"/>
  <c r="U239" i="1"/>
  <c r="N240" i="1"/>
  <c r="O240" i="1"/>
  <c r="P240" i="1"/>
  <c r="Q240" i="1"/>
  <c r="R240" i="1"/>
  <c r="S240" i="1"/>
  <c r="T240" i="1"/>
  <c r="U240" i="1"/>
  <c r="N241" i="1"/>
  <c r="O241" i="1"/>
  <c r="P241" i="1"/>
  <c r="Q241" i="1"/>
  <c r="R241" i="1"/>
  <c r="S241" i="1"/>
  <c r="T241" i="1"/>
  <c r="U241" i="1"/>
  <c r="N242" i="1"/>
  <c r="O242" i="1"/>
  <c r="P242" i="1"/>
  <c r="Q242" i="1"/>
  <c r="R242" i="1"/>
  <c r="S242" i="1"/>
  <c r="T242" i="1"/>
  <c r="U242" i="1"/>
  <c r="N243" i="1"/>
  <c r="O243" i="1"/>
  <c r="P243" i="1"/>
  <c r="Q243" i="1"/>
  <c r="R243" i="1"/>
  <c r="S243" i="1"/>
  <c r="T243" i="1"/>
  <c r="U243" i="1"/>
  <c r="N244" i="1"/>
  <c r="O244" i="1"/>
  <c r="P244" i="1"/>
  <c r="Q244" i="1"/>
  <c r="R244" i="1"/>
  <c r="S244" i="1"/>
  <c r="T244" i="1"/>
  <c r="U244" i="1"/>
  <c r="N245" i="1"/>
  <c r="O245" i="1"/>
  <c r="P245" i="1"/>
  <c r="Q245" i="1"/>
  <c r="R245" i="1"/>
  <c r="S245" i="1"/>
  <c r="T245" i="1"/>
  <c r="U245" i="1"/>
  <c r="N246" i="1"/>
  <c r="O246" i="1"/>
  <c r="P246" i="1"/>
  <c r="Q246" i="1"/>
  <c r="R246" i="1"/>
  <c r="S246" i="1"/>
  <c r="T246" i="1"/>
  <c r="U246" i="1"/>
  <c r="N247" i="1"/>
  <c r="O247" i="1"/>
  <c r="P247" i="1"/>
  <c r="Q247" i="1"/>
  <c r="R247" i="1"/>
  <c r="S247" i="1"/>
  <c r="T247" i="1"/>
  <c r="U247" i="1"/>
  <c r="N248" i="1"/>
  <c r="O248" i="1"/>
  <c r="P248" i="1"/>
  <c r="Q248" i="1"/>
  <c r="R248" i="1"/>
  <c r="S248" i="1"/>
  <c r="T248" i="1"/>
  <c r="U248" i="1"/>
  <c r="N249" i="1"/>
  <c r="O249" i="1"/>
  <c r="P249" i="1"/>
  <c r="Q249" i="1"/>
  <c r="R249" i="1"/>
  <c r="S249" i="1"/>
  <c r="T249" i="1"/>
  <c r="U249" i="1"/>
  <c r="N250" i="1"/>
  <c r="O250" i="1"/>
  <c r="P250" i="1"/>
  <c r="Q250" i="1"/>
  <c r="R250" i="1"/>
  <c r="S250" i="1"/>
  <c r="T250" i="1"/>
  <c r="U250" i="1"/>
  <c r="N251" i="1"/>
  <c r="O251" i="1"/>
  <c r="P251" i="1"/>
  <c r="Q251" i="1"/>
  <c r="R251" i="1"/>
  <c r="S251" i="1"/>
  <c r="T251" i="1"/>
  <c r="U251" i="1"/>
  <c r="N252" i="1"/>
  <c r="O252" i="1"/>
  <c r="P252" i="1"/>
  <c r="Q252" i="1"/>
  <c r="R252" i="1"/>
  <c r="S252" i="1"/>
  <c r="T252" i="1"/>
  <c r="U252" i="1"/>
  <c r="N253" i="1"/>
  <c r="O253" i="1"/>
  <c r="P253" i="1"/>
  <c r="Q253" i="1"/>
  <c r="R253" i="1"/>
  <c r="S253" i="1"/>
  <c r="T253" i="1"/>
  <c r="U253" i="1"/>
  <c r="N254" i="1"/>
  <c r="O254" i="1"/>
  <c r="P254" i="1"/>
  <c r="Q254" i="1"/>
  <c r="R254" i="1"/>
  <c r="S254" i="1"/>
  <c r="T254" i="1"/>
  <c r="U254" i="1"/>
  <c r="N255" i="1"/>
  <c r="O255" i="1"/>
  <c r="P255" i="1"/>
  <c r="Q255" i="1"/>
  <c r="R255" i="1"/>
  <c r="S255" i="1"/>
  <c r="T255" i="1"/>
  <c r="U255" i="1"/>
  <c r="N256" i="1"/>
  <c r="O256" i="1"/>
  <c r="P256" i="1"/>
  <c r="Q256" i="1"/>
  <c r="R256" i="1"/>
  <c r="S256" i="1"/>
  <c r="T256" i="1"/>
  <c r="U256" i="1"/>
  <c r="N257" i="1"/>
  <c r="O257" i="1"/>
  <c r="P257" i="1"/>
  <c r="Q257" i="1"/>
  <c r="R257" i="1"/>
  <c r="S257" i="1"/>
  <c r="T257" i="1"/>
  <c r="U257" i="1"/>
  <c r="N258" i="1"/>
  <c r="O258" i="1"/>
  <c r="P258" i="1"/>
  <c r="Q258" i="1"/>
  <c r="R258" i="1"/>
  <c r="S258" i="1"/>
  <c r="T258" i="1"/>
  <c r="U258" i="1"/>
  <c r="N259" i="1"/>
  <c r="O259" i="1"/>
  <c r="P259" i="1"/>
  <c r="Q259" i="1"/>
  <c r="R259" i="1"/>
  <c r="S259" i="1"/>
  <c r="T259" i="1"/>
  <c r="U259" i="1"/>
  <c r="N260" i="1"/>
  <c r="O260" i="1"/>
  <c r="P260" i="1"/>
  <c r="Q260" i="1"/>
  <c r="R260" i="1"/>
  <c r="S260" i="1"/>
  <c r="T260" i="1"/>
  <c r="U260" i="1"/>
  <c r="N261" i="1"/>
  <c r="O261" i="1"/>
  <c r="P261" i="1"/>
  <c r="Q261" i="1"/>
  <c r="R261" i="1"/>
  <c r="S261" i="1"/>
  <c r="T261" i="1"/>
  <c r="U261" i="1"/>
  <c r="N262" i="1"/>
  <c r="O262" i="1"/>
  <c r="P262" i="1"/>
  <c r="Q262" i="1"/>
  <c r="R262" i="1"/>
  <c r="S262" i="1"/>
  <c r="T262" i="1"/>
  <c r="U262" i="1"/>
  <c r="N263" i="1"/>
  <c r="O263" i="1"/>
  <c r="P263" i="1"/>
  <c r="Q263" i="1"/>
  <c r="R263" i="1"/>
  <c r="S263" i="1"/>
  <c r="T263" i="1"/>
  <c r="U263" i="1"/>
  <c r="N264" i="1"/>
  <c r="O264" i="1"/>
  <c r="P264" i="1"/>
  <c r="Q264" i="1"/>
  <c r="R264" i="1"/>
  <c r="S264" i="1"/>
  <c r="T264" i="1"/>
  <c r="U264" i="1"/>
  <c r="N265" i="1"/>
  <c r="O265" i="1"/>
  <c r="P265" i="1"/>
  <c r="Q265" i="1"/>
  <c r="R265" i="1"/>
  <c r="S265" i="1"/>
  <c r="T265" i="1"/>
  <c r="U265" i="1"/>
  <c r="N266" i="1"/>
  <c r="O266" i="1"/>
  <c r="P266" i="1"/>
  <c r="Q266" i="1"/>
  <c r="R266" i="1"/>
  <c r="S266" i="1"/>
  <c r="T266" i="1"/>
  <c r="U266" i="1"/>
  <c r="N267" i="1"/>
  <c r="O267" i="1"/>
  <c r="P267" i="1"/>
  <c r="Q267" i="1"/>
  <c r="R267" i="1"/>
  <c r="S267" i="1"/>
  <c r="T267" i="1"/>
  <c r="U267" i="1"/>
  <c r="N268" i="1"/>
  <c r="O268" i="1"/>
  <c r="P268" i="1"/>
  <c r="Q268" i="1"/>
  <c r="R268" i="1"/>
  <c r="S268" i="1"/>
  <c r="T268" i="1"/>
  <c r="U268" i="1"/>
  <c r="N269" i="1"/>
  <c r="O269" i="1"/>
  <c r="P269" i="1"/>
  <c r="Q269" i="1"/>
  <c r="R269" i="1"/>
  <c r="S269" i="1"/>
  <c r="T269" i="1"/>
  <c r="U269" i="1"/>
  <c r="N270" i="1"/>
  <c r="O270" i="1"/>
  <c r="P270" i="1"/>
  <c r="Q270" i="1"/>
  <c r="R270" i="1"/>
  <c r="S270" i="1"/>
  <c r="T270" i="1"/>
  <c r="U270" i="1"/>
  <c r="N271" i="1"/>
  <c r="O271" i="1"/>
  <c r="P271" i="1"/>
  <c r="Q271" i="1"/>
  <c r="R271" i="1"/>
  <c r="S271" i="1"/>
  <c r="T271" i="1"/>
  <c r="U271" i="1"/>
  <c r="N272" i="1"/>
  <c r="O272" i="1"/>
  <c r="P272" i="1"/>
  <c r="Q272" i="1"/>
  <c r="R272" i="1"/>
  <c r="S272" i="1"/>
  <c r="T272" i="1"/>
  <c r="U272" i="1"/>
  <c r="N273" i="1"/>
  <c r="O273" i="1"/>
  <c r="P273" i="1"/>
  <c r="Q273" i="1"/>
  <c r="R273" i="1"/>
  <c r="S273" i="1"/>
  <c r="T273" i="1"/>
  <c r="U273" i="1"/>
  <c r="N274" i="1"/>
  <c r="O274" i="1"/>
  <c r="P274" i="1"/>
  <c r="Q274" i="1"/>
  <c r="R274" i="1"/>
  <c r="S274" i="1"/>
  <c r="T274" i="1"/>
  <c r="U274" i="1"/>
  <c r="N275" i="1"/>
  <c r="O275" i="1"/>
  <c r="P275" i="1"/>
  <c r="Q275" i="1"/>
  <c r="R275" i="1"/>
  <c r="S275" i="1"/>
  <c r="T275" i="1"/>
  <c r="U275" i="1"/>
  <c r="N276" i="1"/>
  <c r="O276" i="1"/>
  <c r="P276" i="1"/>
  <c r="Q276" i="1"/>
  <c r="R276" i="1"/>
  <c r="S276" i="1"/>
  <c r="T276" i="1"/>
  <c r="U276" i="1"/>
  <c r="N277" i="1"/>
  <c r="O277" i="1"/>
  <c r="P277" i="1"/>
  <c r="Q277" i="1"/>
  <c r="R277" i="1"/>
  <c r="S277" i="1"/>
  <c r="T277" i="1"/>
  <c r="U277" i="1"/>
  <c r="N278" i="1"/>
  <c r="O278" i="1"/>
  <c r="P278" i="1"/>
  <c r="Q278" i="1"/>
  <c r="R278" i="1"/>
  <c r="S278" i="1"/>
  <c r="T278" i="1"/>
  <c r="U278" i="1"/>
  <c r="N279" i="1"/>
  <c r="O279" i="1"/>
  <c r="P279" i="1"/>
  <c r="Q279" i="1"/>
  <c r="R279" i="1"/>
  <c r="S279" i="1"/>
  <c r="T279" i="1"/>
  <c r="U279" i="1"/>
  <c r="N280" i="1"/>
  <c r="O280" i="1"/>
  <c r="P280" i="1"/>
  <c r="Q280" i="1"/>
  <c r="R280" i="1"/>
  <c r="S280" i="1"/>
  <c r="T280" i="1"/>
  <c r="U280" i="1"/>
  <c r="N281" i="1"/>
  <c r="O281" i="1"/>
  <c r="P281" i="1"/>
  <c r="Q281" i="1"/>
  <c r="R281" i="1"/>
  <c r="S281" i="1"/>
  <c r="T281" i="1"/>
  <c r="U281" i="1"/>
  <c r="N282" i="1"/>
  <c r="O282" i="1"/>
  <c r="P282" i="1"/>
  <c r="Q282" i="1"/>
  <c r="R282" i="1"/>
  <c r="S282" i="1"/>
  <c r="T282" i="1"/>
  <c r="U282" i="1"/>
  <c r="N283" i="1"/>
  <c r="O283" i="1"/>
  <c r="P283" i="1"/>
  <c r="Q283" i="1"/>
  <c r="R283" i="1"/>
  <c r="S283" i="1"/>
  <c r="T283" i="1"/>
  <c r="U283" i="1"/>
  <c r="N284" i="1"/>
  <c r="O284" i="1"/>
  <c r="P284" i="1"/>
  <c r="Q284" i="1"/>
  <c r="R284" i="1"/>
  <c r="S284" i="1"/>
  <c r="T284" i="1"/>
  <c r="U284" i="1"/>
  <c r="N285" i="1"/>
  <c r="O285" i="1"/>
  <c r="P285" i="1"/>
  <c r="Q285" i="1"/>
  <c r="R285" i="1"/>
  <c r="S285" i="1"/>
  <c r="T285" i="1"/>
  <c r="U285" i="1"/>
  <c r="N286" i="1"/>
  <c r="O286" i="1"/>
  <c r="P286" i="1"/>
  <c r="Q286" i="1"/>
  <c r="R286" i="1"/>
  <c r="S286" i="1"/>
  <c r="T286" i="1"/>
  <c r="U286" i="1"/>
  <c r="N287" i="1"/>
  <c r="O287" i="1"/>
  <c r="P287" i="1"/>
  <c r="Q287" i="1"/>
  <c r="R287" i="1"/>
  <c r="S287" i="1"/>
  <c r="T287" i="1"/>
  <c r="U287" i="1"/>
  <c r="N288" i="1"/>
  <c r="O288" i="1"/>
  <c r="P288" i="1"/>
  <c r="Q288" i="1"/>
  <c r="R288" i="1"/>
  <c r="S288" i="1"/>
  <c r="T288" i="1"/>
  <c r="U288" i="1"/>
  <c r="N289" i="1"/>
  <c r="O289" i="1"/>
  <c r="P289" i="1"/>
  <c r="Q289" i="1"/>
  <c r="R289" i="1"/>
  <c r="S289" i="1"/>
  <c r="T289" i="1"/>
  <c r="U289" i="1"/>
  <c r="N290" i="1"/>
  <c r="O290" i="1"/>
  <c r="P290" i="1"/>
  <c r="Q290" i="1"/>
  <c r="R290" i="1"/>
  <c r="S290" i="1"/>
  <c r="T290" i="1"/>
  <c r="U290" i="1"/>
  <c r="N291" i="1"/>
  <c r="O291" i="1"/>
  <c r="P291" i="1"/>
  <c r="Q291" i="1"/>
  <c r="R291" i="1"/>
  <c r="S291" i="1"/>
  <c r="T291" i="1"/>
  <c r="U291" i="1"/>
  <c r="N292" i="1"/>
  <c r="O292" i="1"/>
  <c r="P292" i="1"/>
  <c r="Q292" i="1"/>
  <c r="R292" i="1"/>
  <c r="S292" i="1"/>
  <c r="T292" i="1"/>
  <c r="U292" i="1"/>
  <c r="N293" i="1"/>
  <c r="O293" i="1"/>
  <c r="P293" i="1"/>
  <c r="Q293" i="1"/>
  <c r="R293" i="1"/>
  <c r="S293" i="1"/>
  <c r="T293" i="1"/>
  <c r="U293" i="1"/>
  <c r="N294" i="1"/>
  <c r="O294" i="1"/>
  <c r="P294" i="1"/>
  <c r="Q294" i="1"/>
  <c r="R294" i="1"/>
  <c r="S294" i="1"/>
  <c r="T294" i="1"/>
  <c r="U294" i="1"/>
  <c r="N295" i="1"/>
  <c r="O295" i="1"/>
  <c r="P295" i="1"/>
  <c r="Q295" i="1"/>
  <c r="R295" i="1"/>
  <c r="S295" i="1"/>
  <c r="T295" i="1"/>
  <c r="U295" i="1"/>
  <c r="N296" i="1"/>
  <c r="O296" i="1"/>
  <c r="P296" i="1"/>
  <c r="Q296" i="1"/>
  <c r="R296" i="1"/>
  <c r="S296" i="1"/>
  <c r="T296" i="1"/>
  <c r="U296" i="1"/>
  <c r="N297" i="1"/>
  <c r="O297" i="1"/>
  <c r="P297" i="1"/>
  <c r="Q297" i="1"/>
  <c r="R297" i="1"/>
  <c r="S297" i="1"/>
  <c r="T297" i="1"/>
  <c r="U297" i="1"/>
  <c r="N298" i="1"/>
  <c r="O298" i="1"/>
  <c r="P298" i="1"/>
  <c r="Q298" i="1"/>
  <c r="R298" i="1"/>
  <c r="S298" i="1"/>
  <c r="T298" i="1"/>
  <c r="U298" i="1"/>
  <c r="N299" i="1"/>
  <c r="O299" i="1"/>
  <c r="P299" i="1"/>
  <c r="Q299" i="1"/>
  <c r="R299" i="1"/>
  <c r="S299" i="1"/>
  <c r="T299" i="1"/>
  <c r="U299" i="1"/>
  <c r="N300" i="1"/>
  <c r="O300" i="1"/>
  <c r="P300" i="1"/>
  <c r="Q300" i="1"/>
  <c r="R300" i="1"/>
  <c r="S300" i="1"/>
  <c r="T300" i="1"/>
  <c r="U300" i="1"/>
  <c r="N301" i="1"/>
  <c r="O301" i="1"/>
  <c r="P301" i="1"/>
  <c r="Q301" i="1"/>
  <c r="R301" i="1"/>
  <c r="S301" i="1"/>
  <c r="T301" i="1"/>
  <c r="U301" i="1"/>
  <c r="N302" i="1"/>
  <c r="O302" i="1"/>
  <c r="P302" i="1"/>
  <c r="Q302" i="1"/>
  <c r="R302" i="1"/>
  <c r="S302" i="1"/>
  <c r="T302" i="1"/>
  <c r="U302" i="1"/>
  <c r="N303" i="1"/>
  <c r="O303" i="1"/>
  <c r="P303" i="1"/>
  <c r="Q303" i="1"/>
  <c r="R303" i="1"/>
  <c r="S303" i="1"/>
  <c r="T303" i="1"/>
  <c r="U303" i="1"/>
  <c r="N304" i="1"/>
  <c r="O304" i="1"/>
  <c r="P304" i="1"/>
  <c r="Q304" i="1"/>
  <c r="R304" i="1"/>
  <c r="S304" i="1"/>
  <c r="T304" i="1"/>
  <c r="U304" i="1"/>
  <c r="N305" i="1"/>
  <c r="O305" i="1"/>
  <c r="P305" i="1"/>
  <c r="Q305" i="1"/>
  <c r="R305" i="1"/>
  <c r="S305" i="1"/>
  <c r="T305" i="1"/>
  <c r="U305" i="1"/>
  <c r="N306" i="1"/>
  <c r="O306" i="1"/>
  <c r="P306" i="1"/>
  <c r="Q306" i="1"/>
  <c r="R306" i="1"/>
  <c r="S306" i="1"/>
  <c r="T306" i="1"/>
  <c r="U306" i="1"/>
  <c r="N307" i="1"/>
  <c r="O307" i="1"/>
  <c r="P307" i="1"/>
  <c r="Q307" i="1"/>
  <c r="R307" i="1"/>
  <c r="S307" i="1"/>
  <c r="T307" i="1"/>
  <c r="U307" i="1"/>
  <c r="N308" i="1"/>
  <c r="O308" i="1"/>
  <c r="P308" i="1"/>
  <c r="Q308" i="1"/>
  <c r="R308" i="1"/>
  <c r="S308" i="1"/>
  <c r="T308" i="1"/>
  <c r="U308" i="1"/>
  <c r="N309" i="1"/>
  <c r="O309" i="1"/>
  <c r="P309" i="1"/>
  <c r="Q309" i="1"/>
  <c r="R309" i="1"/>
  <c r="S309" i="1"/>
  <c r="T309" i="1"/>
  <c r="U309" i="1"/>
  <c r="N310" i="1"/>
  <c r="O310" i="1"/>
  <c r="P310" i="1"/>
  <c r="Q310" i="1"/>
  <c r="R310" i="1"/>
  <c r="S310" i="1"/>
  <c r="T310" i="1"/>
  <c r="U310" i="1"/>
  <c r="N311" i="1"/>
  <c r="O311" i="1"/>
  <c r="P311" i="1"/>
  <c r="Q311" i="1"/>
  <c r="R311" i="1"/>
  <c r="S311" i="1"/>
  <c r="T311" i="1"/>
  <c r="U311" i="1"/>
  <c r="N312" i="1"/>
  <c r="O312" i="1"/>
  <c r="P312" i="1"/>
  <c r="Q312" i="1"/>
  <c r="R312" i="1"/>
  <c r="S312" i="1"/>
  <c r="T312" i="1"/>
  <c r="U312" i="1"/>
  <c r="N313" i="1"/>
  <c r="O313" i="1"/>
  <c r="P313" i="1"/>
  <c r="Q313" i="1"/>
  <c r="R313" i="1"/>
  <c r="S313" i="1"/>
  <c r="T313" i="1"/>
  <c r="U313" i="1"/>
  <c r="N314" i="1"/>
  <c r="O314" i="1"/>
  <c r="P314" i="1"/>
  <c r="Q314" i="1"/>
  <c r="R314" i="1"/>
  <c r="S314" i="1"/>
  <c r="T314" i="1"/>
  <c r="U314" i="1"/>
  <c r="N315" i="1"/>
  <c r="O315" i="1"/>
  <c r="P315" i="1"/>
  <c r="Q315" i="1"/>
  <c r="R315" i="1"/>
  <c r="S315" i="1"/>
  <c r="T315" i="1"/>
  <c r="U315" i="1"/>
  <c r="N316" i="1"/>
  <c r="O316" i="1"/>
  <c r="P316" i="1"/>
  <c r="Q316" i="1"/>
  <c r="R316" i="1"/>
  <c r="S316" i="1"/>
  <c r="T316" i="1"/>
  <c r="U316" i="1"/>
  <c r="N317" i="1"/>
  <c r="O317" i="1"/>
  <c r="P317" i="1"/>
  <c r="Q317" i="1"/>
  <c r="R317" i="1"/>
  <c r="S317" i="1"/>
  <c r="T317" i="1"/>
  <c r="U317" i="1"/>
  <c r="N318" i="1"/>
  <c r="O318" i="1"/>
  <c r="P318" i="1"/>
  <c r="Q318" i="1"/>
  <c r="R318" i="1"/>
  <c r="S318" i="1"/>
  <c r="T318" i="1"/>
  <c r="U318" i="1"/>
  <c r="N319" i="1"/>
  <c r="O319" i="1"/>
  <c r="P319" i="1"/>
  <c r="Q319" i="1"/>
  <c r="R319" i="1"/>
  <c r="S319" i="1"/>
  <c r="T319" i="1"/>
  <c r="U319" i="1"/>
  <c r="N320" i="1"/>
  <c r="O320" i="1"/>
  <c r="P320" i="1"/>
  <c r="Q320" i="1"/>
  <c r="R320" i="1"/>
  <c r="S320" i="1"/>
  <c r="T320" i="1"/>
  <c r="U320" i="1"/>
  <c r="N321" i="1"/>
  <c r="O321" i="1"/>
  <c r="P321" i="1"/>
  <c r="Q321" i="1"/>
  <c r="R321" i="1"/>
  <c r="S321" i="1"/>
  <c r="T321" i="1"/>
  <c r="U321" i="1"/>
  <c r="N322" i="1"/>
  <c r="O322" i="1"/>
  <c r="P322" i="1"/>
  <c r="Q322" i="1"/>
  <c r="R322" i="1"/>
  <c r="S322" i="1"/>
  <c r="T322" i="1"/>
  <c r="U322" i="1"/>
  <c r="N323" i="1"/>
  <c r="O323" i="1"/>
  <c r="P323" i="1"/>
  <c r="Q323" i="1"/>
  <c r="R323" i="1"/>
  <c r="S323" i="1"/>
  <c r="T323" i="1"/>
  <c r="U323" i="1"/>
  <c r="N324" i="1"/>
  <c r="O324" i="1"/>
  <c r="P324" i="1"/>
  <c r="Q324" i="1"/>
  <c r="R324" i="1"/>
  <c r="S324" i="1"/>
  <c r="T324" i="1"/>
  <c r="U324" i="1"/>
  <c r="N325" i="1"/>
  <c r="O325" i="1"/>
  <c r="P325" i="1"/>
  <c r="Q325" i="1"/>
  <c r="R325" i="1"/>
  <c r="S325" i="1"/>
  <c r="T325" i="1"/>
  <c r="U325" i="1"/>
  <c r="N326" i="1"/>
  <c r="O326" i="1"/>
  <c r="P326" i="1"/>
  <c r="Q326" i="1"/>
  <c r="R326" i="1"/>
  <c r="S326" i="1"/>
  <c r="T326" i="1"/>
  <c r="U326" i="1"/>
  <c r="N327" i="1"/>
  <c r="O327" i="1"/>
  <c r="P327" i="1"/>
  <c r="Q327" i="1"/>
  <c r="R327" i="1"/>
  <c r="S327" i="1"/>
  <c r="T327" i="1"/>
  <c r="U327" i="1"/>
  <c r="N328" i="1"/>
  <c r="O328" i="1"/>
  <c r="P328" i="1"/>
  <c r="Q328" i="1"/>
  <c r="R328" i="1"/>
  <c r="S328" i="1"/>
  <c r="T328" i="1"/>
  <c r="U328" i="1"/>
  <c r="N329" i="1"/>
  <c r="O329" i="1"/>
  <c r="P329" i="1"/>
  <c r="Q329" i="1"/>
  <c r="R329" i="1"/>
  <c r="S329" i="1"/>
  <c r="T329" i="1"/>
  <c r="U329" i="1"/>
  <c r="N330" i="1"/>
  <c r="O330" i="1"/>
  <c r="P330" i="1"/>
  <c r="Q330" i="1"/>
  <c r="R330" i="1"/>
  <c r="S330" i="1"/>
  <c r="T330" i="1"/>
  <c r="U330" i="1"/>
  <c r="N331" i="1"/>
  <c r="O331" i="1"/>
  <c r="P331" i="1"/>
  <c r="Q331" i="1"/>
  <c r="R331" i="1"/>
  <c r="S331" i="1"/>
  <c r="T331" i="1"/>
  <c r="U331" i="1"/>
  <c r="N332" i="1"/>
  <c r="O332" i="1"/>
  <c r="P332" i="1"/>
  <c r="Q332" i="1"/>
  <c r="R332" i="1"/>
  <c r="S332" i="1"/>
  <c r="T332" i="1"/>
  <c r="U332" i="1"/>
  <c r="N333" i="1"/>
  <c r="O333" i="1"/>
  <c r="P333" i="1"/>
  <c r="Q333" i="1"/>
  <c r="R333" i="1"/>
  <c r="S333" i="1"/>
  <c r="T333" i="1"/>
  <c r="U333" i="1"/>
  <c r="N334" i="1"/>
  <c r="O334" i="1"/>
  <c r="P334" i="1"/>
  <c r="Q334" i="1"/>
  <c r="R334" i="1"/>
  <c r="S334" i="1"/>
  <c r="T334" i="1"/>
  <c r="U334" i="1"/>
  <c r="N335" i="1"/>
  <c r="O335" i="1"/>
  <c r="P335" i="1"/>
  <c r="Q335" i="1"/>
  <c r="R335" i="1"/>
  <c r="S335" i="1"/>
  <c r="T335" i="1"/>
  <c r="U335" i="1"/>
  <c r="N336" i="1"/>
  <c r="O336" i="1"/>
  <c r="P336" i="1"/>
  <c r="Q336" i="1"/>
  <c r="R336" i="1"/>
  <c r="S336" i="1"/>
  <c r="T336" i="1"/>
  <c r="U336" i="1"/>
  <c r="N337" i="1"/>
  <c r="O337" i="1"/>
  <c r="P337" i="1"/>
  <c r="Q337" i="1"/>
  <c r="R337" i="1"/>
  <c r="S337" i="1"/>
  <c r="T337" i="1"/>
  <c r="U337" i="1"/>
  <c r="N338" i="1"/>
  <c r="O338" i="1"/>
  <c r="P338" i="1"/>
  <c r="Q338" i="1"/>
  <c r="R338" i="1"/>
  <c r="S338" i="1"/>
  <c r="T338" i="1"/>
  <c r="U338" i="1"/>
  <c r="N339" i="1"/>
  <c r="O339" i="1"/>
  <c r="P339" i="1"/>
  <c r="Q339" i="1"/>
  <c r="R339" i="1"/>
  <c r="S339" i="1"/>
  <c r="T339" i="1"/>
  <c r="U339" i="1"/>
  <c r="N340" i="1"/>
  <c r="O340" i="1"/>
  <c r="P340" i="1"/>
  <c r="Q340" i="1"/>
  <c r="R340" i="1"/>
  <c r="S340" i="1"/>
  <c r="T340" i="1"/>
  <c r="U340" i="1"/>
  <c r="N341" i="1"/>
  <c r="O341" i="1"/>
  <c r="P341" i="1"/>
  <c r="Q341" i="1"/>
  <c r="R341" i="1"/>
  <c r="S341" i="1"/>
  <c r="T341" i="1"/>
  <c r="U341" i="1"/>
  <c r="N342" i="1"/>
  <c r="O342" i="1"/>
  <c r="P342" i="1"/>
  <c r="Q342" i="1"/>
  <c r="R342" i="1"/>
  <c r="S342" i="1"/>
  <c r="T342" i="1"/>
  <c r="U342" i="1"/>
  <c r="N343" i="1"/>
  <c r="O343" i="1"/>
  <c r="P343" i="1"/>
  <c r="Q343" i="1"/>
  <c r="R343" i="1"/>
  <c r="S343" i="1"/>
  <c r="T343" i="1"/>
  <c r="U343" i="1"/>
  <c r="N344" i="1"/>
  <c r="O344" i="1"/>
  <c r="P344" i="1"/>
  <c r="Q344" i="1"/>
  <c r="R344" i="1"/>
  <c r="S344" i="1"/>
  <c r="T344" i="1"/>
  <c r="U344" i="1"/>
  <c r="N345" i="1"/>
  <c r="O345" i="1"/>
  <c r="P345" i="1"/>
  <c r="Q345" i="1"/>
  <c r="R345" i="1"/>
  <c r="S345" i="1"/>
  <c r="T345" i="1"/>
  <c r="U345" i="1"/>
  <c r="N346" i="1"/>
  <c r="O346" i="1"/>
  <c r="P346" i="1"/>
  <c r="Q346" i="1"/>
  <c r="R346" i="1"/>
  <c r="S346" i="1"/>
  <c r="T346" i="1"/>
  <c r="U346" i="1"/>
  <c r="N347" i="1"/>
  <c r="O347" i="1"/>
  <c r="P347" i="1"/>
  <c r="Q347" i="1"/>
  <c r="R347" i="1"/>
  <c r="S347" i="1"/>
  <c r="T347" i="1"/>
  <c r="U347" i="1"/>
  <c r="N348" i="1"/>
  <c r="O348" i="1"/>
  <c r="P348" i="1"/>
  <c r="Q348" i="1"/>
  <c r="R348" i="1"/>
  <c r="S348" i="1"/>
  <c r="T348" i="1"/>
  <c r="U348" i="1"/>
  <c r="N349" i="1"/>
  <c r="O349" i="1"/>
  <c r="P349" i="1"/>
  <c r="Q349" i="1"/>
  <c r="R349" i="1"/>
  <c r="S349" i="1"/>
  <c r="T349" i="1"/>
  <c r="U349" i="1"/>
  <c r="N350" i="1"/>
  <c r="O350" i="1"/>
  <c r="P350" i="1"/>
  <c r="Q350" i="1"/>
  <c r="R350" i="1"/>
  <c r="S350" i="1"/>
  <c r="T350" i="1"/>
  <c r="U350" i="1"/>
  <c r="N351" i="1"/>
  <c r="O351" i="1"/>
  <c r="P351" i="1"/>
  <c r="Q351" i="1"/>
  <c r="R351" i="1"/>
  <c r="S351" i="1"/>
  <c r="T351" i="1"/>
  <c r="U351" i="1"/>
  <c r="N352" i="1"/>
  <c r="O352" i="1"/>
  <c r="P352" i="1"/>
  <c r="Q352" i="1"/>
  <c r="R352" i="1"/>
  <c r="S352" i="1"/>
  <c r="T352" i="1"/>
  <c r="U352" i="1"/>
  <c r="N353" i="1"/>
  <c r="O353" i="1"/>
  <c r="P353" i="1"/>
  <c r="Q353" i="1"/>
  <c r="R353" i="1"/>
  <c r="S353" i="1"/>
  <c r="T353" i="1"/>
  <c r="U353" i="1"/>
  <c r="N354" i="1"/>
  <c r="O354" i="1"/>
  <c r="P354" i="1"/>
  <c r="Q354" i="1"/>
  <c r="R354" i="1"/>
  <c r="S354" i="1"/>
  <c r="T354" i="1"/>
  <c r="U354" i="1"/>
  <c r="N355" i="1"/>
  <c r="O355" i="1"/>
  <c r="P355" i="1"/>
  <c r="Q355" i="1"/>
  <c r="R355" i="1"/>
  <c r="S355" i="1"/>
  <c r="T355" i="1"/>
  <c r="U355" i="1"/>
  <c r="N356" i="1"/>
  <c r="O356" i="1"/>
  <c r="P356" i="1"/>
  <c r="Q356" i="1"/>
  <c r="R356" i="1"/>
  <c r="S356" i="1"/>
  <c r="T356" i="1"/>
  <c r="U356" i="1"/>
  <c r="N357" i="1"/>
  <c r="O357" i="1"/>
  <c r="P357" i="1"/>
  <c r="Q357" i="1"/>
  <c r="R357" i="1"/>
  <c r="S357" i="1"/>
  <c r="T357" i="1"/>
  <c r="U357" i="1"/>
  <c r="N358" i="1"/>
  <c r="O358" i="1"/>
  <c r="P358" i="1"/>
  <c r="Q358" i="1"/>
  <c r="R358" i="1"/>
  <c r="S358" i="1"/>
  <c r="T358" i="1"/>
  <c r="U358" i="1"/>
  <c r="N359" i="1"/>
  <c r="O359" i="1"/>
  <c r="P359" i="1"/>
  <c r="Q359" i="1"/>
  <c r="R359" i="1"/>
  <c r="S359" i="1"/>
  <c r="T359" i="1"/>
  <c r="U359" i="1"/>
  <c r="N360" i="1"/>
  <c r="O360" i="1"/>
  <c r="P360" i="1"/>
  <c r="Q360" i="1"/>
  <c r="R360" i="1"/>
  <c r="S360" i="1"/>
  <c r="T360" i="1"/>
  <c r="U360" i="1"/>
  <c r="N361" i="1"/>
  <c r="O361" i="1"/>
  <c r="P361" i="1"/>
  <c r="Q361" i="1"/>
  <c r="R361" i="1"/>
  <c r="S361" i="1"/>
  <c r="T361" i="1"/>
  <c r="U361" i="1"/>
  <c r="N362" i="1"/>
  <c r="O362" i="1"/>
  <c r="P362" i="1"/>
  <c r="Q362" i="1"/>
  <c r="R362" i="1"/>
  <c r="S362" i="1"/>
  <c r="T362" i="1"/>
  <c r="U362" i="1"/>
  <c r="N363" i="1"/>
  <c r="O363" i="1"/>
  <c r="P363" i="1"/>
  <c r="Q363" i="1"/>
  <c r="R363" i="1"/>
  <c r="S363" i="1"/>
  <c r="T363" i="1"/>
  <c r="U363" i="1"/>
  <c r="N364" i="1"/>
  <c r="O364" i="1"/>
  <c r="P364" i="1"/>
  <c r="Q364" i="1"/>
  <c r="R364" i="1"/>
  <c r="S364" i="1"/>
  <c r="T364" i="1"/>
  <c r="U364" i="1"/>
  <c r="N365" i="1"/>
  <c r="O365" i="1"/>
  <c r="P365" i="1"/>
  <c r="Q365" i="1"/>
  <c r="R365" i="1"/>
  <c r="S365" i="1"/>
  <c r="T365" i="1"/>
  <c r="U365" i="1"/>
  <c r="N366" i="1"/>
  <c r="O366" i="1"/>
  <c r="P366" i="1"/>
  <c r="Q366" i="1"/>
  <c r="R366" i="1"/>
  <c r="S366" i="1"/>
  <c r="T366" i="1"/>
  <c r="U366" i="1"/>
  <c r="N367" i="1"/>
  <c r="O367" i="1"/>
  <c r="P367" i="1"/>
  <c r="Q367" i="1"/>
  <c r="R367" i="1"/>
  <c r="S367" i="1"/>
  <c r="T367" i="1"/>
  <c r="U367" i="1"/>
  <c r="N368" i="1"/>
  <c r="O368" i="1"/>
  <c r="P368" i="1"/>
  <c r="Q368" i="1"/>
  <c r="R368" i="1"/>
  <c r="S368" i="1"/>
  <c r="T368" i="1"/>
  <c r="U368" i="1"/>
  <c r="N369" i="1"/>
  <c r="O369" i="1"/>
  <c r="P369" i="1"/>
  <c r="Q369" i="1"/>
  <c r="R369" i="1"/>
  <c r="S369" i="1"/>
  <c r="T369" i="1"/>
  <c r="U369" i="1"/>
  <c r="N370" i="1"/>
  <c r="O370" i="1"/>
  <c r="P370" i="1"/>
  <c r="Q370" i="1"/>
  <c r="R370" i="1"/>
  <c r="S370" i="1"/>
  <c r="T370" i="1"/>
  <c r="U370" i="1"/>
  <c r="N371" i="1"/>
  <c r="O371" i="1"/>
  <c r="P371" i="1"/>
  <c r="Q371" i="1"/>
  <c r="R371" i="1"/>
  <c r="S371" i="1"/>
  <c r="T371" i="1"/>
  <c r="U371" i="1"/>
  <c r="N372" i="1"/>
  <c r="O372" i="1"/>
  <c r="P372" i="1"/>
  <c r="Q372" i="1"/>
  <c r="R372" i="1"/>
  <c r="S372" i="1"/>
  <c r="T372" i="1"/>
  <c r="U372" i="1"/>
  <c r="N373" i="1"/>
  <c r="O373" i="1"/>
  <c r="P373" i="1"/>
  <c r="Q373" i="1"/>
  <c r="R373" i="1"/>
  <c r="S373" i="1"/>
  <c r="T373" i="1"/>
  <c r="U373" i="1"/>
  <c r="N374" i="1"/>
  <c r="O374" i="1"/>
  <c r="P374" i="1"/>
  <c r="Q374" i="1"/>
  <c r="R374" i="1"/>
  <c r="S374" i="1"/>
  <c r="T374" i="1"/>
  <c r="U374" i="1"/>
  <c r="N375" i="1"/>
  <c r="O375" i="1"/>
  <c r="P375" i="1"/>
  <c r="Q375" i="1"/>
  <c r="R375" i="1"/>
  <c r="S375" i="1"/>
  <c r="T375" i="1"/>
  <c r="U375" i="1"/>
  <c r="N376" i="1"/>
  <c r="O376" i="1"/>
  <c r="P376" i="1"/>
  <c r="Q376" i="1"/>
  <c r="R376" i="1"/>
  <c r="S376" i="1"/>
  <c r="T376" i="1"/>
  <c r="U376" i="1"/>
  <c r="N377" i="1"/>
  <c r="O377" i="1"/>
  <c r="P377" i="1"/>
  <c r="Q377" i="1"/>
  <c r="R377" i="1"/>
  <c r="S377" i="1"/>
  <c r="T377" i="1"/>
  <c r="U377" i="1"/>
  <c r="N378" i="1"/>
  <c r="O378" i="1"/>
  <c r="P378" i="1"/>
  <c r="Q378" i="1"/>
  <c r="R378" i="1"/>
  <c r="S378" i="1"/>
  <c r="T378" i="1"/>
  <c r="U378" i="1"/>
  <c r="N379" i="1"/>
  <c r="O379" i="1"/>
  <c r="P379" i="1"/>
  <c r="Q379" i="1"/>
  <c r="R379" i="1"/>
  <c r="S379" i="1"/>
  <c r="T379" i="1"/>
  <c r="U379" i="1"/>
  <c r="N380" i="1"/>
  <c r="O380" i="1"/>
  <c r="P380" i="1"/>
  <c r="Q380" i="1"/>
  <c r="R380" i="1"/>
  <c r="S380" i="1"/>
  <c r="T380" i="1"/>
  <c r="U380" i="1"/>
  <c r="N381" i="1"/>
  <c r="O381" i="1"/>
  <c r="P381" i="1"/>
  <c r="Q381" i="1"/>
  <c r="R381" i="1"/>
  <c r="S381" i="1"/>
  <c r="T381" i="1"/>
  <c r="U381" i="1"/>
  <c r="N382" i="1"/>
  <c r="O382" i="1"/>
  <c r="P382" i="1"/>
  <c r="Q382" i="1"/>
  <c r="R382" i="1"/>
  <c r="S382" i="1"/>
  <c r="T382" i="1"/>
  <c r="U382" i="1"/>
  <c r="N383" i="1"/>
  <c r="O383" i="1"/>
  <c r="P383" i="1"/>
  <c r="Q383" i="1"/>
  <c r="R383" i="1"/>
  <c r="S383" i="1"/>
  <c r="T383" i="1"/>
  <c r="U383" i="1"/>
  <c r="N384" i="1"/>
  <c r="O384" i="1"/>
  <c r="P384" i="1"/>
  <c r="Q384" i="1"/>
  <c r="R384" i="1"/>
  <c r="S384" i="1"/>
  <c r="T384" i="1"/>
  <c r="U384" i="1"/>
  <c r="N385" i="1"/>
  <c r="O385" i="1"/>
  <c r="P385" i="1"/>
  <c r="Q385" i="1"/>
  <c r="R385" i="1"/>
  <c r="S385" i="1"/>
  <c r="T385" i="1"/>
  <c r="U385" i="1"/>
  <c r="N386" i="1"/>
  <c r="O386" i="1"/>
  <c r="P386" i="1"/>
  <c r="Q386" i="1"/>
  <c r="R386" i="1"/>
  <c r="S386" i="1"/>
  <c r="T386" i="1"/>
  <c r="U386" i="1"/>
  <c r="N387" i="1"/>
  <c r="O387" i="1"/>
  <c r="P387" i="1"/>
  <c r="Q387" i="1"/>
  <c r="R387" i="1"/>
  <c r="S387" i="1"/>
  <c r="T387" i="1"/>
  <c r="U387" i="1"/>
  <c r="N388" i="1"/>
  <c r="O388" i="1"/>
  <c r="P388" i="1"/>
  <c r="Q388" i="1"/>
  <c r="R388" i="1"/>
  <c r="S388" i="1"/>
  <c r="T388" i="1"/>
  <c r="U388" i="1"/>
  <c r="N389" i="1"/>
  <c r="O389" i="1"/>
  <c r="P389" i="1"/>
  <c r="Q389" i="1"/>
  <c r="R389" i="1"/>
  <c r="S389" i="1"/>
  <c r="T389" i="1"/>
  <c r="U389" i="1"/>
  <c r="N390" i="1"/>
  <c r="O390" i="1"/>
  <c r="P390" i="1"/>
  <c r="Q390" i="1"/>
  <c r="R390" i="1"/>
  <c r="S390" i="1"/>
  <c r="T390" i="1"/>
  <c r="U390" i="1"/>
  <c r="N391" i="1"/>
  <c r="O391" i="1"/>
  <c r="P391" i="1"/>
  <c r="Q391" i="1"/>
  <c r="R391" i="1"/>
  <c r="S391" i="1"/>
  <c r="T391" i="1"/>
  <c r="U391" i="1"/>
  <c r="N392" i="1"/>
  <c r="O392" i="1"/>
  <c r="P392" i="1"/>
  <c r="Q392" i="1"/>
  <c r="R392" i="1"/>
  <c r="S392" i="1"/>
  <c r="T392" i="1"/>
  <c r="U392" i="1"/>
  <c r="N393" i="1"/>
  <c r="O393" i="1"/>
  <c r="P393" i="1"/>
  <c r="Q393" i="1"/>
  <c r="R393" i="1"/>
  <c r="S393" i="1"/>
  <c r="T393" i="1"/>
  <c r="U393" i="1"/>
  <c r="N394" i="1"/>
  <c r="O394" i="1"/>
  <c r="P394" i="1"/>
  <c r="Q394" i="1"/>
  <c r="R394" i="1"/>
  <c r="S394" i="1"/>
  <c r="T394" i="1"/>
  <c r="U394" i="1"/>
  <c r="N395" i="1"/>
  <c r="O395" i="1"/>
  <c r="P395" i="1"/>
  <c r="Q395" i="1"/>
  <c r="R395" i="1"/>
  <c r="S395" i="1"/>
  <c r="T395" i="1"/>
  <c r="U395" i="1"/>
  <c r="N396" i="1"/>
  <c r="O396" i="1"/>
  <c r="P396" i="1"/>
  <c r="Q396" i="1"/>
  <c r="R396" i="1"/>
  <c r="S396" i="1"/>
  <c r="T396" i="1"/>
  <c r="U396" i="1"/>
  <c r="N397" i="1"/>
  <c r="O397" i="1"/>
  <c r="P397" i="1"/>
  <c r="Q397" i="1"/>
  <c r="R397" i="1"/>
  <c r="S397" i="1"/>
  <c r="T397" i="1"/>
  <c r="U397" i="1"/>
  <c r="N398" i="1"/>
  <c r="O398" i="1"/>
  <c r="P398" i="1"/>
  <c r="Q398" i="1"/>
  <c r="R398" i="1"/>
  <c r="S398" i="1"/>
  <c r="T398" i="1"/>
  <c r="U398" i="1"/>
  <c r="N399" i="1"/>
  <c r="O399" i="1"/>
  <c r="P399" i="1"/>
  <c r="Q399" i="1"/>
  <c r="R399" i="1"/>
  <c r="S399" i="1"/>
  <c r="T399" i="1"/>
  <c r="U399" i="1"/>
  <c r="N400" i="1"/>
  <c r="O400" i="1"/>
  <c r="P400" i="1"/>
  <c r="Q400" i="1"/>
  <c r="R400" i="1"/>
  <c r="S400" i="1"/>
  <c r="T400" i="1"/>
  <c r="U400" i="1"/>
  <c r="N401" i="1"/>
  <c r="O401" i="1"/>
  <c r="P401" i="1"/>
  <c r="Q401" i="1"/>
  <c r="R401" i="1"/>
  <c r="S401" i="1"/>
  <c r="T401" i="1"/>
  <c r="U401" i="1"/>
  <c r="N402" i="1"/>
  <c r="O402" i="1"/>
  <c r="P402" i="1"/>
  <c r="Q402" i="1"/>
  <c r="R402" i="1"/>
  <c r="S402" i="1"/>
  <c r="T402" i="1"/>
  <c r="U402" i="1"/>
  <c r="N403" i="1"/>
  <c r="O403" i="1"/>
  <c r="P403" i="1"/>
  <c r="Q403" i="1"/>
  <c r="R403" i="1"/>
  <c r="S403" i="1"/>
  <c r="T403" i="1"/>
  <c r="U403" i="1"/>
  <c r="N404" i="1"/>
  <c r="O404" i="1"/>
  <c r="P404" i="1"/>
  <c r="Q404" i="1"/>
  <c r="R404" i="1"/>
  <c r="S404" i="1"/>
  <c r="T404" i="1"/>
  <c r="U404" i="1"/>
  <c r="N405" i="1"/>
  <c r="O405" i="1"/>
  <c r="P405" i="1"/>
  <c r="Q405" i="1"/>
  <c r="R405" i="1"/>
  <c r="S405" i="1"/>
  <c r="T405" i="1"/>
  <c r="U405" i="1"/>
  <c r="N406" i="1"/>
  <c r="O406" i="1"/>
  <c r="P406" i="1"/>
  <c r="Q406" i="1"/>
  <c r="R406" i="1"/>
  <c r="S406" i="1"/>
  <c r="T406" i="1"/>
  <c r="U406" i="1"/>
  <c r="N407" i="1"/>
  <c r="O407" i="1"/>
  <c r="P407" i="1"/>
  <c r="Q407" i="1"/>
  <c r="R407" i="1"/>
  <c r="S407" i="1"/>
  <c r="T407" i="1"/>
  <c r="U407" i="1"/>
  <c r="N408" i="1"/>
  <c r="O408" i="1"/>
  <c r="P408" i="1"/>
  <c r="Q408" i="1"/>
  <c r="R408" i="1"/>
  <c r="S408" i="1"/>
  <c r="T408" i="1"/>
  <c r="U408" i="1"/>
  <c r="N409" i="1"/>
  <c r="O409" i="1"/>
  <c r="P409" i="1"/>
  <c r="Q409" i="1"/>
  <c r="R409" i="1"/>
  <c r="S409" i="1"/>
  <c r="T409" i="1"/>
  <c r="U409" i="1"/>
  <c r="N410" i="1"/>
  <c r="O410" i="1"/>
  <c r="P410" i="1"/>
  <c r="Q410" i="1"/>
  <c r="R410" i="1"/>
  <c r="S410" i="1"/>
  <c r="T410" i="1"/>
  <c r="U410" i="1"/>
  <c r="N411" i="1"/>
  <c r="O411" i="1"/>
  <c r="P411" i="1"/>
  <c r="Q411" i="1"/>
  <c r="R411" i="1"/>
  <c r="S411" i="1"/>
  <c r="T411" i="1"/>
  <c r="U411" i="1"/>
  <c r="N412" i="1"/>
  <c r="O412" i="1"/>
  <c r="P412" i="1"/>
  <c r="Q412" i="1"/>
  <c r="R412" i="1"/>
  <c r="S412" i="1"/>
  <c r="T412" i="1"/>
  <c r="U412" i="1"/>
  <c r="N413" i="1"/>
  <c r="O413" i="1"/>
  <c r="P413" i="1"/>
  <c r="Q413" i="1"/>
  <c r="R413" i="1"/>
  <c r="S413" i="1"/>
  <c r="T413" i="1"/>
  <c r="U413" i="1"/>
  <c r="N414" i="1"/>
  <c r="O414" i="1"/>
  <c r="P414" i="1"/>
  <c r="Q414" i="1"/>
  <c r="R414" i="1"/>
  <c r="S414" i="1"/>
  <c r="T414" i="1"/>
  <c r="U414" i="1"/>
  <c r="N415" i="1"/>
  <c r="O415" i="1"/>
  <c r="P415" i="1"/>
  <c r="Q415" i="1"/>
  <c r="R415" i="1"/>
  <c r="S415" i="1"/>
  <c r="T415" i="1"/>
  <c r="U415" i="1"/>
  <c r="N416" i="1"/>
  <c r="O416" i="1"/>
  <c r="P416" i="1"/>
  <c r="Q416" i="1"/>
  <c r="R416" i="1"/>
  <c r="S416" i="1"/>
  <c r="T416" i="1"/>
  <c r="U416" i="1"/>
  <c r="N417" i="1"/>
  <c r="O417" i="1"/>
  <c r="P417" i="1"/>
  <c r="Q417" i="1"/>
  <c r="R417" i="1"/>
  <c r="S417" i="1"/>
  <c r="T417" i="1"/>
  <c r="U417" i="1"/>
  <c r="N418" i="1"/>
  <c r="O418" i="1"/>
  <c r="P418" i="1"/>
  <c r="Q418" i="1"/>
  <c r="R418" i="1"/>
  <c r="S418" i="1"/>
  <c r="T418" i="1"/>
  <c r="U418" i="1"/>
  <c r="N419" i="1"/>
  <c r="O419" i="1"/>
  <c r="P419" i="1"/>
  <c r="Q419" i="1"/>
  <c r="R419" i="1"/>
  <c r="S419" i="1"/>
  <c r="T419" i="1"/>
  <c r="U419" i="1"/>
  <c r="N420" i="1"/>
  <c r="O420" i="1"/>
  <c r="P420" i="1"/>
  <c r="Q420" i="1"/>
  <c r="R420" i="1"/>
  <c r="S420" i="1"/>
  <c r="T420" i="1"/>
  <c r="U420" i="1"/>
  <c r="N421" i="1"/>
  <c r="O421" i="1"/>
  <c r="P421" i="1"/>
  <c r="Q421" i="1"/>
  <c r="R421" i="1"/>
  <c r="S421" i="1"/>
  <c r="T421" i="1"/>
  <c r="U421" i="1"/>
  <c r="N422" i="1"/>
  <c r="O422" i="1"/>
  <c r="P422" i="1"/>
  <c r="Q422" i="1"/>
  <c r="R422" i="1"/>
  <c r="S422" i="1"/>
  <c r="T422" i="1"/>
  <c r="U422" i="1"/>
  <c r="N423" i="1"/>
  <c r="O423" i="1"/>
  <c r="P423" i="1"/>
  <c r="Q423" i="1"/>
  <c r="R423" i="1"/>
  <c r="S423" i="1"/>
  <c r="T423" i="1"/>
  <c r="U423" i="1"/>
  <c r="N424" i="1"/>
  <c r="O424" i="1"/>
  <c r="P424" i="1"/>
  <c r="Q424" i="1"/>
  <c r="R424" i="1"/>
  <c r="S424" i="1"/>
  <c r="T424" i="1"/>
  <c r="U424" i="1"/>
  <c r="N425" i="1"/>
  <c r="O425" i="1"/>
  <c r="P425" i="1"/>
  <c r="Q425" i="1"/>
  <c r="R425" i="1"/>
  <c r="S425" i="1"/>
  <c r="T425" i="1"/>
  <c r="U425" i="1"/>
  <c r="N426" i="1"/>
  <c r="O426" i="1"/>
  <c r="P426" i="1"/>
  <c r="Q426" i="1"/>
  <c r="R426" i="1"/>
  <c r="S426" i="1"/>
  <c r="T426" i="1"/>
  <c r="U426" i="1"/>
  <c r="N427" i="1"/>
  <c r="O427" i="1"/>
  <c r="P427" i="1"/>
  <c r="Q427" i="1"/>
  <c r="R427" i="1"/>
  <c r="S427" i="1"/>
  <c r="T427" i="1"/>
  <c r="U427" i="1"/>
  <c r="N428" i="1"/>
  <c r="O428" i="1"/>
  <c r="P428" i="1"/>
  <c r="Q428" i="1"/>
  <c r="R428" i="1"/>
  <c r="S428" i="1"/>
  <c r="T428" i="1"/>
  <c r="U428" i="1"/>
  <c r="N429" i="1"/>
  <c r="O429" i="1"/>
  <c r="P429" i="1"/>
  <c r="Q429" i="1"/>
  <c r="R429" i="1"/>
  <c r="S429" i="1"/>
  <c r="T429" i="1"/>
  <c r="U429" i="1"/>
  <c r="N430" i="1"/>
  <c r="O430" i="1"/>
  <c r="P430" i="1"/>
  <c r="Q430" i="1"/>
  <c r="R430" i="1"/>
  <c r="S430" i="1"/>
  <c r="T430" i="1"/>
  <c r="U430" i="1"/>
  <c r="N431" i="1"/>
  <c r="O431" i="1"/>
  <c r="P431" i="1"/>
  <c r="Q431" i="1"/>
  <c r="R431" i="1"/>
  <c r="S431" i="1"/>
  <c r="T431" i="1"/>
  <c r="U431" i="1"/>
  <c r="N432" i="1"/>
  <c r="O432" i="1"/>
  <c r="P432" i="1"/>
  <c r="Q432" i="1"/>
  <c r="R432" i="1"/>
  <c r="S432" i="1"/>
  <c r="T432" i="1"/>
  <c r="U432" i="1"/>
  <c r="N433" i="1"/>
  <c r="O433" i="1"/>
  <c r="P433" i="1"/>
  <c r="Q433" i="1"/>
  <c r="R433" i="1"/>
  <c r="S433" i="1"/>
  <c r="T433" i="1"/>
  <c r="U433" i="1"/>
  <c r="N434" i="1"/>
  <c r="O434" i="1"/>
  <c r="P434" i="1"/>
  <c r="Q434" i="1"/>
  <c r="R434" i="1"/>
  <c r="S434" i="1"/>
  <c r="T434" i="1"/>
  <c r="U434" i="1"/>
  <c r="N435" i="1"/>
  <c r="O435" i="1"/>
  <c r="P435" i="1"/>
  <c r="Q435" i="1"/>
  <c r="R435" i="1"/>
  <c r="S435" i="1"/>
  <c r="T435" i="1"/>
  <c r="U435" i="1"/>
  <c r="N436" i="1"/>
  <c r="O436" i="1"/>
  <c r="P436" i="1"/>
  <c r="Q436" i="1"/>
  <c r="R436" i="1"/>
  <c r="S436" i="1"/>
  <c r="T436" i="1"/>
  <c r="U436" i="1"/>
  <c r="N437" i="1"/>
  <c r="O437" i="1"/>
  <c r="P437" i="1"/>
  <c r="Q437" i="1"/>
  <c r="R437" i="1"/>
  <c r="S437" i="1"/>
  <c r="T437" i="1"/>
  <c r="U437" i="1"/>
  <c r="N438" i="1"/>
  <c r="O438" i="1"/>
  <c r="P438" i="1"/>
  <c r="Q438" i="1"/>
  <c r="R438" i="1"/>
  <c r="S438" i="1"/>
  <c r="T438" i="1"/>
  <c r="U438" i="1"/>
  <c r="N439" i="1"/>
  <c r="O439" i="1"/>
  <c r="P439" i="1"/>
  <c r="Q439" i="1"/>
  <c r="R439" i="1"/>
  <c r="S439" i="1"/>
  <c r="T439" i="1"/>
  <c r="U439" i="1"/>
  <c r="N440" i="1"/>
  <c r="O440" i="1"/>
  <c r="P440" i="1"/>
  <c r="Q440" i="1"/>
  <c r="R440" i="1"/>
  <c r="S440" i="1"/>
  <c r="T440" i="1"/>
  <c r="U440" i="1"/>
  <c r="N441" i="1"/>
  <c r="O441" i="1"/>
  <c r="P441" i="1"/>
  <c r="Q441" i="1"/>
  <c r="R441" i="1"/>
  <c r="S441" i="1"/>
  <c r="T441" i="1"/>
  <c r="U441" i="1"/>
  <c r="N442" i="1"/>
  <c r="O442" i="1"/>
  <c r="P442" i="1"/>
  <c r="Q442" i="1"/>
  <c r="R442" i="1"/>
  <c r="S442" i="1"/>
  <c r="T442" i="1"/>
  <c r="U442" i="1"/>
  <c r="N443" i="1"/>
  <c r="O443" i="1"/>
  <c r="P443" i="1"/>
  <c r="Q443" i="1"/>
  <c r="R443" i="1"/>
  <c r="S443" i="1"/>
  <c r="T443" i="1"/>
  <c r="U443" i="1"/>
  <c r="N444" i="1"/>
  <c r="O444" i="1"/>
  <c r="P444" i="1"/>
  <c r="Q444" i="1"/>
  <c r="R444" i="1"/>
  <c r="S444" i="1"/>
  <c r="T444" i="1"/>
  <c r="U444" i="1"/>
  <c r="N445" i="1"/>
  <c r="O445" i="1"/>
  <c r="P445" i="1"/>
  <c r="Q445" i="1"/>
  <c r="R445" i="1"/>
  <c r="S445" i="1"/>
  <c r="T445" i="1"/>
  <c r="U445" i="1"/>
  <c r="N446" i="1"/>
  <c r="O446" i="1"/>
  <c r="P446" i="1"/>
  <c r="Q446" i="1"/>
  <c r="R446" i="1"/>
  <c r="S446" i="1"/>
  <c r="T446" i="1"/>
  <c r="U446" i="1"/>
  <c r="N447" i="1"/>
  <c r="O447" i="1"/>
  <c r="P447" i="1"/>
  <c r="Q447" i="1"/>
  <c r="R447" i="1"/>
  <c r="S447" i="1"/>
  <c r="T447" i="1"/>
  <c r="U447" i="1"/>
  <c r="N448" i="1"/>
  <c r="O448" i="1"/>
  <c r="P448" i="1"/>
  <c r="Q448" i="1"/>
  <c r="R448" i="1"/>
  <c r="S448" i="1"/>
  <c r="T448" i="1"/>
  <c r="U448" i="1"/>
  <c r="N449" i="1"/>
  <c r="O449" i="1"/>
  <c r="P449" i="1"/>
  <c r="Q449" i="1"/>
  <c r="R449" i="1"/>
  <c r="S449" i="1"/>
  <c r="T449" i="1"/>
  <c r="U449" i="1"/>
  <c r="N450" i="1"/>
  <c r="O450" i="1"/>
  <c r="P450" i="1"/>
  <c r="Q450" i="1"/>
  <c r="R450" i="1"/>
  <c r="S450" i="1"/>
  <c r="T450" i="1"/>
  <c r="U450" i="1"/>
  <c r="N451" i="1"/>
  <c r="O451" i="1"/>
  <c r="P451" i="1"/>
  <c r="Q451" i="1"/>
  <c r="R451" i="1"/>
  <c r="S451" i="1"/>
  <c r="T451" i="1"/>
  <c r="U451" i="1"/>
  <c r="N452" i="1"/>
  <c r="O452" i="1"/>
  <c r="P452" i="1"/>
  <c r="Q452" i="1"/>
  <c r="R452" i="1"/>
  <c r="S452" i="1"/>
  <c r="T452" i="1"/>
  <c r="U452" i="1"/>
  <c r="N453" i="1"/>
  <c r="O453" i="1"/>
  <c r="P453" i="1"/>
  <c r="Q453" i="1"/>
  <c r="R453" i="1"/>
  <c r="S453" i="1"/>
  <c r="T453" i="1"/>
  <c r="U453" i="1"/>
  <c r="N454" i="1"/>
  <c r="O454" i="1"/>
  <c r="P454" i="1"/>
  <c r="Q454" i="1"/>
  <c r="R454" i="1"/>
  <c r="S454" i="1"/>
  <c r="T454" i="1"/>
  <c r="U454" i="1"/>
  <c r="N455" i="1"/>
  <c r="O455" i="1"/>
  <c r="P455" i="1"/>
  <c r="Q455" i="1"/>
  <c r="R455" i="1"/>
  <c r="S455" i="1"/>
  <c r="T455" i="1"/>
  <c r="U455" i="1"/>
  <c r="N456" i="1"/>
  <c r="O456" i="1"/>
  <c r="P456" i="1"/>
  <c r="Q456" i="1"/>
  <c r="R456" i="1"/>
  <c r="S456" i="1"/>
  <c r="T456" i="1"/>
  <c r="U456" i="1"/>
  <c r="N457" i="1"/>
  <c r="O457" i="1"/>
  <c r="P457" i="1"/>
  <c r="Q457" i="1"/>
  <c r="R457" i="1"/>
  <c r="S457" i="1"/>
  <c r="T457" i="1"/>
  <c r="U457" i="1"/>
  <c r="N458" i="1"/>
  <c r="O458" i="1"/>
  <c r="P458" i="1"/>
  <c r="Q458" i="1"/>
  <c r="R458" i="1"/>
  <c r="S458" i="1"/>
  <c r="T458" i="1"/>
  <c r="U458" i="1"/>
  <c r="N459" i="1"/>
  <c r="O459" i="1"/>
  <c r="P459" i="1"/>
  <c r="Q459" i="1"/>
  <c r="R459" i="1"/>
  <c r="S459" i="1"/>
  <c r="T459" i="1"/>
  <c r="U459" i="1"/>
  <c r="N460" i="1"/>
  <c r="O460" i="1"/>
  <c r="P460" i="1"/>
  <c r="Q460" i="1"/>
  <c r="R460" i="1"/>
  <c r="S460" i="1"/>
  <c r="T460" i="1"/>
  <c r="U460" i="1"/>
  <c r="N461" i="1"/>
  <c r="O461" i="1"/>
  <c r="P461" i="1"/>
  <c r="Q461" i="1"/>
  <c r="R461" i="1"/>
  <c r="S461" i="1"/>
  <c r="T461" i="1"/>
  <c r="U461" i="1"/>
  <c r="N462" i="1"/>
  <c r="O462" i="1"/>
  <c r="P462" i="1"/>
  <c r="Q462" i="1"/>
  <c r="R462" i="1"/>
  <c r="S462" i="1"/>
  <c r="T462" i="1"/>
  <c r="U462" i="1"/>
  <c r="N463" i="1"/>
  <c r="O463" i="1"/>
  <c r="P463" i="1"/>
  <c r="Q463" i="1"/>
  <c r="R463" i="1"/>
  <c r="S463" i="1"/>
  <c r="T463" i="1"/>
  <c r="U463" i="1"/>
  <c r="N464" i="1"/>
  <c r="O464" i="1"/>
  <c r="P464" i="1"/>
  <c r="Q464" i="1"/>
  <c r="R464" i="1"/>
  <c r="S464" i="1"/>
  <c r="T464" i="1"/>
  <c r="U464" i="1"/>
  <c r="N465" i="1"/>
  <c r="O465" i="1"/>
  <c r="P465" i="1"/>
  <c r="Q465" i="1"/>
  <c r="R465" i="1"/>
  <c r="S465" i="1"/>
  <c r="T465" i="1"/>
  <c r="U465" i="1"/>
  <c r="N466" i="1"/>
  <c r="O466" i="1"/>
  <c r="P466" i="1"/>
  <c r="Q466" i="1"/>
  <c r="R466" i="1"/>
  <c r="S466" i="1"/>
  <c r="T466" i="1"/>
  <c r="U466" i="1"/>
  <c r="N467" i="1"/>
  <c r="O467" i="1"/>
  <c r="P467" i="1"/>
  <c r="Q467" i="1"/>
  <c r="R467" i="1"/>
  <c r="S467" i="1"/>
  <c r="T467" i="1"/>
  <c r="U467" i="1"/>
  <c r="N468" i="1"/>
  <c r="O468" i="1"/>
  <c r="P468" i="1"/>
  <c r="Q468" i="1"/>
  <c r="R468" i="1"/>
  <c r="S468" i="1"/>
  <c r="T468" i="1"/>
  <c r="U468" i="1"/>
  <c r="N469" i="1"/>
  <c r="O469" i="1"/>
  <c r="P469" i="1"/>
  <c r="Q469" i="1"/>
  <c r="R469" i="1"/>
  <c r="S469" i="1"/>
  <c r="T469" i="1"/>
  <c r="U469" i="1"/>
  <c r="N470" i="1"/>
  <c r="O470" i="1"/>
  <c r="P470" i="1"/>
  <c r="Q470" i="1"/>
  <c r="R470" i="1"/>
  <c r="S470" i="1"/>
  <c r="T470" i="1"/>
  <c r="U470" i="1"/>
  <c r="N471" i="1"/>
  <c r="O471" i="1"/>
  <c r="P471" i="1"/>
  <c r="Q471" i="1"/>
  <c r="R471" i="1"/>
  <c r="S471" i="1"/>
  <c r="T471" i="1"/>
  <c r="U471" i="1"/>
  <c r="N472" i="1"/>
  <c r="O472" i="1"/>
  <c r="P472" i="1"/>
  <c r="Q472" i="1"/>
  <c r="R472" i="1"/>
  <c r="S472" i="1"/>
  <c r="T472" i="1"/>
  <c r="U472" i="1"/>
  <c r="N473" i="1"/>
  <c r="O473" i="1"/>
  <c r="P473" i="1"/>
  <c r="Q473" i="1"/>
  <c r="R473" i="1"/>
  <c r="S473" i="1"/>
  <c r="T473" i="1"/>
  <c r="U473" i="1"/>
  <c r="N474" i="1"/>
  <c r="O474" i="1"/>
  <c r="P474" i="1"/>
  <c r="Q474" i="1"/>
  <c r="R474" i="1"/>
  <c r="S474" i="1"/>
  <c r="T474" i="1"/>
  <c r="U474" i="1"/>
  <c r="N475" i="1"/>
  <c r="O475" i="1"/>
  <c r="P475" i="1"/>
  <c r="Q475" i="1"/>
  <c r="R475" i="1"/>
  <c r="S475" i="1"/>
  <c r="T475" i="1"/>
  <c r="U475" i="1"/>
  <c r="N476" i="1"/>
  <c r="O476" i="1"/>
  <c r="P476" i="1"/>
  <c r="Q476" i="1"/>
  <c r="R476" i="1"/>
  <c r="S476" i="1"/>
  <c r="T476" i="1"/>
  <c r="U476" i="1"/>
  <c r="N477" i="1"/>
  <c r="O477" i="1"/>
  <c r="P477" i="1"/>
  <c r="Q477" i="1"/>
  <c r="R477" i="1"/>
  <c r="S477" i="1"/>
  <c r="T477" i="1"/>
  <c r="U477" i="1"/>
  <c r="N478" i="1"/>
  <c r="O478" i="1"/>
  <c r="P478" i="1"/>
  <c r="Q478" i="1"/>
  <c r="R478" i="1"/>
  <c r="S478" i="1"/>
  <c r="T478" i="1"/>
  <c r="U478" i="1"/>
  <c r="N479" i="1"/>
  <c r="O479" i="1"/>
  <c r="P479" i="1"/>
  <c r="Q479" i="1"/>
  <c r="R479" i="1"/>
  <c r="S479" i="1"/>
  <c r="T479" i="1"/>
  <c r="U479" i="1"/>
  <c r="N480" i="1"/>
  <c r="O480" i="1"/>
  <c r="P480" i="1"/>
  <c r="Q480" i="1"/>
  <c r="R480" i="1"/>
  <c r="S480" i="1"/>
  <c r="T480" i="1"/>
  <c r="U480" i="1"/>
  <c r="N481" i="1"/>
  <c r="O481" i="1"/>
  <c r="P481" i="1"/>
  <c r="Q481" i="1"/>
  <c r="R481" i="1"/>
  <c r="S481" i="1"/>
  <c r="T481" i="1"/>
  <c r="U481" i="1"/>
  <c r="O2" i="1"/>
  <c r="P2" i="1"/>
  <c r="Q2" i="1"/>
  <c r="R2" i="1"/>
  <c r="S2" i="1"/>
  <c r="T2" i="1"/>
  <c r="U2" i="1"/>
  <c r="V2" i="1"/>
  <c r="N2" i="1"/>
  <c r="E467" i="10" l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2" i="10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2" i="8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2" i="4"/>
  <c r="E19" i="2"/>
  <c r="E35" i="2"/>
  <c r="E51" i="2"/>
  <c r="E67" i="2"/>
  <c r="E83" i="2"/>
  <c r="E99" i="2"/>
  <c r="E115" i="2"/>
  <c r="E131" i="2"/>
  <c r="E147" i="2"/>
  <c r="E163" i="2"/>
  <c r="E179" i="2"/>
  <c r="E195" i="2"/>
  <c r="E211" i="2"/>
  <c r="E223" i="2"/>
  <c r="E231" i="2"/>
  <c r="E239" i="2"/>
  <c r="E247" i="2"/>
  <c r="E255" i="2"/>
  <c r="E263" i="2"/>
  <c r="E271" i="2"/>
  <c r="E279" i="2"/>
  <c r="E287" i="2"/>
  <c r="E295" i="2"/>
  <c r="E301" i="2"/>
  <c r="E307" i="2"/>
  <c r="E312" i="2"/>
  <c r="E317" i="2"/>
  <c r="E323" i="2"/>
  <c r="E328" i="2"/>
  <c r="E333" i="2"/>
  <c r="E339" i="2"/>
  <c r="E344" i="2"/>
  <c r="E348" i="2"/>
  <c r="E352" i="2"/>
  <c r="E356" i="2"/>
  <c r="E360" i="2"/>
  <c r="E364" i="2"/>
  <c r="E368" i="2"/>
  <c r="E372" i="2"/>
  <c r="E376" i="2"/>
  <c r="E380" i="2"/>
  <c r="E384" i="2"/>
  <c r="E388" i="2"/>
  <c r="E392" i="2"/>
  <c r="E396" i="2"/>
  <c r="E400" i="2"/>
  <c r="E404" i="2"/>
  <c r="E408" i="2"/>
  <c r="E412" i="2"/>
  <c r="E416" i="2"/>
  <c r="E420" i="2"/>
  <c r="E424" i="2"/>
  <c r="E428" i="2"/>
  <c r="E432" i="2"/>
  <c r="E436" i="2"/>
  <c r="E440" i="2"/>
  <c r="E444" i="2"/>
  <c r="E448" i="2"/>
  <c r="E452" i="2"/>
  <c r="E456" i="2"/>
  <c r="E460" i="2"/>
  <c r="E464" i="2"/>
  <c r="E468" i="2"/>
  <c r="E472" i="2"/>
  <c r="E476" i="2"/>
  <c r="E480" i="2"/>
  <c r="E484" i="2"/>
  <c r="E488" i="2"/>
  <c r="E492" i="2"/>
  <c r="E496" i="2"/>
  <c r="E500" i="2"/>
  <c r="E504" i="2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E125" i="2" s="1"/>
  <c r="D126" i="2"/>
  <c r="E126" i="2" s="1"/>
  <c r="D127" i="2"/>
  <c r="E127" i="2" s="1"/>
  <c r="D128" i="2"/>
  <c r="E128" i="2" s="1"/>
  <c r="D129" i="2"/>
  <c r="E129" i="2" s="1"/>
  <c r="D130" i="2"/>
  <c r="E130" i="2" s="1"/>
  <c r="D131" i="2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D180" i="2"/>
  <c r="E180" i="2" s="1"/>
  <c r="D181" i="2"/>
  <c r="E181" i="2" s="1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D196" i="2"/>
  <c r="E196" i="2" s="1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D212" i="2"/>
  <c r="E212" i="2" s="1"/>
  <c r="D213" i="2"/>
  <c r="E213" i="2" s="1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D220" i="2"/>
  <c r="E220" i="2" s="1"/>
  <c r="D221" i="2"/>
  <c r="E221" i="2" s="1"/>
  <c r="D222" i="2"/>
  <c r="E222" i="2" s="1"/>
  <c r="D223" i="2"/>
  <c r="D224" i="2"/>
  <c r="E224" i="2" s="1"/>
  <c r="D225" i="2"/>
  <c r="E225" i="2" s="1"/>
  <c r="D226" i="2"/>
  <c r="E226" i="2" s="1"/>
  <c r="D227" i="2"/>
  <c r="E227" i="2" s="1"/>
  <c r="D228" i="2"/>
  <c r="E228" i="2" s="1"/>
  <c r="D229" i="2"/>
  <c r="E229" i="2" s="1"/>
  <c r="D230" i="2"/>
  <c r="E230" i="2" s="1"/>
  <c r="D231" i="2"/>
  <c r="D232" i="2"/>
  <c r="E232" i="2" s="1"/>
  <c r="D233" i="2"/>
  <c r="E233" i="2" s="1"/>
  <c r="D234" i="2"/>
  <c r="E234" i="2" s="1"/>
  <c r="D235" i="2"/>
  <c r="E235" i="2" s="1"/>
  <c r="D236" i="2"/>
  <c r="E236" i="2" s="1"/>
  <c r="D237" i="2"/>
  <c r="E237" i="2" s="1"/>
  <c r="D238" i="2"/>
  <c r="E238" i="2" s="1"/>
  <c r="D239" i="2"/>
  <c r="D240" i="2"/>
  <c r="E240" i="2" s="1"/>
  <c r="D241" i="2"/>
  <c r="E241" i="2" s="1"/>
  <c r="D242" i="2"/>
  <c r="E242" i="2" s="1"/>
  <c r="D243" i="2"/>
  <c r="E243" i="2" s="1"/>
  <c r="D244" i="2"/>
  <c r="E244" i="2" s="1"/>
  <c r="D245" i="2"/>
  <c r="E245" i="2" s="1"/>
  <c r="D246" i="2"/>
  <c r="E246" i="2" s="1"/>
  <c r="D247" i="2"/>
  <c r="D248" i="2"/>
  <c r="E248" i="2" s="1"/>
  <c r="D249" i="2"/>
  <c r="E249" i="2" s="1"/>
  <c r="D250" i="2"/>
  <c r="E250" i="2" s="1"/>
  <c r="D251" i="2"/>
  <c r="E251" i="2" s="1"/>
  <c r="D252" i="2"/>
  <c r="E252" i="2" s="1"/>
  <c r="D253" i="2"/>
  <c r="E253" i="2" s="1"/>
  <c r="D254" i="2"/>
  <c r="E254" i="2" s="1"/>
  <c r="D255" i="2"/>
  <c r="D256" i="2"/>
  <c r="E256" i="2" s="1"/>
  <c r="D257" i="2"/>
  <c r="E257" i="2" s="1"/>
  <c r="D258" i="2"/>
  <c r="E258" i="2" s="1"/>
  <c r="D259" i="2"/>
  <c r="E259" i="2" s="1"/>
  <c r="D260" i="2"/>
  <c r="E260" i="2" s="1"/>
  <c r="D261" i="2"/>
  <c r="E261" i="2" s="1"/>
  <c r="D262" i="2"/>
  <c r="E262" i="2" s="1"/>
  <c r="D263" i="2"/>
  <c r="D264" i="2"/>
  <c r="E264" i="2" s="1"/>
  <c r="D265" i="2"/>
  <c r="E265" i="2" s="1"/>
  <c r="D266" i="2"/>
  <c r="E266" i="2" s="1"/>
  <c r="D267" i="2"/>
  <c r="E267" i="2" s="1"/>
  <c r="D268" i="2"/>
  <c r="E268" i="2" s="1"/>
  <c r="D269" i="2"/>
  <c r="E269" i="2" s="1"/>
  <c r="D270" i="2"/>
  <c r="E270" i="2" s="1"/>
  <c r="D271" i="2"/>
  <c r="D272" i="2"/>
  <c r="E272" i="2" s="1"/>
  <c r="D273" i="2"/>
  <c r="E273" i="2" s="1"/>
  <c r="D274" i="2"/>
  <c r="E274" i="2" s="1"/>
  <c r="D275" i="2"/>
  <c r="E275" i="2" s="1"/>
  <c r="D276" i="2"/>
  <c r="E276" i="2" s="1"/>
  <c r="D277" i="2"/>
  <c r="E277" i="2" s="1"/>
  <c r="D278" i="2"/>
  <c r="E278" i="2" s="1"/>
  <c r="D279" i="2"/>
  <c r="D280" i="2"/>
  <c r="E280" i="2" s="1"/>
  <c r="D281" i="2"/>
  <c r="E281" i="2" s="1"/>
  <c r="D282" i="2"/>
  <c r="E282" i="2" s="1"/>
  <c r="D283" i="2"/>
  <c r="E283" i="2" s="1"/>
  <c r="D284" i="2"/>
  <c r="E284" i="2" s="1"/>
  <c r="D285" i="2"/>
  <c r="E285" i="2" s="1"/>
  <c r="D286" i="2"/>
  <c r="E286" i="2" s="1"/>
  <c r="D287" i="2"/>
  <c r="D288" i="2"/>
  <c r="E288" i="2" s="1"/>
  <c r="D289" i="2"/>
  <c r="E289" i="2" s="1"/>
  <c r="D290" i="2"/>
  <c r="E290" i="2" s="1"/>
  <c r="D291" i="2"/>
  <c r="E291" i="2" s="1"/>
  <c r="D292" i="2"/>
  <c r="E292" i="2" s="1"/>
  <c r="D293" i="2"/>
  <c r="E293" i="2" s="1"/>
  <c r="D294" i="2"/>
  <c r="E294" i="2" s="1"/>
  <c r="D295" i="2"/>
  <c r="D296" i="2"/>
  <c r="E296" i="2" s="1"/>
  <c r="D297" i="2"/>
  <c r="E297" i="2" s="1"/>
  <c r="D298" i="2"/>
  <c r="E298" i="2" s="1"/>
  <c r="D299" i="2"/>
  <c r="E299" i="2" s="1"/>
  <c r="D300" i="2"/>
  <c r="E300" i="2" s="1"/>
  <c r="D301" i="2"/>
  <c r="D302" i="2"/>
  <c r="E302" i="2" s="1"/>
  <c r="D303" i="2"/>
  <c r="E303" i="2" s="1"/>
  <c r="D304" i="2"/>
  <c r="E304" i="2" s="1"/>
  <c r="D305" i="2"/>
  <c r="E305" i="2" s="1"/>
  <c r="D306" i="2"/>
  <c r="E306" i="2" s="1"/>
  <c r="D307" i="2"/>
  <c r="D308" i="2"/>
  <c r="E308" i="2" s="1"/>
  <c r="D309" i="2"/>
  <c r="E309" i="2" s="1"/>
  <c r="D310" i="2"/>
  <c r="E310" i="2" s="1"/>
  <c r="D311" i="2"/>
  <c r="E311" i="2" s="1"/>
  <c r="D312" i="2"/>
  <c r="D313" i="2"/>
  <c r="E313" i="2" s="1"/>
  <c r="D314" i="2"/>
  <c r="E314" i="2" s="1"/>
  <c r="D315" i="2"/>
  <c r="E315" i="2" s="1"/>
  <c r="D316" i="2"/>
  <c r="E316" i="2" s="1"/>
  <c r="D317" i="2"/>
  <c r="D318" i="2"/>
  <c r="E318" i="2" s="1"/>
  <c r="D319" i="2"/>
  <c r="E319" i="2" s="1"/>
  <c r="D320" i="2"/>
  <c r="E320" i="2" s="1"/>
  <c r="D321" i="2"/>
  <c r="E321" i="2" s="1"/>
  <c r="D322" i="2"/>
  <c r="E322" i="2" s="1"/>
  <c r="D323" i="2"/>
  <c r="D324" i="2"/>
  <c r="E324" i="2" s="1"/>
  <c r="D325" i="2"/>
  <c r="E325" i="2" s="1"/>
  <c r="D326" i="2"/>
  <c r="E326" i="2" s="1"/>
  <c r="D327" i="2"/>
  <c r="E327" i="2" s="1"/>
  <c r="D328" i="2"/>
  <c r="D329" i="2"/>
  <c r="E329" i="2" s="1"/>
  <c r="D330" i="2"/>
  <c r="E330" i="2" s="1"/>
  <c r="D331" i="2"/>
  <c r="E331" i="2" s="1"/>
  <c r="D332" i="2"/>
  <c r="E332" i="2" s="1"/>
  <c r="D333" i="2"/>
  <c r="D334" i="2"/>
  <c r="E334" i="2" s="1"/>
  <c r="D335" i="2"/>
  <c r="E335" i="2" s="1"/>
  <c r="D336" i="2"/>
  <c r="E336" i="2" s="1"/>
  <c r="D337" i="2"/>
  <c r="E337" i="2" s="1"/>
  <c r="D338" i="2"/>
  <c r="E338" i="2" s="1"/>
  <c r="D339" i="2"/>
  <c r="D340" i="2"/>
  <c r="E340" i="2" s="1"/>
  <c r="D341" i="2"/>
  <c r="E341" i="2" s="1"/>
  <c r="D342" i="2"/>
  <c r="E342" i="2" s="1"/>
  <c r="D343" i="2"/>
  <c r="E343" i="2" s="1"/>
  <c r="D344" i="2"/>
  <c r="D345" i="2"/>
  <c r="E345" i="2" s="1"/>
  <c r="D346" i="2"/>
  <c r="E346" i="2" s="1"/>
  <c r="D347" i="2"/>
  <c r="E347" i="2" s="1"/>
  <c r="D348" i="2"/>
  <c r="D349" i="2"/>
  <c r="E349" i="2" s="1"/>
  <c r="D350" i="2"/>
  <c r="E350" i="2" s="1"/>
  <c r="D351" i="2"/>
  <c r="E351" i="2" s="1"/>
  <c r="D352" i="2"/>
  <c r="D353" i="2"/>
  <c r="E353" i="2" s="1"/>
  <c r="D354" i="2"/>
  <c r="E354" i="2" s="1"/>
  <c r="D355" i="2"/>
  <c r="E355" i="2" s="1"/>
  <c r="D356" i="2"/>
  <c r="D357" i="2"/>
  <c r="E357" i="2" s="1"/>
  <c r="D358" i="2"/>
  <c r="E358" i="2" s="1"/>
  <c r="D359" i="2"/>
  <c r="E359" i="2" s="1"/>
  <c r="D360" i="2"/>
  <c r="D361" i="2"/>
  <c r="E361" i="2" s="1"/>
  <c r="D362" i="2"/>
  <c r="E362" i="2" s="1"/>
  <c r="D363" i="2"/>
  <c r="E363" i="2" s="1"/>
  <c r="D364" i="2"/>
  <c r="D365" i="2"/>
  <c r="E365" i="2" s="1"/>
  <c r="D366" i="2"/>
  <c r="E366" i="2" s="1"/>
  <c r="D367" i="2"/>
  <c r="E367" i="2" s="1"/>
  <c r="D368" i="2"/>
  <c r="D369" i="2"/>
  <c r="E369" i="2" s="1"/>
  <c r="D370" i="2"/>
  <c r="E370" i="2" s="1"/>
  <c r="D371" i="2"/>
  <c r="E371" i="2" s="1"/>
  <c r="D372" i="2"/>
  <c r="D373" i="2"/>
  <c r="E373" i="2" s="1"/>
  <c r="D374" i="2"/>
  <c r="E374" i="2" s="1"/>
  <c r="D375" i="2"/>
  <c r="E375" i="2" s="1"/>
  <c r="D376" i="2"/>
  <c r="D377" i="2"/>
  <c r="E377" i="2" s="1"/>
  <c r="D378" i="2"/>
  <c r="E378" i="2" s="1"/>
  <c r="D379" i="2"/>
  <c r="E379" i="2" s="1"/>
  <c r="D380" i="2"/>
  <c r="D381" i="2"/>
  <c r="E381" i="2" s="1"/>
  <c r="D382" i="2"/>
  <c r="E382" i="2" s="1"/>
  <c r="D383" i="2"/>
  <c r="E383" i="2" s="1"/>
  <c r="D384" i="2"/>
  <c r="D385" i="2"/>
  <c r="E385" i="2" s="1"/>
  <c r="D386" i="2"/>
  <c r="E386" i="2" s="1"/>
  <c r="D387" i="2"/>
  <c r="E387" i="2" s="1"/>
  <c r="D388" i="2"/>
  <c r="D389" i="2"/>
  <c r="E389" i="2" s="1"/>
  <c r="D390" i="2"/>
  <c r="E390" i="2" s="1"/>
  <c r="D391" i="2"/>
  <c r="E391" i="2" s="1"/>
  <c r="D392" i="2"/>
  <c r="D393" i="2"/>
  <c r="E393" i="2" s="1"/>
  <c r="D394" i="2"/>
  <c r="E394" i="2" s="1"/>
  <c r="D395" i="2"/>
  <c r="E395" i="2" s="1"/>
  <c r="D396" i="2"/>
  <c r="D397" i="2"/>
  <c r="E397" i="2" s="1"/>
  <c r="D398" i="2"/>
  <c r="E398" i="2" s="1"/>
  <c r="D399" i="2"/>
  <c r="E399" i="2" s="1"/>
  <c r="D400" i="2"/>
  <c r="D401" i="2"/>
  <c r="E401" i="2" s="1"/>
  <c r="D402" i="2"/>
  <c r="E402" i="2" s="1"/>
  <c r="D403" i="2"/>
  <c r="E403" i="2" s="1"/>
  <c r="D404" i="2"/>
  <c r="D405" i="2"/>
  <c r="E405" i="2" s="1"/>
  <c r="D406" i="2"/>
  <c r="E406" i="2" s="1"/>
  <c r="D407" i="2"/>
  <c r="E407" i="2" s="1"/>
  <c r="D408" i="2"/>
  <c r="D409" i="2"/>
  <c r="E409" i="2" s="1"/>
  <c r="D410" i="2"/>
  <c r="E410" i="2" s="1"/>
  <c r="D411" i="2"/>
  <c r="E411" i="2" s="1"/>
  <c r="D412" i="2"/>
  <c r="D413" i="2"/>
  <c r="E413" i="2" s="1"/>
  <c r="D414" i="2"/>
  <c r="E414" i="2" s="1"/>
  <c r="D415" i="2"/>
  <c r="E415" i="2" s="1"/>
  <c r="D416" i="2"/>
  <c r="D417" i="2"/>
  <c r="E417" i="2" s="1"/>
  <c r="D418" i="2"/>
  <c r="E418" i="2" s="1"/>
  <c r="D419" i="2"/>
  <c r="E419" i="2" s="1"/>
  <c r="D420" i="2"/>
  <c r="D421" i="2"/>
  <c r="E421" i="2" s="1"/>
  <c r="D422" i="2"/>
  <c r="E422" i="2" s="1"/>
  <c r="D423" i="2"/>
  <c r="E423" i="2" s="1"/>
  <c r="D424" i="2"/>
  <c r="D425" i="2"/>
  <c r="E425" i="2" s="1"/>
  <c r="D426" i="2"/>
  <c r="E426" i="2" s="1"/>
  <c r="D427" i="2"/>
  <c r="E427" i="2" s="1"/>
  <c r="D428" i="2"/>
  <c r="D429" i="2"/>
  <c r="E429" i="2" s="1"/>
  <c r="D430" i="2"/>
  <c r="E430" i="2" s="1"/>
  <c r="D431" i="2"/>
  <c r="E431" i="2" s="1"/>
  <c r="D432" i="2"/>
  <c r="D433" i="2"/>
  <c r="E433" i="2" s="1"/>
  <c r="D434" i="2"/>
  <c r="E434" i="2" s="1"/>
  <c r="D435" i="2"/>
  <c r="E435" i="2" s="1"/>
  <c r="D436" i="2"/>
  <c r="D437" i="2"/>
  <c r="E437" i="2" s="1"/>
  <c r="D438" i="2"/>
  <c r="E438" i="2" s="1"/>
  <c r="D439" i="2"/>
  <c r="E439" i="2" s="1"/>
  <c r="D440" i="2"/>
  <c r="D441" i="2"/>
  <c r="E441" i="2" s="1"/>
  <c r="D442" i="2"/>
  <c r="E442" i="2" s="1"/>
  <c r="D443" i="2"/>
  <c r="E443" i="2" s="1"/>
  <c r="D444" i="2"/>
  <c r="D445" i="2"/>
  <c r="E445" i="2" s="1"/>
  <c r="D446" i="2"/>
  <c r="E446" i="2" s="1"/>
  <c r="D447" i="2"/>
  <c r="E447" i="2" s="1"/>
  <c r="D448" i="2"/>
  <c r="D449" i="2"/>
  <c r="E449" i="2" s="1"/>
  <c r="D450" i="2"/>
  <c r="E450" i="2" s="1"/>
  <c r="D451" i="2"/>
  <c r="E451" i="2" s="1"/>
  <c r="D452" i="2"/>
  <c r="D453" i="2"/>
  <c r="E453" i="2" s="1"/>
  <c r="D454" i="2"/>
  <c r="E454" i="2" s="1"/>
  <c r="D455" i="2"/>
  <c r="E455" i="2" s="1"/>
  <c r="D456" i="2"/>
  <c r="D457" i="2"/>
  <c r="E457" i="2" s="1"/>
  <c r="D458" i="2"/>
  <c r="E458" i="2" s="1"/>
  <c r="D459" i="2"/>
  <c r="E459" i="2" s="1"/>
  <c r="D460" i="2"/>
  <c r="D461" i="2"/>
  <c r="E461" i="2" s="1"/>
  <c r="D462" i="2"/>
  <c r="E462" i="2" s="1"/>
  <c r="D463" i="2"/>
  <c r="E463" i="2" s="1"/>
  <c r="D464" i="2"/>
  <c r="D465" i="2"/>
  <c r="E465" i="2" s="1"/>
  <c r="D466" i="2"/>
  <c r="E466" i="2" s="1"/>
  <c r="D467" i="2"/>
  <c r="E467" i="2" s="1"/>
  <c r="D468" i="2"/>
  <c r="D469" i="2"/>
  <c r="E469" i="2" s="1"/>
  <c r="D470" i="2"/>
  <c r="E470" i="2" s="1"/>
  <c r="D471" i="2"/>
  <c r="E471" i="2" s="1"/>
  <c r="D472" i="2"/>
  <c r="D473" i="2"/>
  <c r="E473" i="2" s="1"/>
  <c r="D474" i="2"/>
  <c r="E474" i="2" s="1"/>
  <c r="D475" i="2"/>
  <c r="E475" i="2" s="1"/>
  <c r="D476" i="2"/>
  <c r="D477" i="2"/>
  <c r="E477" i="2" s="1"/>
  <c r="D478" i="2"/>
  <c r="E478" i="2" s="1"/>
  <c r="D479" i="2"/>
  <c r="E479" i="2" s="1"/>
  <c r="D480" i="2"/>
  <c r="D481" i="2"/>
  <c r="E481" i="2" s="1"/>
  <c r="D482" i="2"/>
  <c r="E482" i="2" s="1"/>
  <c r="D483" i="2"/>
  <c r="E483" i="2" s="1"/>
  <c r="D484" i="2"/>
  <c r="D485" i="2"/>
  <c r="E485" i="2" s="1"/>
  <c r="D486" i="2"/>
  <c r="E486" i="2" s="1"/>
  <c r="D487" i="2"/>
  <c r="E487" i="2" s="1"/>
  <c r="D488" i="2"/>
  <c r="D489" i="2"/>
  <c r="E489" i="2" s="1"/>
  <c r="D490" i="2"/>
  <c r="E490" i="2" s="1"/>
  <c r="D491" i="2"/>
  <c r="E491" i="2" s="1"/>
  <c r="D492" i="2"/>
  <c r="D493" i="2"/>
  <c r="E493" i="2" s="1"/>
  <c r="D494" i="2"/>
  <c r="E494" i="2" s="1"/>
  <c r="D495" i="2"/>
  <c r="E495" i="2" s="1"/>
  <c r="D496" i="2"/>
  <c r="D497" i="2"/>
  <c r="E497" i="2" s="1"/>
  <c r="D498" i="2"/>
  <c r="E498" i="2" s="1"/>
  <c r="D499" i="2"/>
  <c r="E499" i="2" s="1"/>
  <c r="D500" i="2"/>
  <c r="D501" i="2"/>
  <c r="E501" i="2" s="1"/>
  <c r="D502" i="2"/>
  <c r="E502" i="2" s="1"/>
  <c r="D503" i="2"/>
  <c r="E503" i="2" s="1"/>
  <c r="D504" i="2"/>
  <c r="D505" i="2"/>
  <c r="E505" i="2" s="1"/>
  <c r="E3" i="2"/>
  <c r="D3" i="2"/>
</calcChain>
</file>

<file path=xl/sharedStrings.xml><?xml version="1.0" encoding="utf-8"?>
<sst xmlns="http://schemas.openxmlformats.org/spreadsheetml/2006/main" count="25314" uniqueCount="3411">
  <si>
    <t>bank</t>
  </si>
  <si>
    <t>quarter</t>
  </si>
  <si>
    <t>kredit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</si>
  <si>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</si>
  <si>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</si>
  <si>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</si>
  <si>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</si>
  <si>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</si>
  <si>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</si>
  <si>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</si>
  <si>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</si>
  <si>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</si>
  <si>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</si>
  <si>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</si>
  <si>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</si>
  <si>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</si>
  <si>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</si>
  <si>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</si>
  <si>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</si>
  <si>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</si>
  <si>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</si>
  <si>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</si>
  <si>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</si>
  <si>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</si>
  <si>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BBRI</t>
  </si>
  <si>
    <t>BMRI</t>
  </si>
  <si>
    <t>BBNI</t>
  </si>
  <si>
    <t>BBTN</t>
  </si>
  <si>
    <t>BNLI</t>
  </si>
  <si>
    <t>BBCA</t>
  </si>
  <si>
    <t>BNII</t>
  </si>
  <si>
    <t>PNBN</t>
  </si>
  <si>
    <t>BNGA</t>
  </si>
  <si>
    <t>BJBR</t>
  </si>
  <si>
    <t>NISP</t>
  </si>
  <si>
    <t>BNBA</t>
  </si>
  <si>
    <t>BJTM</t>
  </si>
  <si>
    <t>BKSW</t>
  </si>
  <si>
    <t>SDRA</t>
  </si>
  <si>
    <t>MEGA</t>
  </si>
  <si>
    <t>BBHI</t>
  </si>
  <si>
    <t>AGRO</t>
  </si>
  <si>
    <t>MCOR</t>
  </si>
  <si>
    <t>AGRS</t>
  </si>
  <si>
    <t>BTPN</t>
  </si>
  <si>
    <t>NOBU</t>
  </si>
  <si>
    <t>DNAR</t>
  </si>
  <si>
    <t>ARTO</t>
  </si>
  <si>
    <t>loang</t>
  </si>
  <si>
    <t>lg</t>
  </si>
  <si>
    <t>Lg</t>
  </si>
  <si>
    <t>car</t>
  </si>
  <si>
    <t>lar</t>
  </si>
  <si>
    <t>size</t>
  </si>
  <si>
    <t>roa</t>
  </si>
  <si>
    <t>nplgross</t>
  </si>
  <si>
    <t>ckpn</t>
  </si>
  <si>
    <t>nim</t>
  </si>
  <si>
    <t>totalaset</t>
  </si>
  <si>
    <t>BRI</t>
  </si>
  <si>
    <t>2017Q1</t>
  </si>
  <si>
    <t>2017Q2</t>
  </si>
  <si>
    <t>2017Q3</t>
  </si>
  <si>
    <t>MANDIRI</t>
  </si>
  <si>
    <t>BNI</t>
  </si>
  <si>
    <t>BTN</t>
  </si>
  <si>
    <t>DANAMON</t>
  </si>
  <si>
    <t>PERMATA</t>
  </si>
  <si>
    <t>BCA</t>
  </si>
  <si>
    <t>MAYBANK</t>
  </si>
  <si>
    <t>PANIN</t>
  </si>
  <si>
    <t>CIMBNIAGA</t>
  </si>
  <si>
    <t xml:space="preserve">BJB </t>
  </si>
  <si>
    <t>OCBC</t>
  </si>
  <si>
    <t>ARTHA_GRAHA</t>
  </si>
  <si>
    <t>BUMI _ARTA</t>
  </si>
  <si>
    <t>BANK_JATIM</t>
  </si>
  <si>
    <t>JTRUST</t>
  </si>
  <si>
    <t>MAYAPADA</t>
  </si>
  <si>
    <t>BANK_OF_INDIA</t>
  </si>
  <si>
    <t>MESTIKA</t>
  </si>
  <si>
    <t>SINARMAS</t>
  </si>
  <si>
    <t>MASPION</t>
  </si>
  <si>
    <t>GANESHA</t>
  </si>
  <si>
    <t>QNB</t>
  </si>
  <si>
    <t>WOORI_SAUDARA</t>
  </si>
  <si>
    <t>ALLO</t>
  </si>
  <si>
    <t>BUKOPIN</t>
  </si>
  <si>
    <t>MNC</t>
  </si>
  <si>
    <t>BANK_RAYA_INDONESIA</t>
  </si>
  <si>
    <t>CCB</t>
  </si>
  <si>
    <t>BANK_CAPITAL_INDONESIA</t>
  </si>
  <si>
    <t>IBK</t>
  </si>
  <si>
    <t>KROM</t>
  </si>
  <si>
    <t xml:space="preserve">NEO </t>
  </si>
  <si>
    <t>NATIONALNOBU</t>
  </si>
  <si>
    <t>INA_PERDANA</t>
  </si>
  <si>
    <t xml:space="preserve">OKE </t>
  </si>
  <si>
    <t>JAGO</t>
  </si>
  <si>
    <t>VICTORIA_INTERNATIONAL</t>
  </si>
  <si>
    <t>total_aset</t>
  </si>
  <si>
    <t>240,872,756</t>
  </si>
  <si>
    <t>229,793,439</t>
  </si>
  <si>
    <t>220,454,187</t>
  </si>
  <si>
    <t>1,234,267,327</t>
  </si>
  <si>
    <t>1,237,703,292</t>
  </si>
  <si>
    <t>1,259,492,289</t>
  </si>
  <si>
    <t>149,555,899</t>
  </si>
  <si>
    <t>157,155,290</t>
  </si>
  <si>
    <t>154,482,625</t>
  </si>
  <si>
    <t>190,615,996</t>
  </si>
  <si>
    <t>183,337,927</t>
  </si>
  <si>
    <t>181,077,682</t>
  </si>
  <si>
    <t>302,858,346</t>
  </si>
  <si>
    <t>306,040,142</t>
  </si>
  <si>
    <t>301,824,676</t>
  </si>
  <si>
    <t>98,071,221</t>
  </si>
  <si>
    <t>101,811,549</t>
  </si>
  <si>
    <t>107,758,712</t>
  </si>
  <si>
    <t>108,408,673</t>
  </si>
  <si>
    <t>110,816,506</t>
  </si>
  <si>
    <t>107,716,257</t>
  </si>
  <si>
    <t>108,630,466</t>
  </si>
  <si>
    <t>114,590,186</t>
  </si>
  <si>
    <t>112,250,729</t>
  </si>
  <si>
    <t>114,833,573</t>
  </si>
  <si>
    <t>117,346,330</t>
  </si>
  <si>
    <t>116,996,377</t>
  </si>
  <si>
    <t>116,798,653</t>
  </si>
  <si>
    <t>119,152,626</t>
  </si>
  <si>
    <t>140,813,237</t>
  </si>
  <si>
    <t>133,559,935</t>
  </si>
  <si>
    <t>136,812,463</t>
  </si>
  <si>
    <t>143,006,736</t>
  </si>
  <si>
    <t>151,452,417</t>
  </si>
  <si>
    <t>149,420,474</t>
  </si>
  <si>
    <t>158,759,067</t>
  </si>
  <si>
    <t>162,987,586</t>
  </si>
  <si>
    <t>160,603,472</t>
  </si>
  <si>
    <t>225,739,275</t>
  </si>
  <si>
    <t>223,457,116</t>
  </si>
  <si>
    <t>220,444,826</t>
  </si>
  <si>
    <t>238,543,778</t>
  </si>
  <si>
    <t>125,047,959</t>
  </si>
  <si>
    <t>125,084,354</t>
  </si>
  <si>
    <t>124,829,108</t>
  </si>
  <si>
    <t>8,570,013</t>
  </si>
  <si>
    <t>8,243,022</t>
  </si>
  <si>
    <t>105,654,034</t>
  </si>
  <si>
    <t>108,925,019</t>
  </si>
  <si>
    <t>98,477,208</t>
  </si>
  <si>
    <t>23,568,478</t>
  </si>
  <si>
    <t>26,258,959</t>
  </si>
  <si>
    <t>30,064,470</t>
  </si>
  <si>
    <t>121,871,824</t>
  </si>
  <si>
    <t>123,473,565</t>
  </si>
  <si>
    <t>129,541,258</t>
  </si>
  <si>
    <t>4,371,704</t>
  </si>
  <si>
    <t>4,623,240</t>
  </si>
  <si>
    <t>4,883,181</t>
  </si>
  <si>
    <t>16,833,036</t>
  </si>
  <si>
    <t>16,729,135</t>
  </si>
  <si>
    <t>17,234,072</t>
  </si>
  <si>
    <t>48,563,195</t>
  </si>
  <si>
    <t>51,302,901</t>
  </si>
  <si>
    <t>53,383,860</t>
  </si>
  <si>
    <t>14,325,656</t>
  </si>
  <si>
    <t>13,973,612</t>
  </si>
  <si>
    <t>13,824,265</t>
  </si>
  <si>
    <t>8,915,530</t>
  </si>
  <si>
    <t>11,244,158</t>
  </si>
  <si>
    <t>9,045,391</t>
  </si>
  <si>
    <t>17,485,920</t>
  </si>
  <si>
    <t>15,794,613</t>
  </si>
  <si>
    <t>15,967,843</t>
  </si>
  <si>
    <t>45,955,866</t>
  </si>
  <si>
    <t>total_liabilitas</t>
  </si>
  <si>
    <t>ckpn kredit</t>
  </si>
  <si>
    <t>8,834,576</t>
  </si>
  <si>
    <t>9,210,697</t>
  </si>
  <si>
    <t>9,630,201</t>
  </si>
  <si>
    <t>8,164,944</t>
  </si>
  <si>
    <t>6,812,068</t>
  </si>
  <si>
    <t>5,899,144</t>
  </si>
  <si>
    <t>5,757,128</t>
  </si>
  <si>
    <t>3,906,407</t>
  </si>
  <si>
    <t>5,147,526</t>
  </si>
  <si>
    <t>4,209,746</t>
  </si>
  <si>
    <t>4,451,399</t>
  </si>
  <si>
    <t>7,948,549</t>
  </si>
  <si>
    <t>8,254,197</t>
  </si>
  <si>
    <t>8,481,816</t>
  </si>
  <si>
    <t>8,664,760</t>
  </si>
  <si>
    <t>9,037,050</t>
  </si>
  <si>
    <t>203,709,142</t>
  </si>
  <si>
    <t>3.81</t>
  </si>
  <si>
    <t>3.17</t>
  </si>
  <si>
    <t>1.60</t>
  </si>
  <si>
    <t>9,206,409</t>
  </si>
  <si>
    <t>192,599,540</t>
  </si>
  <si>
    <t>32.96</t>
  </si>
  <si>
    <t>4.02</t>
  </si>
  <si>
    <t>3.11</t>
  </si>
  <si>
    <t>1.54</t>
  </si>
  <si>
    <t>9,541,963</t>
  </si>
  <si>
    <t>182,824,861</t>
  </si>
  <si>
    <t>33.17</t>
  </si>
  <si>
    <t>4.25</t>
  </si>
  <si>
    <t>3.09</t>
  </si>
  <si>
    <t>1.64</t>
  </si>
  <si>
    <t>4.98</t>
  </si>
  <si>
    <t>9,916,708</t>
  </si>
  <si>
    <t>13,261,126</t>
  </si>
  <si>
    <t>13,282,687</t>
  </si>
  <si>
    <t>13,855,823</t>
  </si>
  <si>
    <t>13,568,311</t>
  </si>
  <si>
    <t>13,448,271</t>
  </si>
  <si>
    <t>14,270,566</t>
  </si>
  <si>
    <t>15,143,022</t>
  </si>
  <si>
    <t>14,905,039</t>
  </si>
  <si>
    <t>22,045,508</t>
  </si>
  <si>
    <t>24,818,481</t>
  </si>
  <si>
    <t>26,808,907</t>
  </si>
  <si>
    <t>26,944,873</t>
  </si>
  <si>
    <t>29,504,146</t>
  </si>
  <si>
    <t>31,931,656</t>
  </si>
  <si>
    <t>32,150,675</t>
  </si>
  <si>
    <t>32,189,591</t>
  </si>
  <si>
    <t>1,048,030,382</t>
  </si>
  <si>
    <t>23.86</t>
  </si>
  <si>
    <t>4.92</t>
  </si>
  <si>
    <t>2.30</t>
  </si>
  <si>
    <t>0.79</t>
  </si>
  <si>
    <t>3.06</t>
  </si>
  <si>
    <t>34,936,280</t>
  </si>
  <si>
    <t>1,043,249,047</t>
  </si>
  <si>
    <t>24.72</t>
  </si>
  <si>
    <t>2.21</t>
  </si>
  <si>
    <t>3.47</t>
  </si>
  <si>
    <t>35,721,315</t>
  </si>
  <si>
    <t>1,056,431,024</t>
  </si>
  <si>
    <t>25.36</t>
  </si>
  <si>
    <t>5.13</t>
  </si>
  <si>
    <t>2.16</t>
  </si>
  <si>
    <t>3.69</t>
  </si>
  <si>
    <t>3.18</t>
  </si>
  <si>
    <t>35,510,596</t>
  </si>
  <si>
    <t>1,998,889</t>
  </si>
  <si>
    <t>2,068,584</t>
  </si>
  <si>
    <t>2,122,541</t>
  </si>
  <si>
    <t>2,009,569</t>
  </si>
  <si>
    <t>2,182,444</t>
  </si>
  <si>
    <t>2,445,961</t>
  </si>
  <si>
    <t>2,729,742</t>
  </si>
  <si>
    <t>2,390,401</t>
  </si>
  <si>
    <t>3,300,563</t>
  </si>
  <si>
    <t>3,616,477</t>
  </si>
  <si>
    <t>3,013,949</t>
  </si>
  <si>
    <t>3,001,132</t>
  </si>
  <si>
    <t>3,156,332</t>
  </si>
  <si>
    <t>3,421,058</t>
  </si>
  <si>
    <t>3,502,637</t>
  </si>
  <si>
    <t>3,066,231</t>
  </si>
  <si>
    <t>124,993,984</t>
  </si>
  <si>
    <t>25.58</t>
  </si>
  <si>
    <t>3.75</t>
  </si>
  <si>
    <t>4.28</t>
  </si>
  <si>
    <t>3.03</t>
  </si>
  <si>
    <t>1.02</t>
  </si>
  <si>
    <t>3,120,187</t>
  </si>
  <si>
    <t>132,677,862</t>
  </si>
  <si>
    <t>24.81</t>
  </si>
  <si>
    <t>3.79</t>
  </si>
  <si>
    <t>0.77</t>
  </si>
  <si>
    <t>2.32</t>
  </si>
  <si>
    <t>3,190,492</t>
  </si>
  <si>
    <t>129,848,747</t>
  </si>
  <si>
    <t>23.40</t>
  </si>
  <si>
    <t>3.82</t>
  </si>
  <si>
    <t>3.73</t>
  </si>
  <si>
    <t>0.80</t>
  </si>
  <si>
    <t>2,816,290</t>
  </si>
  <si>
    <t>2,986,432</t>
  </si>
  <si>
    <t>3,292,022</t>
  </si>
  <si>
    <t>3,474,443</t>
  </si>
  <si>
    <t>3,594,750</t>
  </si>
  <si>
    <t>3,700,682</t>
  </si>
  <si>
    <t>3,433,906</t>
  </si>
  <si>
    <t>3,639,961</t>
  </si>
  <si>
    <t>3,716,327</t>
  </si>
  <si>
    <t>6,404,289</t>
  </si>
  <si>
    <t>5,498,345</t>
  </si>
  <si>
    <t>5,108,519</t>
  </si>
  <si>
    <t>5,284,924</t>
  </si>
  <si>
    <t>5,985,772</t>
  </si>
  <si>
    <t>6,209,381</t>
  </si>
  <si>
    <t>5,819,924</t>
  </si>
  <si>
    <t>5,552,006</t>
  </si>
  <si>
    <t>146,078,942</t>
  </si>
  <si>
    <t>28.52</t>
  </si>
  <si>
    <t>5.18</t>
  </si>
  <si>
    <t>3.31</t>
  </si>
  <si>
    <t>1.68</t>
  </si>
  <si>
    <t>3.19</t>
  </si>
  <si>
    <t>5,335,333</t>
  </si>
  <si>
    <t>138,829,837</t>
  </si>
  <si>
    <t>27.49</t>
  </si>
  <si>
    <t>5.22</t>
  </si>
  <si>
    <t>3.37</t>
  </si>
  <si>
    <t>1.98</t>
  </si>
  <si>
    <t>3.50</t>
  </si>
  <si>
    <t>5,601,378</t>
  </si>
  <si>
    <t>136,114,538</t>
  </si>
  <si>
    <t>28.30</t>
  </si>
  <si>
    <t>5.27</t>
  </si>
  <si>
    <t>3.55</t>
  </si>
  <si>
    <t>2.06</t>
  </si>
  <si>
    <t>5,593,880</t>
  </si>
  <si>
    <t>6,276,363</t>
  </si>
  <si>
    <t>6,425,805</t>
  </si>
  <si>
    <t>6,092,329</t>
  </si>
  <si>
    <t>5,951,354</t>
  </si>
  <si>
    <t>6,266,999</t>
  </si>
  <si>
    <t>5,332,647</t>
  </si>
  <si>
    <t>5,430,674</t>
  </si>
  <si>
    <t>5,984,978</t>
  </si>
  <si>
    <t>10,260,631</t>
  </si>
  <si>
    <t>10,715,947</t>
  </si>
  <si>
    <t>11,193,675</t>
  </si>
  <si>
    <t>11,818,607</t>
  </si>
  <si>
    <t>12,578,608</t>
  </si>
  <si>
    <t>12,203,746</t>
  </si>
  <si>
    <t>12,645,169</t>
  </si>
  <si>
    <t>13,068,605</t>
  </si>
  <si>
    <t>259,534,216</t>
  </si>
  <si>
    <t>22.82</t>
  </si>
  <si>
    <t>4.29</t>
  </si>
  <si>
    <t>3.68</t>
  </si>
  <si>
    <t>1.92</t>
  </si>
  <si>
    <t>13,676,647</t>
  </si>
  <si>
    <t>264,267,283</t>
  </si>
  <si>
    <t>20.77</t>
  </si>
  <si>
    <t>4.36</t>
  </si>
  <si>
    <t>3.60</t>
  </si>
  <si>
    <t>2.05</t>
  </si>
  <si>
    <t>14,144,524</t>
  </si>
  <si>
    <t>259,778,615</t>
  </si>
  <si>
    <t>20.61</t>
  </si>
  <si>
    <t>4.43</t>
  </si>
  <si>
    <t>3.61</t>
  </si>
  <si>
    <t>2.07</t>
  </si>
  <si>
    <t>14,209,847</t>
  </si>
  <si>
    <t>4.69</t>
  </si>
  <si>
    <t>1.62</t>
  </si>
  <si>
    <t>100,505,151</t>
  </si>
  <si>
    <t>17.33</t>
  </si>
  <si>
    <t>5.99</t>
  </si>
  <si>
    <t>2.08</t>
  </si>
  <si>
    <t>95,977,215</t>
  </si>
  <si>
    <t>17.44</t>
  </si>
  <si>
    <t>6.31</t>
  </si>
  <si>
    <t>1.61</t>
  </si>
  <si>
    <t>96,455,106</t>
  </si>
  <si>
    <t>17.53</t>
  </si>
  <si>
    <t>6.52</t>
  </si>
  <si>
    <t>1.58</t>
  </si>
  <si>
    <t>102,706,988</t>
  </si>
  <si>
    <t>18.63</t>
  </si>
  <si>
    <t>6.37</t>
  </si>
  <si>
    <t>1.65</t>
  </si>
  <si>
    <t>1.71</t>
  </si>
  <si>
    <t>99,954,630</t>
  </si>
  <si>
    <t>18.57</t>
  </si>
  <si>
    <t>5.88</t>
  </si>
  <si>
    <t>1.91</t>
  </si>
  <si>
    <t>103,694,379</t>
  </si>
  <si>
    <t>16.94</t>
  </si>
  <si>
    <t>5.75</t>
  </si>
  <si>
    <t>1.74</t>
  </si>
  <si>
    <t>1.80</t>
  </si>
  <si>
    <t>1,295,225</t>
  </si>
  <si>
    <t>105,879,477</t>
  </si>
  <si>
    <t>16.62</t>
  </si>
  <si>
    <t>5.69</t>
  </si>
  <si>
    <t>1.75</t>
  </si>
  <si>
    <t>1,371,133</t>
  </si>
  <si>
    <t>104,375,497</t>
  </si>
  <si>
    <t>17.71</t>
  </si>
  <si>
    <t>105,210,060</t>
  </si>
  <si>
    <t>17.08</t>
  </si>
  <si>
    <t>5.54</t>
  </si>
  <si>
    <t>1,901,994</t>
  </si>
  <si>
    <t>107,888,643</t>
  </si>
  <si>
    <t>16.72</t>
  </si>
  <si>
    <t>5.65</t>
  </si>
  <si>
    <t>1,787,352</t>
  </si>
  <si>
    <t>129,082,992</t>
  </si>
  <si>
    <t>16.59</t>
  </si>
  <si>
    <t>5.52</t>
  </si>
  <si>
    <t>1.50</t>
  </si>
  <si>
    <t>1,843,385</t>
  </si>
  <si>
    <t>120,978,402</t>
  </si>
  <si>
    <t>17.31</t>
  </si>
  <si>
    <t>5.39</t>
  </si>
  <si>
    <t>1.40</t>
  </si>
  <si>
    <t>1.66</t>
  </si>
  <si>
    <t>1,733,242</t>
  </si>
  <si>
    <t>124,052,575</t>
  </si>
  <si>
    <t>17.05</t>
  </si>
  <si>
    <t>5.53</t>
  </si>
  <si>
    <t>1.67</t>
  </si>
  <si>
    <t>1,785,122</t>
  </si>
  <si>
    <t>130,587,153</t>
  </si>
  <si>
    <t>16.86</t>
  </si>
  <si>
    <t>5.60</t>
  </si>
  <si>
    <t>1.34</t>
  </si>
  <si>
    <t>0.38</t>
  </si>
  <si>
    <t>1,840,976</t>
  </si>
  <si>
    <t>5.66</t>
  </si>
  <si>
    <t>1.26</t>
  </si>
  <si>
    <t>1,934,268</t>
  </si>
  <si>
    <t>135,779,398</t>
  </si>
  <si>
    <t>17.78</t>
  </si>
  <si>
    <t>5.84</t>
  </si>
  <si>
    <t>1.24</t>
  </si>
  <si>
    <t>1.73</t>
  </si>
  <si>
    <t>1,791,671</t>
  </si>
  <si>
    <t>144,905,197</t>
  </si>
  <si>
    <t>17.15</t>
  </si>
  <si>
    <t>1.19</t>
  </si>
  <si>
    <t>1.85</t>
  </si>
  <si>
    <t>1,830,990</t>
  </si>
  <si>
    <t>148,829,225</t>
  </si>
  <si>
    <t>18.03</t>
  </si>
  <si>
    <t>5.73</t>
  </si>
  <si>
    <t>1.10</t>
  </si>
  <si>
    <t>1.88</t>
  </si>
  <si>
    <t>1,735,217</t>
  </si>
  <si>
    <t>146,077,191</t>
  </si>
  <si>
    <t>17.74</t>
  </si>
  <si>
    <t>5.83</t>
  </si>
  <si>
    <t>1.07</t>
  </si>
  <si>
    <t>1,689,922</t>
  </si>
  <si>
    <t>4,324,772</t>
  </si>
  <si>
    <t>4,373,770</t>
  </si>
  <si>
    <t>4,616,956</t>
  </si>
  <si>
    <t>4,343,902</t>
  </si>
  <si>
    <t>4,404,622</t>
  </si>
  <si>
    <t>4,513,572</t>
  </si>
  <si>
    <t>4,742,310</t>
  </si>
  <si>
    <t>4,609,568</t>
  </si>
  <si>
    <t>4,563,920</t>
  </si>
  <si>
    <t>4,679,899</t>
  </si>
  <si>
    <t>5,509,636</t>
  </si>
  <si>
    <t>5,165,368</t>
  </si>
  <si>
    <t>6,226,197</t>
  </si>
  <si>
    <t>6,403,131</t>
  </si>
  <si>
    <t>6,489,189</t>
  </si>
  <si>
    <t>7,546,324</t>
  </si>
  <si>
    <t>193,176,922</t>
  </si>
  <si>
    <t>22.33</t>
  </si>
  <si>
    <t>3.62</t>
  </si>
  <si>
    <t>2.25</t>
  </si>
  <si>
    <t>1.39</t>
  </si>
  <si>
    <t>8,026,689</t>
  </si>
  <si>
    <t>190,670,838</t>
  </si>
  <si>
    <t>21.98</t>
  </si>
  <si>
    <t>3.74</t>
  </si>
  <si>
    <t>2.42</t>
  </si>
  <si>
    <t>1.86</t>
  </si>
  <si>
    <t>7,738,896</t>
  </si>
  <si>
    <t>187,266,304</t>
  </si>
  <si>
    <t>20.81</t>
  </si>
  <si>
    <t>3.91</t>
  </si>
  <si>
    <t>8,123,186</t>
  </si>
  <si>
    <t>204,333,004</t>
  </si>
  <si>
    <t>21.39</t>
  </si>
  <si>
    <t>4.04</t>
  </si>
  <si>
    <t>3.23</t>
  </si>
  <si>
    <t>7,362,892</t>
  </si>
  <si>
    <t>6,318,662</t>
  </si>
  <si>
    <t>42.06</t>
  </si>
  <si>
    <t>4.85</t>
  </si>
  <si>
    <t>2.90</t>
  </si>
  <si>
    <t>4.76</t>
  </si>
  <si>
    <t>0.8</t>
  </si>
  <si>
    <t>5,981,882</t>
  </si>
  <si>
    <t>42.59</t>
  </si>
  <si>
    <t>4.55</t>
  </si>
  <si>
    <t>4.86</t>
  </si>
  <si>
    <t>0.74</t>
  </si>
  <si>
    <t>4.84</t>
  </si>
  <si>
    <t>2.96</t>
  </si>
  <si>
    <t>47,780,130</t>
  </si>
  <si>
    <t>3.88</t>
  </si>
  <si>
    <t>2.89</t>
  </si>
  <si>
    <t>1,450,122</t>
  </si>
  <si>
    <t>51,622,540</t>
  </si>
  <si>
    <t>4.79</t>
  </si>
  <si>
    <t>3.67</t>
  </si>
  <si>
    <t>1,406,061</t>
  </si>
  <si>
    <t>55,210,122</t>
  </si>
  <si>
    <t>3.38</t>
  </si>
  <si>
    <t>1,299,085</t>
  </si>
  <si>
    <t>54,217,182</t>
  </si>
  <si>
    <t>0.61</t>
  </si>
  <si>
    <t>1,198,550</t>
  </si>
  <si>
    <t>54,204,655</t>
  </si>
  <si>
    <t>3.46</t>
  </si>
  <si>
    <t>3.63</t>
  </si>
  <si>
    <t>1,066,914</t>
  </si>
  <si>
    <t>60,338,177</t>
  </si>
  <si>
    <t>3.16</t>
  </si>
  <si>
    <t>1,015,020</t>
  </si>
  <si>
    <t>63,185,596</t>
  </si>
  <si>
    <t>1,047,269</t>
  </si>
  <si>
    <t>67,529,639</t>
  </si>
  <si>
    <t>2.77</t>
  </si>
  <si>
    <t>2.73</t>
  </si>
  <si>
    <t>60,160,655</t>
  </si>
  <si>
    <t>3.35</t>
  </si>
  <si>
    <t>1,073,150</t>
  </si>
  <si>
    <t>66,068,670</t>
  </si>
  <si>
    <t>4.27</t>
  </si>
  <si>
    <t>1,221,745</t>
  </si>
  <si>
    <t>72,436,642</t>
  </si>
  <si>
    <t>4.49</t>
  </si>
  <si>
    <t>2.57</t>
  </si>
  <si>
    <t>1,230,993</t>
  </si>
  <si>
    <t>73,614,504</t>
  </si>
  <si>
    <t>1.95</t>
  </si>
  <si>
    <t>1,454,721</t>
  </si>
  <si>
    <t>79,164,150</t>
  </si>
  <si>
    <t>4.20</t>
  </si>
  <si>
    <t>2.64</t>
  </si>
  <si>
    <t>1,556,190</t>
  </si>
  <si>
    <t>85,389,165</t>
  </si>
  <si>
    <t>4.42</t>
  </si>
  <si>
    <t>2.31</t>
  </si>
  <si>
    <t>1,640,332</t>
  </si>
  <si>
    <t>90,447,138</t>
  </si>
  <si>
    <t>4.40</t>
  </si>
  <si>
    <t>2.22</t>
  </si>
  <si>
    <t>1,780,998</t>
  </si>
  <si>
    <t>89,812,791</t>
  </si>
  <si>
    <t>4.48</t>
  </si>
  <si>
    <t>1,831,417</t>
  </si>
  <si>
    <t>95,182,957</t>
  </si>
  <si>
    <t>23.67</t>
  </si>
  <si>
    <t>5.08</t>
  </si>
  <si>
    <t>1,942,147</t>
  </si>
  <si>
    <t>98,250,039</t>
  </si>
  <si>
    <t>23.31</t>
  </si>
  <si>
    <t>4.12</t>
  </si>
  <si>
    <t>1,784,368</t>
  </si>
  <si>
    <t>87,569,094</t>
  </si>
  <si>
    <t>22.65</t>
  </si>
  <si>
    <t>5.17</t>
  </si>
  <si>
    <t>3.72</t>
  </si>
  <si>
    <t>2.02</t>
  </si>
  <si>
    <t>1,708,677</t>
  </si>
  <si>
    <t>0.83</t>
  </si>
  <si>
    <t>18,492,659</t>
  </si>
  <si>
    <t>16,679,087</t>
  </si>
  <si>
    <t>17,265,380</t>
  </si>
  <si>
    <t>15,814,866</t>
  </si>
  <si>
    <t>14,164,654</t>
  </si>
  <si>
    <t>16,601,163</t>
  </si>
  <si>
    <t>16,985,813</t>
  </si>
  <si>
    <t>18,332,221</t>
  </si>
  <si>
    <t>17,252,471</t>
  </si>
  <si>
    <t>17,841,031</t>
  </si>
  <si>
    <t>17,543,456</t>
  </si>
  <si>
    <t>14,185,258</t>
  </si>
  <si>
    <t>14,495,175</t>
  </si>
  <si>
    <t>13,503,132</t>
  </si>
  <si>
    <t>13,353,434</t>
  </si>
  <si>
    <t>13,674,979</t>
  </si>
  <si>
    <t>13,415,127</t>
  </si>
  <si>
    <t>30.74</t>
  </si>
  <si>
    <t>0.07</t>
  </si>
  <si>
    <t>11,726,631</t>
  </si>
  <si>
    <t>31.36</t>
  </si>
  <si>
    <t>3.10</t>
  </si>
  <si>
    <t>12,300,160</t>
  </si>
  <si>
    <t>29.93</t>
  </si>
  <si>
    <t>3.15</t>
  </si>
  <si>
    <t>5.80</t>
  </si>
  <si>
    <t>21,722,732</t>
  </si>
  <si>
    <t>21,452,307</t>
  </si>
  <si>
    <t>22,278,333</t>
  </si>
  <si>
    <t>22,875,024</t>
  </si>
  <si>
    <t>24,884,162</t>
  </si>
  <si>
    <t>30,184,830</t>
  </si>
  <si>
    <t>32,013,402</t>
  </si>
  <si>
    <t>30,000,672</t>
  </si>
  <si>
    <t>31,320,434</t>
  </si>
  <si>
    <t>29,145,204</t>
  </si>
  <si>
    <t>32,266,694</t>
  </si>
  <si>
    <t>30,782,968</t>
  </si>
  <si>
    <t>32,687,021</t>
  </si>
  <si>
    <t>33,144,341</t>
  </si>
  <si>
    <t>32,449,512</t>
  </si>
  <si>
    <t>34,544,380</t>
  </si>
  <si>
    <t>36,653,987</t>
  </si>
  <si>
    <t>23.33</t>
  </si>
  <si>
    <t>4.30</t>
  </si>
  <si>
    <t>1.08</t>
  </si>
  <si>
    <t>2.58</t>
  </si>
  <si>
    <t>tot kre</t>
  </si>
  <si>
    <t>bbri</t>
  </si>
  <si>
    <t>bmri</t>
  </si>
  <si>
    <t>bbca</t>
  </si>
  <si>
    <t>bbni</t>
  </si>
  <si>
    <t>bbtn</t>
  </si>
  <si>
    <t>bnga</t>
  </si>
  <si>
    <t>pnbn</t>
  </si>
  <si>
    <t>nisp</t>
  </si>
  <si>
    <t>bnli</t>
  </si>
  <si>
    <t>bnii</t>
  </si>
  <si>
    <t>btpn</t>
  </si>
  <si>
    <t>bjbr</t>
  </si>
  <si>
    <t>mega</t>
  </si>
  <si>
    <t>bjtm</t>
  </si>
  <si>
    <t>sdra</t>
  </si>
  <si>
    <t>agro</t>
  </si>
  <si>
    <t>bksw</t>
  </si>
  <si>
    <t>mcor</t>
  </si>
  <si>
    <t>nobu</t>
  </si>
  <si>
    <t>bnba</t>
  </si>
  <si>
    <t>agrs</t>
  </si>
  <si>
    <t>dnar</t>
  </si>
  <si>
    <t>arto</t>
  </si>
  <si>
    <t>bbhi</t>
  </si>
  <si>
    <t>perbankan</t>
  </si>
  <si>
    <t>large</t>
  </si>
  <si>
    <t>medium</t>
  </si>
  <si>
    <t>small</t>
  </si>
  <si>
    <t>liq</t>
  </si>
  <si>
    <t>LARGE</t>
  </si>
  <si>
    <t>MEDIUM</t>
  </si>
  <si>
    <t>SMALL</t>
  </si>
  <si>
    <t>2.32828798170071</t>
  </si>
  <si>
    <t>20.74</t>
  </si>
  <si>
    <t>26.034996168924</t>
  </si>
  <si>
    <t>20.7859891509669</t>
  </si>
  <si>
    <t>2.39</t>
  </si>
  <si>
    <t>4.34725965987883</t>
  </si>
  <si>
    <t>7.49</t>
  </si>
  <si>
    <t>4.75796955105777</t>
  </si>
  <si>
    <t>20.13</t>
  </si>
  <si>
    <t>26.057371622502</t>
  </si>
  <si>
    <t>20.8161808251135</t>
  </si>
  <si>
    <t>2.33</t>
  </si>
  <si>
    <t>4.4665689532211</t>
  </si>
  <si>
    <t>7.64</t>
  </si>
  <si>
    <t>1.81534053469215</t>
  </si>
  <si>
    <t>21.02</t>
  </si>
  <si>
    <t>24.2133879481668</t>
  </si>
  <si>
    <t>20.8414050109558</t>
  </si>
  <si>
    <t>3.6</t>
  </si>
  <si>
    <t>2.46</t>
  </si>
  <si>
    <t>4.47104075215321</t>
  </si>
  <si>
    <t>7.61</t>
  </si>
  <si>
    <t>4.09088841490454</t>
  </si>
  <si>
    <t>21.21</t>
  </si>
  <si>
    <t>28.5560941389664</t>
  </si>
  <si>
    <t>20.9336888554507</t>
  </si>
  <si>
    <t>2.14</t>
  </si>
  <si>
    <t>4.29782895367855</t>
  </si>
  <si>
    <t>7.45</t>
  </si>
  <si>
    <t>1.27022582949142</t>
  </si>
  <si>
    <t>20.12</t>
  </si>
  <si>
    <t>25.9178152002874</t>
  </si>
  <si>
    <t>20.9190986689779</t>
  </si>
  <si>
    <t>4.49330260386263</t>
  </si>
  <si>
    <t>3.68069781695367</t>
  </si>
  <si>
    <t>23.8311987678996</t>
  </si>
  <si>
    <t>20.9257153300459</t>
  </si>
  <si>
    <t>4.53318412230222</t>
  </si>
  <si>
    <t>7.02</t>
  </si>
  <si>
    <t>1.50717294026294</t>
  </si>
  <si>
    <t>21.63</t>
  </si>
  <si>
    <t>25.1460419326009</t>
  </si>
  <si>
    <t>20.9372941891718</t>
  </si>
  <si>
    <t>3.42</t>
  </si>
  <si>
    <t>2.94</t>
  </si>
  <si>
    <t>4.69866466303245</t>
  </si>
  <si>
    <t>0.266652082327741</t>
  </si>
  <si>
    <t>22.55</t>
  </si>
  <si>
    <t>30.0621564113938</t>
  </si>
  <si>
    <t>21.0182297274906</t>
  </si>
  <si>
    <t>3.5</t>
  </si>
  <si>
    <t>2.62</t>
  </si>
  <si>
    <t>4.36705523754299</t>
  </si>
  <si>
    <t>6.98</t>
  </si>
  <si>
    <t>2.87331624671397</t>
  </si>
  <si>
    <t>18.23</t>
  </si>
  <si>
    <t>25.6916295170113</t>
  </si>
  <si>
    <t>20.9756526587855</t>
  </si>
  <si>
    <t>2.81</t>
  </si>
  <si>
    <t>6.29132688070366</t>
  </si>
  <si>
    <t>20.39</t>
  </si>
  <si>
    <t>-1.7204331781634</t>
  </si>
  <si>
    <t>19.83</t>
  </si>
  <si>
    <t>26.3947724129566</t>
  </si>
  <si>
    <t>20.9927744175948</t>
  </si>
  <si>
    <t>2.41</t>
  </si>
  <si>
    <t>2.98</t>
  </si>
  <si>
    <t>5.9660200064142</t>
  </si>
  <si>
    <t>5.72</t>
  </si>
  <si>
    <t>0.978636716629186</t>
  </si>
  <si>
    <t>20.38</t>
  </si>
  <si>
    <t>32.2746504011943</t>
  </si>
  <si>
    <t>21.0304236891679</t>
  </si>
  <si>
    <t>3.02</t>
  </si>
  <si>
    <t>6.50117616253647</t>
  </si>
  <si>
    <t>5.76</t>
  </si>
  <si>
    <t>0.356064151114591</t>
  </si>
  <si>
    <t>32.6709393975203</t>
  </si>
  <si>
    <t>21.0751789663204</t>
  </si>
  <si>
    <t>7.281745410364</t>
  </si>
  <si>
    <t>6</t>
  </si>
  <si>
    <t>1.79868914206083</t>
  </si>
  <si>
    <t>19.4</t>
  </si>
  <si>
    <t>30.9749174958357</t>
  </si>
  <si>
    <t>21.0412694544154</t>
  </si>
  <si>
    <t>2.65</t>
  </si>
  <si>
    <t>3.12</t>
  </si>
  <si>
    <t>7.95358703171354</t>
  </si>
  <si>
    <t>7</t>
  </si>
  <si>
    <t>1.73521842204369</t>
  </si>
  <si>
    <t>19.64</t>
  </si>
  <si>
    <t>31.7515351601508</t>
  </si>
  <si>
    <t>21.0680073840938</t>
  </si>
  <si>
    <t>2.38</t>
  </si>
  <si>
    <t>3.27</t>
  </si>
  <si>
    <t>8.4475827690222</t>
  </si>
  <si>
    <t>2.07965670732352</t>
  </si>
  <si>
    <t>24.37</t>
  </si>
  <si>
    <t>32.05036776112</t>
  </si>
  <si>
    <t>21.1540841218634</t>
  </si>
  <si>
    <t>2.52</t>
  </si>
  <si>
    <t>3.29</t>
  </si>
  <si>
    <t>8.5449547978269</t>
  </si>
  <si>
    <t>6.86</t>
  </si>
  <si>
    <t>1.35885773582633</t>
  </si>
  <si>
    <t>25.28</t>
  </si>
  <si>
    <t>32.668793260128</t>
  </si>
  <si>
    <t>21.1760985327624</t>
  </si>
  <si>
    <t>2.72</t>
  </si>
  <si>
    <t>3.08</t>
  </si>
  <si>
    <t>8.5738033387174</t>
  </si>
  <si>
    <t>6.89</t>
  </si>
  <si>
    <t>3.29541986376423</t>
  </si>
  <si>
    <t>22.39</t>
  </si>
  <si>
    <t>31.1412841320038</t>
  </si>
  <si>
    <t>21.1556040326643</t>
  </si>
  <si>
    <t>3.56</t>
  </si>
  <si>
    <t>8.69201085346122</t>
  </si>
  <si>
    <t>6.85</t>
  </si>
  <si>
    <t>2.95587484222778</t>
  </si>
  <si>
    <t>22.97</t>
  </si>
  <si>
    <t>30.0656880564825</t>
  </si>
  <si>
    <t>21.156860506353</t>
  </si>
  <si>
    <t>3.32</t>
  </si>
  <si>
    <t>8.81005158891635</t>
  </si>
  <si>
    <t>7.35</t>
  </si>
  <si>
    <t>0.3490113230367</t>
  </si>
  <si>
    <t>24</t>
  </si>
  <si>
    <t>30.1257001758818</t>
  </si>
  <si>
    <t>21.1780037387714</t>
  </si>
  <si>
    <t>3.97</t>
  </si>
  <si>
    <t>3.14</t>
  </si>
  <si>
    <t>8.65644227768323</t>
  </si>
  <si>
    <t>7.23</t>
  </si>
  <si>
    <t>2.25239088792337</t>
  </si>
  <si>
    <t>23.3</t>
  </si>
  <si>
    <t>33.1550213117068</t>
  </si>
  <si>
    <t>21.2834498479839</t>
  </si>
  <si>
    <t>3.76</t>
  </si>
  <si>
    <t>2.82</t>
  </si>
  <si>
    <t>8.2131102784831</t>
  </si>
  <si>
    <t>6.8</t>
  </si>
  <si>
    <t>-4.59827215521905</t>
  </si>
  <si>
    <t>20.94</t>
  </si>
  <si>
    <t>24.5800409130179</t>
  </si>
  <si>
    <t>20.6673506327069</t>
  </si>
  <si>
    <t>4.80581281276739</t>
  </si>
  <si>
    <t>5.61</t>
  </si>
  <si>
    <t>9.19880818120938</t>
  </si>
  <si>
    <t>20.64</t>
  </si>
  <si>
    <t>23.4328796273248</t>
  </si>
  <si>
    <t>20.7267246284248</t>
  </si>
  <si>
    <t>3.04</t>
  </si>
  <si>
    <t>3.13</t>
  </si>
  <si>
    <t>4.48951248952015</t>
  </si>
  <si>
    <t>5.51</t>
  </si>
  <si>
    <t>2.00929737814793</t>
  </si>
  <si>
    <t>21.38</t>
  </si>
  <si>
    <t>22.2431169779417</t>
  </si>
  <si>
    <t>20.7404413399008</t>
  </si>
  <si>
    <t>4.35880388442152</t>
  </si>
  <si>
    <t>5.01118227135538</t>
  </si>
  <si>
    <t>20.96</t>
  </si>
  <si>
    <t>20.7968568753654</t>
  </si>
  <si>
    <t>20.7596727932731</t>
  </si>
  <si>
    <t>2.79</t>
  </si>
  <si>
    <t>4.09199508484707</t>
  </si>
  <si>
    <t>-4.789755354032</t>
  </si>
  <si>
    <t>22.47</t>
  </si>
  <si>
    <t>23.3071327311959</t>
  </si>
  <si>
    <t>20.7585524012824</t>
  </si>
  <si>
    <t>4.09350710604917</t>
  </si>
  <si>
    <t>5.55</t>
  </si>
  <si>
    <t>5.95489159890009</t>
  </si>
  <si>
    <t>21.01</t>
  </si>
  <si>
    <t>21.1079994591813</t>
  </si>
  <si>
    <t>20.7799778941841</t>
  </si>
  <si>
    <t>3.99645485123712</t>
  </si>
  <si>
    <t>5.49</t>
  </si>
  <si>
    <t>0.390056782532438</t>
  </si>
  <si>
    <t>22.5</t>
  </si>
  <si>
    <t>23.9212936495762</t>
  </si>
  <si>
    <t>20.8164449895425</t>
  </si>
  <si>
    <t>3.01</t>
  </si>
  <si>
    <t>2.61</t>
  </si>
  <si>
    <t>4.07799241680283</t>
  </si>
  <si>
    <t>8.8211767724865</t>
  </si>
  <si>
    <t>20.0019203782813</t>
  </si>
  <si>
    <t>20.8443180784767</t>
  </si>
  <si>
    <t>3.5101058613135</t>
  </si>
  <si>
    <t>-0.787858673517841</t>
  </si>
  <si>
    <t>17.65</t>
  </si>
  <si>
    <t>22.4955919757998</t>
  </si>
  <si>
    <t>20.8461096762173</t>
  </si>
  <si>
    <t>2.4</t>
  </si>
  <si>
    <t>6.55735211415025</t>
  </si>
  <si>
    <t>5.26</t>
  </si>
  <si>
    <t>-3.97675951886082</t>
  </si>
  <si>
    <t>19.21</t>
  </si>
  <si>
    <t>27.6454432065067</t>
  </si>
  <si>
    <t>20.8788538302008</t>
  </si>
  <si>
    <t>2.23</t>
  </si>
  <si>
    <t>6.91466010129088</t>
  </si>
  <si>
    <t>-0.488900619597857</t>
  </si>
  <si>
    <t>25.9717969154405</t>
  </si>
  <si>
    <t>20.9102573002336</t>
  </si>
  <si>
    <t>7.39153430166943</t>
  </si>
  <si>
    <t>4.5</t>
  </si>
  <si>
    <t>1.65704529283298</t>
  </si>
  <si>
    <t>19.9</t>
  </si>
  <si>
    <t>24.7003171157072</t>
  </si>
  <si>
    <t>20.9130969934807</t>
  </si>
  <si>
    <t>7.65992461196638</t>
  </si>
  <si>
    <t>2.01037052458655</t>
  </si>
  <si>
    <t>18.51</t>
  </si>
  <si>
    <t>27.4151974489662</t>
  </si>
  <si>
    <t>20.9491291535437</t>
  </si>
  <si>
    <t>3.3</t>
  </si>
  <si>
    <t>7.70457627422876</t>
  </si>
  <si>
    <t>4.65</t>
  </si>
  <si>
    <t>3.36983394235336</t>
  </si>
  <si>
    <t>18.94</t>
  </si>
  <si>
    <t>26.247514548216</t>
  </si>
  <si>
    <t>20.9359772567041</t>
  </si>
  <si>
    <t>2.43</t>
  </si>
  <si>
    <t>7.47954103013674</t>
  </si>
  <si>
    <t>4.63</t>
  </si>
  <si>
    <t>0.454504858968357</t>
  </si>
  <si>
    <t>28.9469183713854</t>
  </si>
  <si>
    <t>20.9727165765268</t>
  </si>
  <si>
    <t>7.52054618042669</t>
  </si>
  <si>
    <t>4.67</t>
  </si>
  <si>
    <t>2.37988360080552</t>
  </si>
  <si>
    <t>19.6</t>
  </si>
  <si>
    <t>30.1086287963033</t>
  </si>
  <si>
    <t>21.0274772227428</t>
  </si>
  <si>
    <t>2.53</t>
  </si>
  <si>
    <t>7.30434106982218</t>
  </si>
  <si>
    <t>4.73</t>
  </si>
  <si>
    <t>1.7195893748732</t>
  </si>
  <si>
    <t>18.2</t>
  </si>
  <si>
    <t>30.4315671831669</t>
  </si>
  <si>
    <t>21.0254799768102</t>
  </si>
  <si>
    <t>3.34</t>
  </si>
  <si>
    <t>2.74</t>
  </si>
  <si>
    <t>7.2483990671186</t>
  </si>
  <si>
    <t>5.01</t>
  </si>
  <si>
    <t>5.78957870256311</t>
  </si>
  <si>
    <t>18.41</t>
  </si>
  <si>
    <t>28.8472909169696</t>
  </si>
  <si>
    <t>21.0550100591015</t>
  </si>
  <si>
    <t>2.47</t>
  </si>
  <si>
    <t>6.71114654605897</t>
  </si>
  <si>
    <t>5.06</t>
  </si>
  <si>
    <t>1.87043093961116</t>
  </si>
  <si>
    <t>19.32</t>
  </si>
  <si>
    <t>28.7441250566054</t>
  </si>
  <si>
    <t>21.0899904625454</t>
  </si>
  <si>
    <t>3.4</t>
  </si>
  <si>
    <t>2.26</t>
  </si>
  <si>
    <t>6.55746442037978</t>
  </si>
  <si>
    <t>5.12</t>
  </si>
  <si>
    <t>2.73724412169121</t>
  </si>
  <si>
    <t>19.46</t>
  </si>
  <si>
    <t>30.3576686888294</t>
  </si>
  <si>
    <t>21.1745529390381</t>
  </si>
  <si>
    <t>5.81869448226654</t>
  </si>
  <si>
    <t>5.16</t>
  </si>
  <si>
    <t>0.520252405696</t>
  </si>
  <si>
    <t>23.65</t>
  </si>
  <si>
    <t>28.7303946126281</t>
  </si>
  <si>
    <t>20.4289531518212</t>
  </si>
  <si>
    <t>2.82120187631863</t>
  </si>
  <si>
    <t>6.06</t>
  </si>
  <si>
    <t>5.18392333994451</t>
  </si>
  <si>
    <t>22.81</t>
  </si>
  <si>
    <t>28.6410804891572</t>
  </si>
  <si>
    <t>20.4704231526198</t>
  </si>
  <si>
    <t>3.59</t>
  </si>
  <si>
    <t>1.43</t>
  </si>
  <si>
    <t>2.68652159226871</t>
  </si>
  <si>
    <t>6.05</t>
  </si>
  <si>
    <t>4.27644346578117</t>
  </si>
  <si>
    <t>23.19</t>
  </si>
  <si>
    <t>27.1782446576805</t>
  </si>
  <si>
    <t>20.4796824762286</t>
  </si>
  <si>
    <t>3.86</t>
  </si>
  <si>
    <t>1.44</t>
  </si>
  <si>
    <t>2.68751262515236</t>
  </si>
  <si>
    <t>6.07</t>
  </si>
  <si>
    <t>4.33532746046005</t>
  </si>
  <si>
    <t>23.39</t>
  </si>
  <si>
    <t>25.4491670931593</t>
  </si>
  <si>
    <t>20.5108744224283</t>
  </si>
  <si>
    <t>4.01</t>
  </si>
  <si>
    <t>1.41</t>
  </si>
  <si>
    <t>2.52239206974393</t>
  </si>
  <si>
    <t>6.13</t>
  </si>
  <si>
    <t>-1.07654092263407</t>
  </si>
  <si>
    <t>24.49</t>
  </si>
  <si>
    <t>27.066694549072</t>
  </si>
  <si>
    <t>20.5181575272672</t>
  </si>
  <si>
    <t>1.47</t>
  </si>
  <si>
    <t>2.52728349387662</t>
  </si>
  <si>
    <t>6.19</t>
  </si>
  <si>
    <t>3.67470777896241</t>
  </si>
  <si>
    <t>23.58</t>
  </si>
  <si>
    <t>25.8174412665753</t>
  </si>
  <si>
    <t>20.565023394933</t>
  </si>
  <si>
    <t>3.7</t>
  </si>
  <si>
    <t>2.58675851500573</t>
  </si>
  <si>
    <t>6.24</t>
  </si>
  <si>
    <t>3.43462227165126</t>
  </si>
  <si>
    <t>23.79</t>
  </si>
  <si>
    <t>25.3342506624157</t>
  </si>
  <si>
    <t>20.5905078857104</t>
  </si>
  <si>
    <t>3.98</t>
  </si>
  <si>
    <t>2.65375795712211</t>
  </si>
  <si>
    <t>6.23</t>
  </si>
  <si>
    <t>3.08877840546899</t>
  </si>
  <si>
    <t>23.8</t>
  </si>
  <si>
    <t>27.628396916118</t>
  </si>
  <si>
    <t>20.6168335938605</t>
  </si>
  <si>
    <t>2.53378919320062</t>
  </si>
  <si>
    <t>1.61111818008964</t>
  </si>
  <si>
    <t>29.6846315067951</t>
  </si>
  <si>
    <t>20.6758617361472</t>
  </si>
  <si>
    <t>1.6</t>
  </si>
  <si>
    <t>3.68821511245389</t>
  </si>
  <si>
    <t>-2.60055567581828</t>
  </si>
  <si>
    <t>22.93</t>
  </si>
  <si>
    <t>29.2519966838191</t>
  </si>
  <si>
    <t>20.6800393330758</t>
  </si>
  <si>
    <t>4.26299526495664</t>
  </si>
  <si>
    <t>5.96</t>
  </si>
  <si>
    <t>-2.23635836133755</t>
  </si>
  <si>
    <t>26.9727066236958</t>
  </si>
  <si>
    <t>20.7090106447796</t>
  </si>
  <si>
    <t>1.93</t>
  </si>
  <si>
    <t>4.71022215363981</t>
  </si>
  <si>
    <t>1.13927525324819</t>
  </si>
  <si>
    <t>25.83</t>
  </si>
  <si>
    <t>26.9406677733655</t>
  </si>
  <si>
    <t>20.7780968687549</t>
  </si>
  <si>
    <t>1.79</t>
  </si>
  <si>
    <t>4.68078384641981</t>
  </si>
  <si>
    <t>5.7</t>
  </si>
  <si>
    <t>-0.297918486696579</t>
  </si>
  <si>
    <t>24.53</t>
  </si>
  <si>
    <t>25.3242548378192</t>
  </si>
  <si>
    <t>20.7920809585034</t>
  </si>
  <si>
    <t>3.05</t>
  </si>
  <si>
    <t>1.83</t>
  </si>
  <si>
    <t>5.14068826244413</t>
  </si>
  <si>
    <t>5.3</t>
  </si>
  <si>
    <t>1.04166792443374</t>
  </si>
  <si>
    <t>25.33</t>
  </si>
  <si>
    <t>31.4747481741903</t>
  </si>
  <si>
    <t>20.8271863566075</t>
  </si>
  <si>
    <t>5.50629094741238</t>
  </si>
  <si>
    <t>5.25</t>
  </si>
  <si>
    <t>1.97467597921344</t>
  </si>
  <si>
    <t>26.15</t>
  </si>
  <si>
    <t>32.4649070783843</t>
  </si>
  <si>
    <t>20.8620275766769</t>
  </si>
  <si>
    <t>3.49</t>
  </si>
  <si>
    <t>2.36</t>
  </si>
  <si>
    <t>5.43670132253971</t>
  </si>
  <si>
    <t>4.95067482530373</t>
  </si>
  <si>
    <t>25.66</t>
  </si>
  <si>
    <t>31.6090456456104</t>
  </si>
  <si>
    <t>20.910153452576</t>
  </si>
  <si>
    <t>3.41</t>
  </si>
  <si>
    <t>5.18651457367725</t>
  </si>
  <si>
    <t>5.1</t>
  </si>
  <si>
    <t>-0.127034485333493</t>
  </si>
  <si>
    <t>28.9584969302197</t>
  </si>
  <si>
    <t>20.9337433734896</t>
  </si>
  <si>
    <t>5.63623195765435</t>
  </si>
  <si>
    <t>5.97251626186132</t>
  </si>
  <si>
    <t>35.5091626434811</t>
  </si>
  <si>
    <t>20.9365233152789</t>
  </si>
  <si>
    <t>5.43808998925425</t>
  </si>
  <si>
    <t>0.883260972684635</t>
  </si>
  <si>
    <t>29.6749751677122</t>
  </si>
  <si>
    <t>20.9539745314675</t>
  </si>
  <si>
    <t>5.35867972761988</t>
  </si>
  <si>
    <t>4.29577379039308</t>
  </si>
  <si>
    <t>25.77</t>
  </si>
  <si>
    <t>30.0844045424582</t>
  </si>
  <si>
    <t>20.9727524274158</t>
  </si>
  <si>
    <t>4.90386452646574</t>
  </si>
  <si>
    <t>5.34</t>
  </si>
  <si>
    <t>-0.525107064868141</t>
  </si>
  <si>
    <t>17.92</t>
  </si>
  <si>
    <t>24.9079596207562</t>
  </si>
  <si>
    <t>20.2902871349565</t>
  </si>
  <si>
    <t>3.34853807004849</t>
  </si>
  <si>
    <t>5.41</t>
  </si>
  <si>
    <t>4.07487242789542</t>
  </si>
  <si>
    <t>17.46</t>
  </si>
  <si>
    <t>24.4100395673522</t>
  </si>
  <si>
    <t>20.3436957275409</t>
  </si>
  <si>
    <t>2.1</t>
  </si>
  <si>
    <t>3.16006386209656</t>
  </si>
  <si>
    <t>5.45</t>
  </si>
  <si>
    <t>6.34901906104635</t>
  </si>
  <si>
    <t>17.8</t>
  </si>
  <si>
    <t>23.6818508553716</t>
  </si>
  <si>
    <t>20.383888267129</t>
  </si>
  <si>
    <t>2.76</t>
  </si>
  <si>
    <t>2.01</t>
  </si>
  <si>
    <t>3.05309866382996</t>
  </si>
  <si>
    <t>5.31</t>
  </si>
  <si>
    <t>5.25428422209256</t>
  </si>
  <si>
    <t>18.5</t>
  </si>
  <si>
    <t>25.3624311352609</t>
  </si>
  <si>
    <t>20.4416655131128</t>
  </si>
  <si>
    <t>2.78</t>
  </si>
  <si>
    <t>1.9</t>
  </si>
  <si>
    <t>2.90838940015494</t>
  </si>
  <si>
    <t>5.29</t>
  </si>
  <si>
    <t>1.5269037679621</t>
  </si>
  <si>
    <t>19.18</t>
  </si>
  <si>
    <t>22.8398137801053</t>
  </si>
  <si>
    <t>20.4281181567321</t>
  </si>
  <si>
    <t>2.68</t>
  </si>
  <si>
    <t>2.88384647820771</t>
  </si>
  <si>
    <t>4.99</t>
  </si>
  <si>
    <t>5.21286019225217</t>
  </si>
  <si>
    <t>18.68</t>
  </si>
  <si>
    <t>23.4631376284539</t>
  </si>
  <si>
    <t>20.4824763745258</t>
  </si>
  <si>
    <t>2.44</t>
  </si>
  <si>
    <t>2.73378011977859</t>
  </si>
  <si>
    <t>4.87</t>
  </si>
  <si>
    <t>1.77479499275518</t>
  </si>
  <si>
    <t>19.33</t>
  </si>
  <si>
    <t>20.6650930385871</t>
  </si>
  <si>
    <t>20.4445510221907</t>
  </si>
  <si>
    <t>2.51</t>
  </si>
  <si>
    <t>1.8</t>
  </si>
  <si>
    <t>2.86899917569101</t>
  </si>
  <si>
    <t>-0.533309374312641</t>
  </si>
  <si>
    <t>19.73</t>
  </si>
  <si>
    <t>22.1842531367957</t>
  </si>
  <si>
    <t>20.4751087736529</t>
  </si>
  <si>
    <t>2.27</t>
  </si>
  <si>
    <t>3.02963099008423</t>
  </si>
  <si>
    <t>4.38894933619133</t>
  </si>
  <si>
    <t>16.07</t>
  </si>
  <si>
    <t>21.6319731676727</t>
  </si>
  <si>
    <t>20.5042131665568</t>
  </si>
  <si>
    <t>2.63</t>
  </si>
  <si>
    <t>5.77783947869211</t>
  </si>
  <si>
    <t>4.88</t>
  </si>
  <si>
    <t>-0.328612222598225</t>
  </si>
  <si>
    <t>16.71</t>
  </si>
  <si>
    <t>20.9411349176568</t>
  </si>
  <si>
    <t>20.5166123687816</t>
  </si>
  <si>
    <t>1.38</t>
  </si>
  <si>
    <t>6.49152843266236</t>
  </si>
  <si>
    <t>4.47</t>
  </si>
  <si>
    <t>0.866596424235765</t>
  </si>
  <si>
    <t>16.75</t>
  </si>
  <si>
    <t>22.0676702784244</t>
  </si>
  <si>
    <t>20.557895254761</t>
  </si>
  <si>
    <t>0.88</t>
  </si>
  <si>
    <t>7.36785880275576</t>
  </si>
  <si>
    <t>4.32</t>
  </si>
  <si>
    <t>0.57840971260024</t>
  </si>
  <si>
    <t>16.78</t>
  </si>
  <si>
    <t>24.1634457904936</t>
  </si>
  <si>
    <t>20.5226511785808</t>
  </si>
  <si>
    <t>0.54</t>
  </si>
  <si>
    <t>7.75830031040215</t>
  </si>
  <si>
    <t>1.13872374186337</t>
  </si>
  <si>
    <t>18.07</t>
  </si>
  <si>
    <t>23.0233492456646</t>
  </si>
  <si>
    <t>20.5491988278391</t>
  </si>
  <si>
    <t>1.46</t>
  </si>
  <si>
    <t>8.26346222766018</t>
  </si>
  <si>
    <t>4.9</t>
  </si>
  <si>
    <t>1.87549682042543</t>
  </si>
  <si>
    <t>18.18</t>
  </si>
  <si>
    <t>25.0890959912921</t>
  </si>
  <si>
    <t>20.5636803759139</t>
  </si>
  <si>
    <t>1.48</t>
  </si>
  <si>
    <t>3.94</t>
  </si>
  <si>
    <t>8.4898232636132</t>
  </si>
  <si>
    <t>0.181432618469822</t>
  </si>
  <si>
    <t>25.3673366012086</t>
  </si>
  <si>
    <t>20.6122151630002</t>
  </si>
  <si>
    <t>1.51</t>
  </si>
  <si>
    <t>8.64623904327215</t>
  </si>
  <si>
    <t>2.09440941768591</t>
  </si>
  <si>
    <t>19.75</t>
  </si>
  <si>
    <t>29.4237951253802</t>
  </si>
  <si>
    <t>20.662678037952</t>
  </si>
  <si>
    <t>8.63513604446056</t>
  </si>
  <si>
    <t>1.60764412437355</t>
  </si>
  <si>
    <t>19.29</t>
  </si>
  <si>
    <t>25.7049090341542</t>
  </si>
  <si>
    <t>20.6272598762427</t>
  </si>
  <si>
    <t>2.29</t>
  </si>
  <si>
    <t>8.65995747221285</t>
  </si>
  <si>
    <t>4.51</t>
  </si>
  <si>
    <t>4.35984338625021</t>
  </si>
  <si>
    <t>18.42</t>
  </si>
  <si>
    <t>24.6979601646911</t>
  </si>
  <si>
    <t>20.6319914958779</t>
  </si>
  <si>
    <t>8.31169834104162</t>
  </si>
  <si>
    <t>4.7</t>
  </si>
  <si>
    <t>0.393110252479477</t>
  </si>
  <si>
    <t>18.9</t>
  </si>
  <si>
    <t>24.4784644802264</t>
  </si>
  <si>
    <t>20.6285580093915</t>
  </si>
  <si>
    <t>2.48</t>
  </si>
  <si>
    <t>8.24067078551882</t>
  </si>
  <si>
    <t>4.8</t>
  </si>
  <si>
    <t>3.81242652178709</t>
  </si>
  <si>
    <t>19.27</t>
  </si>
  <si>
    <t>28.20631714836</t>
  </si>
  <si>
    <t>20.7208196945781</t>
  </si>
  <si>
    <t>7.80857800190667</t>
  </si>
  <si>
    <t>4.81</t>
  </si>
  <si>
    <t>1.76514384869302</t>
  </si>
  <si>
    <t>17.832376723426</t>
  </si>
  <si>
    <t>19.371329214633</t>
  </si>
  <si>
    <t>1.37</t>
  </si>
  <si>
    <t>1.17536698249549</t>
  </si>
  <si>
    <t>4.21</t>
  </si>
  <si>
    <t>4.37011242857768</t>
  </si>
  <si>
    <t>17.42</t>
  </si>
  <si>
    <t>15.8930199450469</t>
  </si>
  <si>
    <t>19.4066631740105</t>
  </si>
  <si>
    <t>1.4</t>
  </si>
  <si>
    <t>1.16002134858372</t>
  </si>
  <si>
    <t>4.17</t>
  </si>
  <si>
    <t>4.12802134472288</t>
  </si>
  <si>
    <t>17.97</t>
  </si>
  <si>
    <t>14.3836498105934</t>
  </si>
  <si>
    <t>19.42243207832</t>
  </si>
  <si>
    <t>1.45</t>
  </si>
  <si>
    <t>1.22260517092298</t>
  </si>
  <si>
    <t>4.35</t>
  </si>
  <si>
    <t>8.03368879245612</t>
  </si>
  <si>
    <t>18.21</t>
  </si>
  <si>
    <t>18.9741431131337</t>
  </si>
  <si>
    <t>19.5405201154862</t>
  </si>
  <si>
    <t>1.38718214411872</t>
  </si>
  <si>
    <t>1.84096518373577</t>
  </si>
  <si>
    <t>17.62</t>
  </si>
  <si>
    <t>14.7888924459607</t>
  </si>
  <si>
    <t>19.5237712836028</t>
  </si>
  <si>
    <t>2.92</t>
  </si>
  <si>
    <t>1.31544213549557</t>
  </si>
  <si>
    <t>3.67843255516733</t>
  </si>
  <si>
    <t>16.99</t>
  </si>
  <si>
    <t>14.4318392147808</t>
  </si>
  <si>
    <t>19.5600346783128</t>
  </si>
  <si>
    <t>1.17</t>
  </si>
  <si>
    <t>1.2558136211056</t>
  </si>
  <si>
    <t>3.53</t>
  </si>
  <si>
    <t>2.34719823503903</t>
  </si>
  <si>
    <t>16.88</t>
  </si>
  <si>
    <t>14.523076330484</t>
  </si>
  <si>
    <t>19.5719213612864</t>
  </si>
  <si>
    <t>0.44</t>
  </si>
  <si>
    <t>3.54</t>
  </si>
  <si>
    <t>1.86584633535706</t>
  </si>
  <si>
    <t>-0.431532757608374</t>
  </si>
  <si>
    <t>17.32</t>
  </si>
  <si>
    <t>14.9161890247982</t>
  </si>
  <si>
    <t>19.5577981949565</t>
  </si>
  <si>
    <t>0.13</t>
  </si>
  <si>
    <t>4.78</t>
  </si>
  <si>
    <t>2.3907601675721</t>
  </si>
  <si>
    <t>-1.00585963087391</t>
  </si>
  <si>
    <t>18.73</t>
  </si>
  <si>
    <t>16.7535352274148</t>
  </si>
  <si>
    <t>19.5462162612272</t>
  </si>
  <si>
    <t>0.76</t>
  </si>
  <si>
    <t>4.91</t>
  </si>
  <si>
    <t>5.18697317501451</t>
  </si>
  <si>
    <t>-0.55873338167071</t>
  </si>
  <si>
    <t>19.1</t>
  </si>
  <si>
    <t>17.4961047955599</t>
  </si>
  <si>
    <t>19.5668216744209</t>
  </si>
  <si>
    <t>0.63</t>
  </si>
  <si>
    <t>4.71</t>
  </si>
  <si>
    <t>5.08175501229339</t>
  </si>
  <si>
    <t>1.22341754870773</t>
  </si>
  <si>
    <t>18.95</t>
  </si>
  <si>
    <t>26.0246542057157</t>
  </si>
  <si>
    <t>19.6931743679663</t>
  </si>
  <si>
    <t>0.59</t>
  </si>
  <si>
    <t>4.56</t>
  </si>
  <si>
    <t>5.07835362903522</t>
  </si>
  <si>
    <t>2.03839407436584</t>
  </si>
  <si>
    <t>19.34</t>
  </si>
  <si>
    <t>25.4510403060775</t>
  </si>
  <si>
    <t>19.7049656516616</t>
  </si>
  <si>
    <t>0.69</t>
  </si>
  <si>
    <t>4.37</t>
  </si>
  <si>
    <t>5.0212348490997</t>
  </si>
  <si>
    <t>0.47119002897201</t>
  </si>
  <si>
    <t>22.8811257203584</t>
  </si>
  <si>
    <t>19.74438090851</t>
  </si>
  <si>
    <t>0.94</t>
  </si>
  <si>
    <t>4.92803248735999</t>
  </si>
  <si>
    <t>1.74756584621948</t>
  </si>
  <si>
    <t>25.5637161283652</t>
  </si>
  <si>
    <t>19.7570324613033</t>
  </si>
  <si>
    <t>0.68</t>
  </si>
  <si>
    <t>4.1</t>
  </si>
  <si>
    <t>4.95366987119701</t>
  </si>
  <si>
    <t>1.64348699815514</t>
  </si>
  <si>
    <t>21.7692725762555</t>
  </si>
  <si>
    <t>19.7237444494131</t>
  </si>
  <si>
    <t>4.93920376694985</t>
  </si>
  <si>
    <t>3.52</t>
  </si>
  <si>
    <t>1.68651626974213</t>
  </si>
  <si>
    <t>19.14</t>
  </si>
  <si>
    <t>23.7656690246994</t>
  </si>
  <si>
    <t>19.7340503468755</t>
  </si>
  <si>
    <t>0.81</t>
  </si>
  <si>
    <t>5.25251322254681</t>
  </si>
  <si>
    <t>3.99</t>
  </si>
  <si>
    <t>0.837426296901587</t>
  </si>
  <si>
    <t>18.15</t>
  </si>
  <si>
    <t>21.8678510542547</t>
  </si>
  <si>
    <t>19.7222766729803</t>
  </si>
  <si>
    <t>5.28656721249836</t>
  </si>
  <si>
    <t>3.25303095582019</t>
  </si>
  <si>
    <t>17.36</t>
  </si>
  <si>
    <t>22.4718631336589</t>
  </si>
  <si>
    <t>19.7602535784211</t>
  </si>
  <si>
    <t>1.03</t>
  </si>
  <si>
    <t>5.30429191451803</t>
  </si>
  <si>
    <t>4.58</t>
  </si>
  <si>
    <t>1.23746496973231</t>
  </si>
  <si>
    <t>22.9994233786119</t>
  </si>
  <si>
    <t>19.7798398465248</t>
  </si>
  <si>
    <t>3.45</t>
  </si>
  <si>
    <t>5.19284825222036</t>
  </si>
  <si>
    <t>2.96468456454765</t>
  </si>
  <si>
    <t>20.17</t>
  </si>
  <si>
    <t>23.2368121938058</t>
  </si>
  <si>
    <t>19.8123315138668</t>
  </si>
  <si>
    <t>5.25507357300064</t>
  </si>
  <si>
    <t>4.4</t>
  </si>
  <si>
    <t>-3.10013453478294</t>
  </si>
  <si>
    <t>18.66</t>
  </si>
  <si>
    <t>25.07054803822</t>
  </si>
  <si>
    <t>19.3594761708162</t>
  </si>
  <si>
    <t>3.55313915558316</t>
  </si>
  <si>
    <t>3.97328544881529</t>
  </si>
  <si>
    <t>18.13</t>
  </si>
  <si>
    <t>22.808353675312</t>
  </si>
  <si>
    <t>19.3707450494467</t>
  </si>
  <si>
    <t>1.69</t>
  </si>
  <si>
    <t>3.49872604339209</t>
  </si>
  <si>
    <t>-1.52700395819415</t>
  </si>
  <si>
    <t>18.97</t>
  </si>
  <si>
    <t>22.9258163916137</t>
  </si>
  <si>
    <t>19.3726121613984</t>
  </si>
  <si>
    <t>3.43</t>
  </si>
  <si>
    <t>3.36859339139785</t>
  </si>
  <si>
    <t>3.12790291879822</t>
  </si>
  <si>
    <t>19.2</t>
  </si>
  <si>
    <t>22.355483370533</t>
  </si>
  <si>
    <t>19.3962733069056</t>
  </si>
  <si>
    <t>3.1908386311901</t>
  </si>
  <si>
    <t>4.96</t>
  </si>
  <si>
    <t>-0.310313787632687</t>
  </si>
  <si>
    <t>22.2590934124635</t>
  </si>
  <si>
    <t>19.3810346606499</t>
  </si>
  <si>
    <t>3.37053199394778</t>
  </si>
  <si>
    <t>1.2436759489243</t>
  </si>
  <si>
    <t>22.6855014501907</t>
  </si>
  <si>
    <t>19.4146384307099</t>
  </si>
  <si>
    <t>2.04</t>
  </si>
  <si>
    <t>2.87</t>
  </si>
  <si>
    <t>2.83278594828586</t>
  </si>
  <si>
    <t>0.373235356471437</t>
  </si>
  <si>
    <t>21.2914460507846</t>
  </si>
  <si>
    <t>19.3795779584803</t>
  </si>
  <si>
    <t>1.84</t>
  </si>
  <si>
    <t>2.87413215487723</t>
  </si>
  <si>
    <t>5.37</t>
  </si>
  <si>
    <t>1.3236593830925</t>
  </si>
  <si>
    <t>20.92</t>
  </si>
  <si>
    <t>23.0758081749035</t>
  </si>
  <si>
    <t>19.4229363641045</t>
  </si>
  <si>
    <t>3.12611314325172</t>
  </si>
  <si>
    <t>-0.0711518502635921</t>
  </si>
  <si>
    <t>18.79</t>
  </si>
  <si>
    <t>23.3402102286536</t>
  </si>
  <si>
    <t>19.4208925838498</t>
  </si>
  <si>
    <t>5.36321641768385</t>
  </si>
  <si>
    <t>5.02</t>
  </si>
  <si>
    <t>-4.32690705671669</t>
  </si>
  <si>
    <t>25.9250111769482</t>
  </si>
  <si>
    <t>19.42145901428</t>
  </si>
  <si>
    <t>3.89</t>
  </si>
  <si>
    <t>5.85452945538369</t>
  </si>
  <si>
    <t>5.05</t>
  </si>
  <si>
    <t>-2.85441355523239</t>
  </si>
  <si>
    <t>20.24</t>
  </si>
  <si>
    <t>29.5545216540508</t>
  </si>
  <si>
    <t>19.4474405835789</t>
  </si>
  <si>
    <t>1.28</t>
  </si>
  <si>
    <t>6.29522210656901</t>
  </si>
  <si>
    <t>4.93</t>
  </si>
  <si>
    <t>-3.30516854821794</t>
  </si>
  <si>
    <t>21.24</t>
  </si>
  <si>
    <t>32.1434760302287</t>
  </si>
  <si>
    <t>19.4455534167178</t>
  </si>
  <si>
    <t>1.06</t>
  </si>
  <si>
    <t>6.87387127196188</t>
  </si>
  <si>
    <t>-0.919674180346473</t>
  </si>
  <si>
    <t>30.3287560267006</t>
  </si>
  <si>
    <t>19.4141166148304</t>
  </si>
  <si>
    <t>3.85</t>
  </si>
  <si>
    <t>7.3838057041163</t>
  </si>
  <si>
    <t>-0.0963628707386639</t>
  </si>
  <si>
    <t>21.35</t>
  </si>
  <si>
    <t>32.5689636215586</t>
  </si>
  <si>
    <t>19.4727867673672</t>
  </si>
  <si>
    <t>3.25</t>
  </si>
  <si>
    <t>7.17066671848331</t>
  </si>
  <si>
    <t>4.95</t>
  </si>
  <si>
    <t>2.10976816435872</t>
  </si>
  <si>
    <t>21.92</t>
  </si>
  <si>
    <t>34.7205546168709</t>
  </si>
  <si>
    <t>19.4949551409425</t>
  </si>
  <si>
    <t>3.39</t>
  </si>
  <si>
    <t>7.27651996846043</t>
  </si>
  <si>
    <t>2.46043214251583</t>
  </si>
  <si>
    <t>22.29</t>
  </si>
  <si>
    <t>37.4442005890889</t>
  </si>
  <si>
    <t>19.5431515120526</t>
  </si>
  <si>
    <t>3.51</t>
  </si>
  <si>
    <t>7.33959567080052</t>
  </si>
  <si>
    <t>0.113469793396352</t>
  </si>
  <si>
    <t>35.7611759525359</t>
  </si>
  <si>
    <t>19.5287757492086</t>
  </si>
  <si>
    <t>7.67237865326594</t>
  </si>
  <si>
    <t>3.6214275830551</t>
  </si>
  <si>
    <t>33.1128996143258</t>
  </si>
  <si>
    <t>19.5392268343195</t>
  </si>
  <si>
    <t>7.65753792283044</t>
  </si>
  <si>
    <t>2.63411115874217</t>
  </si>
  <si>
    <t>31.0688215565251</t>
  </si>
  <si>
    <t>19.5253568637124</t>
  </si>
  <si>
    <t>7.49546353416145</t>
  </si>
  <si>
    <t>0.932778545606584</t>
  </si>
  <si>
    <t>21.86</t>
  </si>
  <si>
    <t>31.4819898326598</t>
  </si>
  <si>
    <t>19.5243330669494</t>
  </si>
  <si>
    <t>2.8</t>
  </si>
  <si>
    <t>6.83930528104575</t>
  </si>
  <si>
    <t>0.446608805568293</t>
  </si>
  <si>
    <t>22.35</t>
  </si>
  <si>
    <t>23.3149489609539</t>
  </si>
  <si>
    <t>19.1033895032624</t>
  </si>
  <si>
    <t>2.33600903781136</t>
  </si>
  <si>
    <t>4.69025758643151</t>
  </si>
  <si>
    <t>21.7</t>
  </si>
  <si>
    <t>19.1989366735619</t>
  </si>
  <si>
    <t>19.0596476404618</t>
  </si>
  <si>
    <t>2.45967852111965</t>
  </si>
  <si>
    <t>-0.889997941788839</t>
  </si>
  <si>
    <t>23.04</t>
  </si>
  <si>
    <t>12.5846765021514</t>
  </si>
  <si>
    <t>19.0457200434486</t>
  </si>
  <si>
    <t>2.61928843836238</t>
  </si>
  <si>
    <t>4.6</t>
  </si>
  <si>
    <t>2.71379394575827</t>
  </si>
  <si>
    <t>23.49</t>
  </si>
  <si>
    <t>11.6903835493868</t>
  </si>
  <si>
    <t>19.0567203387924</t>
  </si>
  <si>
    <t>2.97</t>
  </si>
  <si>
    <t>2.63838431223697</t>
  </si>
  <si>
    <t>4.61</t>
  </si>
  <si>
    <t>0.60745482230633</t>
  </si>
  <si>
    <t>23.89</t>
  </si>
  <si>
    <t>13.2176669408483</t>
  </si>
  <si>
    <t>19.0773615036113</t>
  </si>
  <si>
    <t>1.94</t>
  </si>
  <si>
    <t>2.69973395669256</t>
  </si>
  <si>
    <t>4.44</t>
  </si>
  <si>
    <t>-0.708266505650162</t>
  </si>
  <si>
    <t>23.81</t>
  </si>
  <si>
    <t>10.9253969903914</t>
  </si>
  <si>
    <t>19.0832877446773</t>
  </si>
  <si>
    <t>2.52298408475854</t>
  </si>
  <si>
    <t>-0.41076025300213</t>
  </si>
  <si>
    <t>13.7728394431581</t>
  </si>
  <si>
    <t>19.0778864902418</t>
  </si>
  <si>
    <t>2.95</t>
  </si>
  <si>
    <t>2.68540888695131</t>
  </si>
  <si>
    <t>4.52</t>
  </si>
  <si>
    <t>-2.25312793728966</t>
  </si>
  <si>
    <t>24.07</t>
  </si>
  <si>
    <t>14.4828441223758</t>
  </si>
  <si>
    <t>19.0638618962856</t>
  </si>
  <si>
    <t>2.09</t>
  </si>
  <si>
    <t>2.80494754039746</t>
  </si>
  <si>
    <t>-0.593491581754151</t>
  </si>
  <si>
    <t>24.48</t>
  </si>
  <si>
    <t>12.6473595717935</t>
  </si>
  <si>
    <t>19.0365815758799</t>
  </si>
  <si>
    <t>2</t>
  </si>
  <si>
    <t>4.86258184793249</t>
  </si>
  <si>
    <t>-7.59000043779484</t>
  </si>
  <si>
    <t>26.7</t>
  </si>
  <si>
    <t>24.3259054884226</t>
  </si>
  <si>
    <t>19.0772178235438</t>
  </si>
  <si>
    <t>1.77</t>
  </si>
  <si>
    <t>2.9</t>
  </si>
  <si>
    <t>4.51761296749965</t>
  </si>
  <si>
    <t>-4.05373055334016</t>
  </si>
  <si>
    <t>28.14</t>
  </si>
  <si>
    <t>24.0290498555283</t>
  </si>
  <si>
    <t>19.1048710007669</t>
  </si>
  <si>
    <t>4.37465646636047</t>
  </si>
  <si>
    <t>-2.72969412937073</t>
  </si>
  <si>
    <t>29.55</t>
  </si>
  <si>
    <t>23.6656406378101</t>
  </si>
  <si>
    <t>19.1204039996553</t>
  </si>
  <si>
    <t>2.93</t>
  </si>
  <si>
    <t>4.65272523455861</t>
  </si>
  <si>
    <t>4.46</t>
  </si>
  <si>
    <t>-0.984875925264062</t>
  </si>
  <si>
    <t>28.15</t>
  </si>
  <si>
    <t>26.0389088741689</t>
  </si>
  <si>
    <t>19.0675133525343</t>
  </si>
  <si>
    <t>1.49</t>
  </si>
  <si>
    <t>5.32215225045413</t>
  </si>
  <si>
    <t>-1.40247432246026</t>
  </si>
  <si>
    <t>28.83</t>
  </si>
  <si>
    <t>29.10499556963</t>
  </si>
  <si>
    <t>19.0623144848419</t>
  </si>
  <si>
    <t>1.78</t>
  </si>
  <si>
    <t>5.59950215192915</t>
  </si>
  <si>
    <t>-1.30089041320347</t>
  </si>
  <si>
    <t>29.75</t>
  </si>
  <si>
    <t>20.4335774206228</t>
  </si>
  <si>
    <t>19.0347766381349</t>
  </si>
  <si>
    <t>1.97</t>
  </si>
  <si>
    <t>5.31747168681167</t>
  </si>
  <si>
    <t>1.67449918241892</t>
  </si>
  <si>
    <t>29.66</t>
  </si>
  <si>
    <t>20.866826443777</t>
  </si>
  <si>
    <t>19.0660426540181</t>
  </si>
  <si>
    <t>4.98914076763689</t>
  </si>
  <si>
    <t>-1.40566822391732</t>
  </si>
  <si>
    <t>21.9162645720457</t>
  </si>
  <si>
    <t>19.065771470112</t>
  </si>
  <si>
    <t>4.86278886603688</t>
  </si>
  <si>
    <t>6.11460496102565</t>
  </si>
  <si>
    <t>24.5756613142026</t>
  </si>
  <si>
    <t>19.0268416035724</t>
  </si>
  <si>
    <t>4.81109134496694</t>
  </si>
  <si>
    <t>-1.45593331282767</t>
  </si>
  <si>
    <t>24.0333742509472</t>
  </si>
  <si>
    <t>19.0144366794782</t>
  </si>
  <si>
    <t>4.87563724895584</t>
  </si>
  <si>
    <t>4.84245448749063</t>
  </si>
  <si>
    <t>29.81</t>
  </si>
  <si>
    <t>21.1040142783363</t>
  </si>
  <si>
    <t>19.0815601340734</t>
  </si>
  <si>
    <t>3.58</t>
  </si>
  <si>
    <t>5.29136681592405</t>
  </si>
  <si>
    <t>5.2</t>
  </si>
  <si>
    <t>4.15563167460343</t>
  </si>
  <si>
    <t>17.01</t>
  </si>
  <si>
    <t>26.0636804271382</t>
  </si>
  <si>
    <t>18.9003527583677</t>
  </si>
  <si>
    <t>2.18</t>
  </si>
  <si>
    <t>1.72</t>
  </si>
  <si>
    <t>3.91802977125789</t>
  </si>
  <si>
    <t>4.24</t>
  </si>
  <si>
    <t>5.57455318856333</t>
  </si>
  <si>
    <t>16.74</t>
  </si>
  <si>
    <t>25.7609853323345</t>
  </si>
  <si>
    <t>18.9530815818773</t>
  </si>
  <si>
    <t>3.75319565074254</t>
  </si>
  <si>
    <t>4.15</t>
  </si>
  <si>
    <t>2.56529138279058</t>
  </si>
  <si>
    <t>17.03</t>
  </si>
  <si>
    <t>21.6053862459247</t>
  </si>
  <si>
    <t>18.9153449121034</t>
  </si>
  <si>
    <t>3.86278539349542</t>
  </si>
  <si>
    <t>4.19</t>
  </si>
  <si>
    <t>-1.76996906311962</t>
  </si>
  <si>
    <t>17.63</t>
  </si>
  <si>
    <t>26.8720937444447</t>
  </si>
  <si>
    <t>18.9721658184691</t>
  </si>
  <si>
    <t>3.69981989033977</t>
  </si>
  <si>
    <t>-0.282208765990924</t>
  </si>
  <si>
    <t>26.7481641194995</t>
  </si>
  <si>
    <t>18.9946444436902</t>
  </si>
  <si>
    <t>3.76215389964915</t>
  </si>
  <si>
    <t>1.50098138291478</t>
  </si>
  <si>
    <t>18.54</t>
  </si>
  <si>
    <t>25.3608705630622</t>
  </si>
  <si>
    <t>18.9975445600368</t>
  </si>
  <si>
    <t>1.82</t>
  </si>
  <si>
    <t>3.7982019034364</t>
  </si>
  <si>
    <t>4</t>
  </si>
  <si>
    <t>0.604860841647751</t>
  </si>
  <si>
    <t>18.61</t>
  </si>
  <si>
    <t>26.5397451135532</t>
  </si>
  <si>
    <t>18.9828604764567</t>
  </si>
  <si>
    <t>2.24</t>
  </si>
  <si>
    <t>3.96669352890057</t>
  </si>
  <si>
    <t>3.92</t>
  </si>
  <si>
    <t>-0.754392871914521</t>
  </si>
  <si>
    <t>28.5236347942879</t>
  </si>
  <si>
    <t>19.0129531827101</t>
  </si>
  <si>
    <t>3.88496974450087</t>
  </si>
  <si>
    <t>3.95</t>
  </si>
  <si>
    <t>4.07181553297977</t>
  </si>
  <si>
    <t>18.71</t>
  </si>
  <si>
    <t>22.4328977216254</t>
  </si>
  <si>
    <t>19.0706208065953</t>
  </si>
  <si>
    <t>3.69600293275361</t>
  </si>
  <si>
    <t>-5.12303977825667</t>
  </si>
  <si>
    <t>28.358692955065</t>
  </si>
  <si>
    <t>19.0207036069694</t>
  </si>
  <si>
    <t>3.99456969208134</t>
  </si>
  <si>
    <t>1.21255219214254</t>
  </si>
  <si>
    <t>27.5115752977683</t>
  </si>
  <si>
    <t>19.1036351391194</t>
  </si>
  <si>
    <t>1.81</t>
  </si>
  <si>
    <t>4.64645840409601</t>
  </si>
  <si>
    <t>-3.39680741749917</t>
  </si>
  <si>
    <t>28.1284945203401</t>
  </si>
  <si>
    <t>19.1450402521308</t>
  </si>
  <si>
    <t>4.5092979726663</t>
  </si>
  <si>
    <t>0.0196640271969603</t>
  </si>
  <si>
    <t>22.03</t>
  </si>
  <si>
    <t>33.8259890813607</t>
  </si>
  <si>
    <t>19.1520085103822</t>
  </si>
  <si>
    <t>1.25</t>
  </si>
  <si>
    <t>1.96</t>
  </si>
  <si>
    <t>5.43431905846777</t>
  </si>
  <si>
    <t>3.8</t>
  </si>
  <si>
    <t>0.528198052091301</t>
  </si>
  <si>
    <t>22.73</t>
  </si>
  <si>
    <t>34.7333591530775</t>
  </si>
  <si>
    <t>19.1194892737898</t>
  </si>
  <si>
    <t>5.5593851697583</t>
  </si>
  <si>
    <t>1.61674170901693</t>
  </si>
  <si>
    <t>22.41</t>
  </si>
  <si>
    <t>35.4931638619856</t>
  </si>
  <si>
    <t>19.1690072108931</t>
  </si>
  <si>
    <t>5.54446358116785</t>
  </si>
  <si>
    <t>2.95715677935498</t>
  </si>
  <si>
    <t>22.94</t>
  </si>
  <si>
    <t>36.822008990352</t>
  </si>
  <si>
    <t>19.183526490938</t>
  </si>
  <si>
    <t>1.55</t>
  </si>
  <si>
    <t>6.26250403464375</t>
  </si>
  <si>
    <t>2.07070938178262</t>
  </si>
  <si>
    <t>28.9129638606308</t>
  </si>
  <si>
    <t>19.2348912408272</t>
  </si>
  <si>
    <t>6.52601209283479</t>
  </si>
  <si>
    <t>3.10636796379387</t>
  </si>
  <si>
    <t>35.9470700409469</t>
  </si>
  <si>
    <t>19.2247300788872</t>
  </si>
  <si>
    <t>6.10246025738077</t>
  </si>
  <si>
    <t>3.42935670577845</t>
  </si>
  <si>
    <t>31.3705738777466</t>
  </si>
  <si>
    <t>19.2111579993182</t>
  </si>
  <si>
    <t>6.19310614275047</t>
  </si>
  <si>
    <t>4.57192256655289</t>
  </si>
  <si>
    <t>27.1500818604458</t>
  </si>
  <si>
    <t>19.290063407004</t>
  </si>
  <si>
    <t>5.36803653998717</t>
  </si>
  <si>
    <t>2.21093347628575</t>
  </si>
  <si>
    <t>17.73</t>
  </si>
  <si>
    <t>25.4414866372806</t>
  </si>
  <si>
    <t>18.838734903048</t>
  </si>
  <si>
    <t>4.59</t>
  </si>
  <si>
    <t>8.8868615835208</t>
  </si>
  <si>
    <t>3.38616540256101</t>
  </si>
  <si>
    <t>19.59</t>
  </si>
  <si>
    <t>28.4220409618527</t>
  </si>
  <si>
    <t>18.8848079658879</t>
  </si>
  <si>
    <t>0.5</t>
  </si>
  <si>
    <t>4.26</t>
  </si>
  <si>
    <t>8.96174893480987</t>
  </si>
  <si>
    <t>3.96</t>
  </si>
  <si>
    <t>3.71244318914643</t>
  </si>
  <si>
    <t>19.19</t>
  </si>
  <si>
    <t>25.5473064124188</t>
  </si>
  <si>
    <t>18.8623783742457</t>
  </si>
  <si>
    <t>0.57</t>
  </si>
  <si>
    <t>9.0345133440495</t>
  </si>
  <si>
    <t>-0.288490475687408</t>
  </si>
  <si>
    <t>19.44</t>
  </si>
  <si>
    <t>22.549440120916</t>
  </si>
  <si>
    <t>18.8443736059073</t>
  </si>
  <si>
    <t>0.78</t>
  </si>
  <si>
    <t>7.68205356954265</t>
  </si>
  <si>
    <t>4.11</t>
  </si>
  <si>
    <t>-1.90428264957491</t>
  </si>
  <si>
    <t>24.4026011796271</t>
  </si>
  <si>
    <t>18.8922518066322</t>
  </si>
  <si>
    <t>1.3</t>
  </si>
  <si>
    <t>3.78</t>
  </si>
  <si>
    <t>6.53360760399981</t>
  </si>
  <si>
    <t>2.36390315663516</t>
  </si>
  <si>
    <t>19.81</t>
  </si>
  <si>
    <t>19.1076932514245</t>
  </si>
  <si>
    <t>18.8102189022144</t>
  </si>
  <si>
    <t>5.52734068543835</t>
  </si>
  <si>
    <t>0.52512015230839</t>
  </si>
  <si>
    <t>19.84</t>
  </si>
  <si>
    <t>21.3781101429506</t>
  </si>
  <si>
    <t>18.8583483863343</t>
  </si>
  <si>
    <t>3.33</t>
  </si>
  <si>
    <t>5.36609702204082</t>
  </si>
  <si>
    <t>4.23</t>
  </si>
  <si>
    <t>0.544326569097589</t>
  </si>
  <si>
    <t>19.89</t>
  </si>
  <si>
    <t>21.1327160114877</t>
  </si>
  <si>
    <t>18.8985554399187</t>
  </si>
  <si>
    <t>3.62136712909006</t>
  </si>
  <si>
    <t>4.39</t>
  </si>
  <si>
    <t>2.17326599478857</t>
  </si>
  <si>
    <t>19.61</t>
  </si>
  <si>
    <t>21.2432870808475</t>
  </si>
  <si>
    <t>18.935066407251</t>
  </si>
  <si>
    <t>4.67042431518316</t>
  </si>
  <si>
    <t>-6.15659527451441</t>
  </si>
  <si>
    <t>21.26</t>
  </si>
  <si>
    <t>24.2618018964861</t>
  </si>
  <si>
    <t>18.8770738500688</t>
  </si>
  <si>
    <t>0.93</t>
  </si>
  <si>
    <t>4.07014542520876</t>
  </si>
  <si>
    <t>4.53</t>
  </si>
  <si>
    <t>-0.719376348033011</t>
  </si>
  <si>
    <t>21.6</t>
  </si>
  <si>
    <t>25.2543502464283</t>
  </si>
  <si>
    <t>18.9313204004275</t>
  </si>
  <si>
    <t>4.33496964824266</t>
  </si>
  <si>
    <t>14.8704664832145</t>
  </si>
  <si>
    <t>35.68</t>
  </si>
  <si>
    <t>25.2412302619991</t>
  </si>
  <si>
    <t>19.1016257954134</t>
  </si>
  <si>
    <t>0.97</t>
  </si>
  <si>
    <t>6.73858961447019</t>
  </si>
  <si>
    <t>4.74</t>
  </si>
  <si>
    <t>-0.359857202972944</t>
  </si>
  <si>
    <t>35.21</t>
  </si>
  <si>
    <t>24.452763662426</t>
  </si>
  <si>
    <t>19.1303303670864</t>
  </si>
  <si>
    <t>7.02298338556131</t>
  </si>
  <si>
    <t>4.45</t>
  </si>
  <si>
    <t>2.64973459601644</t>
  </si>
  <si>
    <t>35.43</t>
  </si>
  <si>
    <t>32.4952336713394</t>
  </si>
  <si>
    <t>19.1763933675985</t>
  </si>
  <si>
    <t>7.03036425652783</t>
  </si>
  <si>
    <t>2.76554685393492</t>
  </si>
  <si>
    <t>34.04</t>
  </si>
  <si>
    <t>32.699006504467</t>
  </si>
  <si>
    <t>19.2036515031369</t>
  </si>
  <si>
    <t>0.82</t>
  </si>
  <si>
    <t>6.98872546612158</t>
  </si>
  <si>
    <t>1.19509386432836</t>
  </si>
  <si>
    <t>34.94</t>
  </si>
  <si>
    <t>35.2296234746108</t>
  </si>
  <si>
    <t>19.2724502004069</t>
  </si>
  <si>
    <t>0.73</t>
  </si>
  <si>
    <t>3.2</t>
  </si>
  <si>
    <t>7.20292131081954</t>
  </si>
  <si>
    <t>3.20523681762303</t>
  </si>
  <si>
    <t>33.12</t>
  </si>
  <si>
    <t>36.0604542590944</t>
  </si>
  <si>
    <t>19.2997793686201</t>
  </si>
  <si>
    <t>7.11001497114502</t>
  </si>
  <si>
    <t>4.00679812654254</t>
  </si>
  <si>
    <t>34.3429726903561</t>
  </si>
  <si>
    <t>19.2526913720575</t>
  </si>
  <si>
    <t>7.08526750797775</t>
  </si>
  <si>
    <t>0.730418767813294</t>
  </si>
  <si>
    <t>33.3572113103028</t>
  </si>
  <si>
    <t>19.2112004625568</t>
  </si>
  <si>
    <t>7.31013520860642</t>
  </si>
  <si>
    <t>0.491441755691272</t>
  </si>
  <si>
    <t>34.19</t>
  </si>
  <si>
    <t>39.2183391144371</t>
  </si>
  <si>
    <t>19.3572150686282</t>
  </si>
  <si>
    <t>1.1</t>
  </si>
  <si>
    <t>7.4490341902974</t>
  </si>
  <si>
    <t>4.33</t>
  </si>
  <si>
    <t>-3.78582933652702</t>
  </si>
  <si>
    <t>17.86</t>
  </si>
  <si>
    <t>21.3456053763386</t>
  </si>
  <si>
    <t>18.8961917857717</t>
  </si>
  <si>
    <t>1.8587564238293</t>
  </si>
  <si>
    <t>3.49588637801803</t>
  </si>
  <si>
    <t>20.9695595281397</t>
  </si>
  <si>
    <t>18.8647033004306</t>
  </si>
  <si>
    <t>1.23</t>
  </si>
  <si>
    <t>1.85859120302734</t>
  </si>
  <si>
    <t>65.372104364432</t>
  </si>
  <si>
    <t>19.04</t>
  </si>
  <si>
    <t>19.3408917033381</t>
  </si>
  <si>
    <t>18.8778210188589</t>
  </si>
  <si>
    <t>1.35</t>
  </si>
  <si>
    <t>2.83</t>
  </si>
  <si>
    <t>1.15319978098049</t>
  </si>
  <si>
    <t>4.34</t>
  </si>
  <si>
    <t>-35.3796336410755</t>
  </si>
  <si>
    <t>19.09</t>
  </si>
  <si>
    <t>20.5150478992565</t>
  </si>
  <si>
    <t>18.9107078155736</t>
  </si>
  <si>
    <t>2.66</t>
  </si>
  <si>
    <t>1.68959248781601</t>
  </si>
  <si>
    <t>2.05507675556379</t>
  </si>
  <si>
    <t>18.74</t>
  </si>
  <si>
    <t>19.9039080865536</t>
  </si>
  <si>
    <t>18.9745531214655</t>
  </si>
  <si>
    <t>0.96</t>
  </si>
  <si>
    <t>1.7979911199121</t>
  </si>
  <si>
    <t>-0.285680727059864</t>
  </si>
  <si>
    <t>19.06</t>
  </si>
  <si>
    <t>20.9717025244815</t>
  </si>
  <si>
    <t>18.946982732575</t>
  </si>
  <si>
    <t>0.89</t>
  </si>
  <si>
    <t>3.22</t>
  </si>
  <si>
    <t>2.02086095485748</t>
  </si>
  <si>
    <t>-4.38640647443941</t>
  </si>
  <si>
    <t>20.06</t>
  </si>
  <si>
    <t>21.0489036176418</t>
  </si>
  <si>
    <t>18.9136772921272</t>
  </si>
  <si>
    <t>2.35878776160457</t>
  </si>
  <si>
    <t>4.09</t>
  </si>
  <si>
    <t>-6.46342404026155</t>
  </si>
  <si>
    <t>21.42</t>
  </si>
  <si>
    <t>21.0738315248438</t>
  </si>
  <si>
    <t>18.8570191621263</t>
  </si>
  <si>
    <t>1.09</t>
  </si>
  <si>
    <t>2.2082922985515</t>
  </si>
  <si>
    <t>4.14</t>
  </si>
  <si>
    <t>0.789308041449991</t>
  </si>
  <si>
    <t>20.53</t>
  </si>
  <si>
    <t>21.2441871174567</t>
  </si>
  <si>
    <t>18.9371442589002</t>
  </si>
  <si>
    <t>3.02523669264065</t>
  </si>
  <si>
    <t>-5.40092379001825</t>
  </si>
  <si>
    <t>20.2024310428051</t>
  </si>
  <si>
    <t>18.8376860405323</t>
  </si>
  <si>
    <t>1.01</t>
  </si>
  <si>
    <t>5.23</t>
  </si>
  <si>
    <t>3.50404878868386</t>
  </si>
  <si>
    <t>4.13</t>
  </si>
  <si>
    <t>-5.21337661231718</t>
  </si>
  <si>
    <t>23.36</t>
  </si>
  <si>
    <t>24.4580600003326</t>
  </si>
  <si>
    <t>18.9283376265567</t>
  </si>
  <si>
    <t>3.08086936449217</t>
  </si>
  <si>
    <t>-3.52242858717343</t>
  </si>
  <si>
    <t>24.25</t>
  </si>
  <si>
    <t>28.4320431186625</t>
  </si>
  <si>
    <t>18.9066750198547</t>
  </si>
  <si>
    <t>3.17977301530207</t>
  </si>
  <si>
    <t>-2.33461783378787</t>
  </si>
  <si>
    <t>24.74</t>
  </si>
  <si>
    <t>27.3692374002317</t>
  </si>
  <si>
    <t>18.9176313087457</t>
  </si>
  <si>
    <t>1.15</t>
  </si>
  <si>
    <t>4.16</t>
  </si>
  <si>
    <t>3.42415208995755</t>
  </si>
  <si>
    <t>-3.4123890431325</t>
  </si>
  <si>
    <t>25.41</t>
  </si>
  <si>
    <t>32.9213712496839</t>
  </si>
  <si>
    <t>18.8397593267884</t>
  </si>
  <si>
    <t>4.66</t>
  </si>
  <si>
    <t>3.84246022907683</t>
  </si>
  <si>
    <t>3.71</t>
  </si>
  <si>
    <t>-0.282247000297979</t>
  </si>
  <si>
    <t>26.01</t>
  </si>
  <si>
    <t>31.1033226994207</t>
  </si>
  <si>
    <t>18.7858743865269</t>
  </si>
  <si>
    <t>0.9</t>
  </si>
  <si>
    <t>3.945223316643</t>
  </si>
  <si>
    <t>2.16994902227448</t>
  </si>
  <si>
    <t>26.38</t>
  </si>
  <si>
    <t>33.0393580385781</t>
  </si>
  <si>
    <t>18.8778659420246</t>
  </si>
  <si>
    <t>1</t>
  </si>
  <si>
    <t>3.38032263553579</t>
  </si>
  <si>
    <t>-1.67008871906724</t>
  </si>
  <si>
    <t>29.5810839263518</t>
  </si>
  <si>
    <t>18.823180787264</t>
  </si>
  <si>
    <t>3.49822918927556</t>
  </si>
  <si>
    <t>8.20207435473284</t>
  </si>
  <si>
    <t>31.9074789019192</t>
  </si>
  <si>
    <t>18.8727449827476</t>
  </si>
  <si>
    <t>3.30589997640635</t>
  </si>
  <si>
    <t>4.56514172818854</t>
  </si>
  <si>
    <t>27.9385076477047</t>
  </si>
  <si>
    <t>18.8555921884311</t>
  </si>
  <si>
    <t>2.79076001574556</t>
  </si>
  <si>
    <t>-4.91098114801868</t>
  </si>
  <si>
    <t>29.1099072626064</t>
  </si>
  <si>
    <t>18.8190970005089</t>
  </si>
  <si>
    <t>3.28746067183327</t>
  </si>
  <si>
    <t>4.06</t>
  </si>
  <si>
    <t>-0.416074156534381</t>
  </si>
  <si>
    <t>25.44</t>
  </si>
  <si>
    <t>18.281859832169</t>
  </si>
  <si>
    <t>2.37</t>
  </si>
  <si>
    <t>1.1895345238873</t>
  </si>
  <si>
    <t>8.83</t>
  </si>
  <si>
    <t>3.12125763130353</t>
  </si>
  <si>
    <t>23.62</t>
  </si>
  <si>
    <t>18.320001553772</t>
  </si>
  <si>
    <t>1.33234752713187</t>
  </si>
  <si>
    <t>8.91</t>
  </si>
  <si>
    <t>-0.0607110620153071</t>
  </si>
  <si>
    <t>24.3</t>
  </si>
  <si>
    <t>18.2929620363229</t>
  </si>
  <si>
    <t>2.34</t>
  </si>
  <si>
    <t>1.42225278807917</t>
  </si>
  <si>
    <t>8.86</t>
  </si>
  <si>
    <t>0.0026126380565601</t>
  </si>
  <si>
    <t>24.46</t>
  </si>
  <si>
    <t>18.3277928979272</t>
  </si>
  <si>
    <t>1.99</t>
  </si>
  <si>
    <t>1.22</t>
  </si>
  <si>
    <t>1.50857995855314</t>
  </si>
  <si>
    <t>8.61</t>
  </si>
  <si>
    <t>117.446737835259</t>
  </si>
  <si>
    <t>22.68</t>
  </si>
  <si>
    <t>19.0132463603424</t>
  </si>
  <si>
    <t>0.825979054998376</t>
  </si>
  <si>
    <t>4.89</t>
  </si>
  <si>
    <t>1.86949473804255</t>
  </si>
  <si>
    <t>23.34</t>
  </si>
  <si>
    <t>18.9766389883658</t>
  </si>
  <si>
    <t>0.83834075264259</t>
  </si>
  <si>
    <t>6.72</t>
  </si>
  <si>
    <t>-2.31755808704808</t>
  </si>
  <si>
    <t>23.91</t>
  </si>
  <si>
    <t>18.9449279322094</t>
  </si>
  <si>
    <t>0.88969172210078</t>
  </si>
  <si>
    <t>0.815302429104561</t>
  </si>
  <si>
    <t>23.51</t>
  </si>
  <si>
    <t>18.936450529184</t>
  </si>
  <si>
    <t>1.29</t>
  </si>
  <si>
    <t>0.885111938587145</t>
  </si>
  <si>
    <t>4.83</t>
  </si>
  <si>
    <t>11.3622520366715</t>
  </si>
  <si>
    <t>21.95</t>
  </si>
  <si>
    <t>19.035620671777</t>
  </si>
  <si>
    <t>1.171486766659</t>
  </si>
  <si>
    <t>4.82</t>
  </si>
  <si>
    <t>-4.13358149920102</t>
  </si>
  <si>
    <t>22.52</t>
  </si>
  <si>
    <t>18.9581532373089</t>
  </si>
  <si>
    <t>1.40426600263923</t>
  </si>
  <si>
    <t>-1.42918100145158</t>
  </si>
  <si>
    <t>24.34</t>
  </si>
  <si>
    <t>18.9680686812256</t>
  </si>
  <si>
    <t>1.05</t>
  </si>
  <si>
    <t>1.47331366243836</t>
  </si>
  <si>
    <t>-9.3183568777762</t>
  </si>
  <si>
    <t>25.19</t>
  </si>
  <si>
    <t>18.9405337619054</t>
  </si>
  <si>
    <t>2.03081538883417</t>
  </si>
  <si>
    <t>-2.92591145867969</t>
  </si>
  <si>
    <t>26.81</t>
  </si>
  <si>
    <t>18.8824860964763</t>
  </si>
  <si>
    <t>1.36</t>
  </si>
  <si>
    <t>2.04727041656019</t>
  </si>
  <si>
    <t>2.0605535615705</t>
  </si>
  <si>
    <t>26.46</t>
  </si>
  <si>
    <t>18.8891658896353</t>
  </si>
  <si>
    <t>2.17113528128433</t>
  </si>
  <si>
    <t>1.53502888197215</t>
  </si>
  <si>
    <t>24.52</t>
  </si>
  <si>
    <t>18.9302293847225</t>
  </si>
  <si>
    <t>2.4954714343639</t>
  </si>
  <si>
    <t>4.57</t>
  </si>
  <si>
    <t>-1.79567028675979</t>
  </si>
  <si>
    <t>24.96</t>
  </si>
  <si>
    <t>18.978015732842</t>
  </si>
  <si>
    <t>1.63</t>
  </si>
  <si>
    <t>2.60031646281394</t>
  </si>
  <si>
    <t>5.24433303086913</t>
  </si>
  <si>
    <t>24.41</t>
  </si>
  <si>
    <t>18.9771334145025</t>
  </si>
  <si>
    <t>1.32</t>
  </si>
  <si>
    <t>2.40542687332276</t>
  </si>
  <si>
    <t>4.85164441060402</t>
  </si>
  <si>
    <t>24.09</t>
  </si>
  <si>
    <t>18.9899346442746</t>
  </si>
  <si>
    <t>0.37</t>
  </si>
  <si>
    <t>2.26582989135779</t>
  </si>
  <si>
    <t>4.08</t>
  </si>
  <si>
    <t>4.32104341169486</t>
  </si>
  <si>
    <t>19.0117167960952</t>
  </si>
  <si>
    <t>2.26736139809082</t>
  </si>
  <si>
    <t>4.03</t>
  </si>
  <si>
    <t>-6.58057858495882</t>
  </si>
  <si>
    <t>25.94</t>
  </si>
  <si>
    <t>19.0585348310566</t>
  </si>
  <si>
    <t>1.52</t>
  </si>
  <si>
    <t>2.08787251733154</t>
  </si>
  <si>
    <t>0.433256678422607</t>
  </si>
  <si>
    <t>22.4512023506679</t>
  </si>
  <si>
    <t>18.5233862923015</t>
  </si>
  <si>
    <t>0.759313151773598</t>
  </si>
  <si>
    <t>1.24389230819453</t>
  </si>
  <si>
    <t>20.7529370427344</t>
  </si>
  <si>
    <t>18.4950110778105</t>
  </si>
  <si>
    <t>0.6696916041557</t>
  </si>
  <si>
    <t>3.23427520374915</t>
  </si>
  <si>
    <t>20.1680189791324</t>
  </si>
  <si>
    <t>18.5034624601918</t>
  </si>
  <si>
    <t>0.618491969386655</t>
  </si>
  <si>
    <t>1.04521531745176</t>
  </si>
  <si>
    <t>25.4844031756786</t>
  </si>
  <si>
    <t>18.5568727215796</t>
  </si>
  <si>
    <t>0.836349699794179</t>
  </si>
  <si>
    <t>0.559009737035358</t>
  </si>
  <si>
    <t>19.4508750139164</t>
  </si>
  <si>
    <t>18.5362455789976</t>
  </si>
  <si>
    <t>0.860889816924147</t>
  </si>
  <si>
    <t>3.17167029160548</t>
  </si>
  <si>
    <t>19.2400753741243</t>
  </si>
  <si>
    <t>18.5589944468304</t>
  </si>
  <si>
    <t>1.66475555081536</t>
  </si>
  <si>
    <t>4.72788005827149</t>
  </si>
  <si>
    <t>18.8293362050607</t>
  </si>
  <si>
    <t>18.5806402058055</t>
  </si>
  <si>
    <t>1.6827613332279</t>
  </si>
  <si>
    <t>0.0411432668713627</t>
  </si>
  <si>
    <t>20.5905871769004</t>
  </si>
  <si>
    <t>18.5776535264706</t>
  </si>
  <si>
    <t>0.83403896307875</t>
  </si>
  <si>
    <t>0.992005646297451</t>
  </si>
  <si>
    <t>18.6195546279117</t>
  </si>
  <si>
    <t>18.5759620957577</t>
  </si>
  <si>
    <t>2.31039608513202</t>
  </si>
  <si>
    <t>3.81974786793924</t>
  </si>
  <si>
    <t>19.578034310381</t>
  </si>
  <si>
    <t>18.5959158007122</t>
  </si>
  <si>
    <t>2.09125705065002</t>
  </si>
  <si>
    <t>3.66059257220632</t>
  </si>
  <si>
    <t>27.6957570402277</t>
  </si>
  <si>
    <t>18.7629450100534</t>
  </si>
  <si>
    <t>2.08065315658556</t>
  </si>
  <si>
    <t>0.563367894459167</t>
  </si>
  <si>
    <t>18.2800006603777</t>
  </si>
  <si>
    <t>18.710060886367</t>
  </si>
  <si>
    <t>1.94537367745126</t>
  </si>
  <si>
    <t>1.9289609668861</t>
  </si>
  <si>
    <t>24.5804726138144</t>
  </si>
  <si>
    <t>18.7341216628042</t>
  </si>
  <si>
    <t>1.96568596138395</t>
  </si>
  <si>
    <t>0.481433515007196</t>
  </si>
  <si>
    <t>24.82324678748</t>
  </si>
  <si>
    <t>18.7784022920099</t>
  </si>
  <si>
    <t>2.01747674893487</t>
  </si>
  <si>
    <t>3.81748288801803</t>
  </si>
  <si>
    <t>27.5548088479829</t>
  </si>
  <si>
    <t>18.8357820543726</t>
  </si>
  <si>
    <t>2.0417688016577</t>
  </si>
  <si>
    <t>0.747553293918511</t>
  </si>
  <si>
    <t>24.4454083313911</t>
  </si>
  <si>
    <t>18.822274862773</t>
  </si>
  <si>
    <t>1.87721351751397</t>
  </si>
  <si>
    <t>2.94749609589427</t>
  </si>
  <si>
    <t>25.0626466581591</t>
  </si>
  <si>
    <t>18.8828983090667</t>
  </si>
  <si>
    <t>1.86348367667928</t>
  </si>
  <si>
    <t>4.8493432899067</t>
  </si>
  <si>
    <t>30.0281501193594</t>
  </si>
  <si>
    <t>18.9091845963616</t>
  </si>
  <si>
    <t>1.68433199966776</t>
  </si>
  <si>
    <t>2.66660088077703</t>
  </si>
  <si>
    <t>27.9916943514148</t>
  </si>
  <si>
    <t>18.8944489781723</t>
  </si>
  <si>
    <t>1.59775940301172</t>
  </si>
  <si>
    <t>2.10352937706064</t>
  </si>
  <si>
    <t>26.3139834123406</t>
  </si>
  <si>
    <t>18.9532992484397</t>
  </si>
  <si>
    <t>1.16</t>
  </si>
  <si>
    <t>1.44184388955347</t>
  </si>
  <si>
    <t>5.86</t>
  </si>
  <si>
    <t>3.42601848808507</t>
  </si>
  <si>
    <t>21.4</t>
  </si>
  <si>
    <t>44.0133072728651</t>
  </si>
  <si>
    <t>18.2480194838765</t>
  </si>
  <si>
    <t>1.24356737043791</t>
  </si>
  <si>
    <t>5.84684161865382</t>
  </si>
  <si>
    <t>21.06</t>
  </si>
  <si>
    <t>33.6637740572642</t>
  </si>
  <si>
    <t>18.2339057533265</t>
  </si>
  <si>
    <t>2.28</t>
  </si>
  <si>
    <t>1.16043422291701</t>
  </si>
  <si>
    <t>5.14</t>
  </si>
  <si>
    <t>4.22406304185248</t>
  </si>
  <si>
    <t>21.03</t>
  </si>
  <si>
    <t>36.2592967912381</t>
  </si>
  <si>
    <t>18.1640085369454</t>
  </si>
  <si>
    <t>2.19</t>
  </si>
  <si>
    <t>1.00083256110941</t>
  </si>
  <si>
    <t>5.32</t>
  </si>
  <si>
    <t>5.13750097945804</t>
  </si>
  <si>
    <t>22.79</t>
  </si>
  <si>
    <t>77.5824429866995</t>
  </si>
  <si>
    <t>18.2434893573035</t>
  </si>
  <si>
    <t>0.821351022710926</t>
  </si>
  <si>
    <t>5.19</t>
  </si>
  <si>
    <t>3.12413393112706</t>
  </si>
  <si>
    <t>36.7367384497251</t>
  </si>
  <si>
    <t>18.2459994459078</t>
  </si>
  <si>
    <t>0.754214797589125</t>
  </si>
  <si>
    <t>5.92123060079798</t>
  </si>
  <si>
    <t>23.26</t>
  </si>
  <si>
    <t>34.7326774261392</t>
  </si>
  <si>
    <t>18.2496275599037</t>
  </si>
  <si>
    <t>2.7</t>
  </si>
  <si>
    <t>0.71151517974813</t>
  </si>
  <si>
    <t>4.51680316080669</t>
  </si>
  <si>
    <t>24.42</t>
  </si>
  <si>
    <t>34.3846142037291</t>
  </si>
  <si>
    <t>18.2906732379968</t>
  </si>
  <si>
    <t>2.75</t>
  </si>
  <si>
    <t>0.599447669293155</t>
  </si>
  <si>
    <t>9.90496482967938</t>
  </si>
  <si>
    <t>23.68</t>
  </si>
  <si>
    <t>30.0740583956576</t>
  </si>
  <si>
    <t>18.4286869188317</t>
  </si>
  <si>
    <t>0.529045358846671</t>
  </si>
  <si>
    <t>1.21969877263552</t>
  </si>
  <si>
    <t>24.7</t>
  </si>
  <si>
    <t>31.1095903271856</t>
  </si>
  <si>
    <t>18.4132553538517</t>
  </si>
  <si>
    <t>1.16654395397258</t>
  </si>
  <si>
    <t>-6.87612055697587</t>
  </si>
  <si>
    <t>25.34</t>
  </si>
  <si>
    <t>28.1885399004772</t>
  </si>
  <si>
    <t>18.4130126088083</t>
  </si>
  <si>
    <t>1.56</t>
  </si>
  <si>
    <t>1.11721005119039</t>
  </si>
  <si>
    <t>1.07710965190936</t>
  </si>
  <si>
    <t>33.7916448336601</t>
  </si>
  <si>
    <t>18.4582084189558</t>
  </si>
  <si>
    <t>0.960686750679193</t>
  </si>
  <si>
    <t>-4.00670753949811</t>
  </si>
  <si>
    <t>31.04</t>
  </si>
  <si>
    <t>30.0772050372107</t>
  </si>
  <si>
    <t>18.5358171960496</t>
  </si>
  <si>
    <t>3.64</t>
  </si>
  <si>
    <t>0.947580816475935</t>
  </si>
  <si>
    <t>1.60812723964292</t>
  </si>
  <si>
    <t>26.6</t>
  </si>
  <si>
    <t>42.2021633520352</t>
  </si>
  <si>
    <t>18.5303616592286</t>
  </si>
  <si>
    <t>0.910320978566889</t>
  </si>
  <si>
    <t>6.47635463377778</t>
  </si>
  <si>
    <t>27.31</t>
  </si>
  <si>
    <t>40.8698038743537</t>
  </si>
  <si>
    <t>18.5679429670306</t>
  </si>
  <si>
    <t>0.887808747241021</t>
  </si>
  <si>
    <t>4.97</t>
  </si>
  <si>
    <t>2.83104954760389</t>
  </si>
  <si>
    <t>28.2</t>
  </si>
  <si>
    <t>39.5558288016894</t>
  </si>
  <si>
    <t>18.6010423563094</t>
  </si>
  <si>
    <t>3.66</t>
  </si>
  <si>
    <t>0.917413368550921</t>
  </si>
  <si>
    <t>12.486429170657</t>
  </si>
  <si>
    <t>27.3</t>
  </si>
  <si>
    <t>32.0418478742264</t>
  </si>
  <si>
    <t>18.7049524326507</t>
  </si>
  <si>
    <t>4.22</t>
  </si>
  <si>
    <t>1.12</t>
  </si>
  <si>
    <t>0.835795328459527</t>
  </si>
  <si>
    <t>4.75</t>
  </si>
  <si>
    <t>3.04205279674488</t>
  </si>
  <si>
    <t>27.792541296998</t>
  </si>
  <si>
    <t>18.5446319263081</t>
  </si>
  <si>
    <t>1.14</t>
  </si>
  <si>
    <t>0.822135712898116</t>
  </si>
  <si>
    <t>2.97119532518253</t>
  </si>
  <si>
    <t>22.51</t>
  </si>
  <si>
    <t>38.9973746964627</t>
  </si>
  <si>
    <t>18.6321557133852</t>
  </si>
  <si>
    <t>0.858614339628644</t>
  </si>
  <si>
    <t>5.35</t>
  </si>
  <si>
    <t>6.06164321112294</t>
  </si>
  <si>
    <t>22.59</t>
  </si>
  <si>
    <t>37.9434987970343</t>
  </si>
  <si>
    <t>18.6531659022711</t>
  </si>
  <si>
    <t>1.27</t>
  </si>
  <si>
    <t>0.826526355530916</t>
  </si>
  <si>
    <t>5.6</t>
  </si>
  <si>
    <t>2.93756535712845</t>
  </si>
  <si>
    <t>40.8787685744826</t>
  </si>
  <si>
    <t>18.7695786681156</t>
  </si>
  <si>
    <t>0.813821643012042</t>
  </si>
  <si>
    <t>5.42</t>
  </si>
  <si>
    <t>-1.09249067208391</t>
  </si>
  <si>
    <t>21.7436502308527</t>
  </si>
  <si>
    <t>17.8285219913886</t>
  </si>
  <si>
    <t>4.61712026162924</t>
  </si>
  <si>
    <t>6.57</t>
  </si>
  <si>
    <t>2.26316969714781</t>
  </si>
  <si>
    <t>23.08</t>
  </si>
  <si>
    <t>28.1077123880191</t>
  </si>
  <si>
    <t>17.9021090802646</t>
  </si>
  <si>
    <t>4.37775606084306</t>
  </si>
  <si>
    <t>6.41</t>
  </si>
  <si>
    <t>2.97336683780065</t>
  </si>
  <si>
    <t>23.35</t>
  </si>
  <si>
    <t>27.0570483469089</t>
  </si>
  <si>
    <t>17.9654072437066</t>
  </si>
  <si>
    <t>3.92789663952181</t>
  </si>
  <si>
    <t>6.38</t>
  </si>
  <si>
    <t>2.47915395437268</t>
  </si>
  <si>
    <t>24.21</t>
  </si>
  <si>
    <t>34.3373597950445</t>
  </si>
  <si>
    <t>17.9536984339216</t>
  </si>
  <si>
    <t>3.53625119961248</t>
  </si>
  <si>
    <t>-0.593546140193101</t>
  </si>
  <si>
    <t>24.14</t>
  </si>
  <si>
    <t>23.6346945733662</t>
  </si>
  <si>
    <t>17.9600961202731</t>
  </si>
  <si>
    <t>3.16666253611941</t>
  </si>
  <si>
    <t>3.19618877619997</t>
  </si>
  <si>
    <t>23.22</t>
  </si>
  <si>
    <t>23.8715206950295</t>
  </si>
  <si>
    <t>18.0489178906616</t>
  </si>
  <si>
    <t>2.91933081512697</t>
  </si>
  <si>
    <t>6.3</t>
  </si>
  <si>
    <t>8.5096442579318</t>
  </si>
  <si>
    <t>21.8</t>
  </si>
  <si>
    <t>23.9168220702671</t>
  </si>
  <si>
    <t>18.0939572574723</t>
  </si>
  <si>
    <t>2.77586678562101</t>
  </si>
  <si>
    <t>6.2</t>
  </si>
  <si>
    <t>1.65571187743818</t>
  </si>
  <si>
    <t>21.77</t>
  </si>
  <si>
    <t>29.6076101648055</t>
  </si>
  <si>
    <t>18.1556115945798</t>
  </si>
  <si>
    <t>2.55560683453144</t>
  </si>
  <si>
    <t>6.11</t>
  </si>
  <si>
    <t>0.16343478748341</t>
  </si>
  <si>
    <t>22.91</t>
  </si>
  <si>
    <t>25.0604103177039</t>
  </si>
  <si>
    <t>18.060007904784</t>
  </si>
  <si>
    <t>2.79357160166238</t>
  </si>
  <si>
    <t>1.99457602230755</t>
  </si>
  <si>
    <t>21.09</t>
  </si>
  <si>
    <t>23.5751136673825</t>
  </si>
  <si>
    <t>18.1361954496893</t>
  </si>
  <si>
    <t>3.11819212669792</t>
  </si>
  <si>
    <t>5.79</t>
  </si>
  <si>
    <t>3.06356388244086</t>
  </si>
  <si>
    <t>21.32</t>
  </si>
  <si>
    <t>28.7009960907264</t>
  </si>
  <si>
    <t>18.2232168423373</t>
  </si>
  <si>
    <t>3.04840543715794</t>
  </si>
  <si>
    <t>2.72210533437335</t>
  </si>
  <si>
    <t>21.65</t>
  </si>
  <si>
    <t>30.3355384342868</t>
  </si>
  <si>
    <t>18.2417867304151</t>
  </si>
  <si>
    <t>3.50697718552256</t>
  </si>
  <si>
    <t>0.603457997858574</t>
  </si>
  <si>
    <t>23.13</t>
  </si>
  <si>
    <t>26.998953278911</t>
  </si>
  <si>
    <t>18.3113966299285</t>
  </si>
  <si>
    <t>3.72909067665027</t>
  </si>
  <si>
    <t>2.07500715593664</t>
  </si>
  <si>
    <t>21.1</t>
  </si>
  <si>
    <t>44.2894135185155</t>
  </si>
  <si>
    <t>18.3744155348991</t>
  </si>
  <si>
    <t>3.8508150619405</t>
  </si>
  <si>
    <t>1.02959813515541</t>
  </si>
  <si>
    <t>22.56</t>
  </si>
  <si>
    <t>47.5617780991067</t>
  </si>
  <si>
    <t>18.4306586387821</t>
  </si>
  <si>
    <t>4.1384309255136</t>
  </si>
  <si>
    <t>5.09</t>
  </si>
  <si>
    <t>-0.664629035143149</t>
  </si>
  <si>
    <t>23.52</t>
  </si>
  <si>
    <t>50.8750425546892</t>
  </si>
  <si>
    <t>18.4278880091078</t>
  </si>
  <si>
    <t>4.28406056773592</t>
  </si>
  <si>
    <t>5.11</t>
  </si>
  <si>
    <t>-1.03582822924559</t>
  </si>
  <si>
    <t>40.3860613594745</t>
  </si>
  <si>
    <t>18.4756804839761</t>
  </si>
  <si>
    <t>4.59063184413588</t>
  </si>
  <si>
    <t>2.91591787948149</t>
  </si>
  <si>
    <t>40.6720590060214</t>
  </si>
  <si>
    <t>18.5061703043997</t>
  </si>
  <si>
    <t>4.09819143274759</t>
  </si>
  <si>
    <t>5.59304068497156</t>
  </si>
  <si>
    <t>42.7100481971422</t>
  </si>
  <si>
    <t>18.4053356885044</t>
  </si>
  <si>
    <t>3.71648592444933</t>
  </si>
  <si>
    <t>0.480796251786382</t>
  </si>
  <si>
    <t>41.5722223699119</t>
  </si>
  <si>
    <t>18.4505440338134</t>
  </si>
  <si>
    <t>2.85434506657051</t>
  </si>
  <si>
    <t>5.2133336168991</t>
  </si>
  <si>
    <t>19.5020752923921</t>
  </si>
  <si>
    <t>17.1543070432513</t>
  </si>
  <si>
    <t>0.883118279694869</t>
  </si>
  <si>
    <t>5.07</t>
  </si>
  <si>
    <t>6.79177925868437</t>
  </si>
  <si>
    <t>23.14</t>
  </si>
  <si>
    <t>13.9651877036436</t>
  </si>
  <si>
    <t>17.1463514245143</t>
  </si>
  <si>
    <t>1.76</t>
  </si>
  <si>
    <t>0.932255045030128</t>
  </si>
  <si>
    <t>4.72863078228459</t>
  </si>
  <si>
    <t>23.02</t>
  </si>
  <si>
    <t>13.9941218601455</t>
  </si>
  <si>
    <t>17.1786323092822</t>
  </si>
  <si>
    <t>2.56</t>
  </si>
  <si>
    <t>1.23208960743701</t>
  </si>
  <si>
    <t>1.79402024578716</t>
  </si>
  <si>
    <t>14.0951683050982</t>
  </si>
  <si>
    <t>17.2043550559532</t>
  </si>
  <si>
    <t>2.59</t>
  </si>
  <si>
    <t>1.04040292309935</t>
  </si>
  <si>
    <t>5.04</t>
  </si>
  <si>
    <t>4.45150074366491</t>
  </si>
  <si>
    <t>21.43</t>
  </si>
  <si>
    <t>14.6644247152325</t>
  </si>
  <si>
    <t>17.2712756040752</t>
  </si>
  <si>
    <t>1.11503388111453</t>
  </si>
  <si>
    <t>7.48462901818859</t>
  </si>
  <si>
    <t>20.68</t>
  </si>
  <si>
    <t>21.7128798647609</t>
  </si>
  <si>
    <t>17.4295242682727</t>
  </si>
  <si>
    <t>2.49</t>
  </si>
  <si>
    <t>1.04252493722402</t>
  </si>
  <si>
    <t>3.99953947936497</t>
  </si>
  <si>
    <t>20.36</t>
  </si>
  <si>
    <t>22.9641290291004</t>
  </si>
  <si>
    <t>17.4807585506428</t>
  </si>
  <si>
    <t>2.2</t>
  </si>
  <si>
    <t>1.03801523072665</t>
  </si>
  <si>
    <t>1.40556523696128</t>
  </si>
  <si>
    <t>20.02</t>
  </si>
  <si>
    <t>17.7391123119064</t>
  </si>
  <si>
    <t>17.4247043364945</t>
  </si>
  <si>
    <t>0.91751844930261</t>
  </si>
  <si>
    <t>9.92946058869068</t>
  </si>
  <si>
    <t>17.96</t>
  </si>
  <si>
    <t>14.3253213251572</t>
  </si>
  <si>
    <t>17.4599195470598</t>
  </si>
  <si>
    <t>1.22764734221805</t>
  </si>
  <si>
    <t>-5.42948781060816</t>
  </si>
  <si>
    <t>13.290921184302</t>
  </si>
  <si>
    <t>17.4023267212619</t>
  </si>
  <si>
    <t>1.42</t>
  </si>
  <si>
    <t>1.31748651129823</t>
  </si>
  <si>
    <t>3.28</t>
  </si>
  <si>
    <t>7.50442483364998</t>
  </si>
  <si>
    <t>13.9421986842776</t>
  </si>
  <si>
    <t>17.4895644545965</t>
  </si>
  <si>
    <t>1.25022654439883</t>
  </si>
  <si>
    <t>0.670420474790099</t>
  </si>
  <si>
    <t>19.99</t>
  </si>
  <si>
    <t>11.5407816257865</t>
  </si>
  <si>
    <t>17.454515158596</t>
  </si>
  <si>
    <t>1.44220778002648</t>
  </si>
  <si>
    <t>2.88703452093658</t>
  </si>
  <si>
    <t>19.93</t>
  </si>
  <si>
    <t>10.2469290473903</t>
  </si>
  <si>
    <t>17.5057152335842</t>
  </si>
  <si>
    <t>2.13</t>
  </si>
  <si>
    <t>1.43442541324333</t>
  </si>
  <si>
    <t>1.81515486721007</t>
  </si>
  <si>
    <t>19.96</t>
  </si>
  <si>
    <t>12.2534978525258</t>
  </si>
  <si>
    <t>17.5209122648242</t>
  </si>
  <si>
    <t>2.03</t>
  </si>
  <si>
    <t>0.98</t>
  </si>
  <si>
    <t>1.50307357009626</t>
  </si>
  <si>
    <t>3.23648001467738</t>
  </si>
  <si>
    <t>24.77</t>
  </si>
  <si>
    <t>12.0577875960435</t>
  </si>
  <si>
    <t>17.5355700479537</t>
  </si>
  <si>
    <t>1.6778838316399</t>
  </si>
  <si>
    <t>4.57725711007818</t>
  </si>
  <si>
    <t>14.4508469798949</t>
  </si>
  <si>
    <t>17.5951802422834</t>
  </si>
  <si>
    <t>1.145343066416</t>
  </si>
  <si>
    <t>4.72452541794127</t>
  </si>
  <si>
    <t>14.5602261091109</t>
  </si>
  <si>
    <t>17.6431920591186</t>
  </si>
  <si>
    <t>1.12077829564514</t>
  </si>
  <si>
    <t>6.54877442241954</t>
  </si>
  <si>
    <t>14.0401140434774</t>
  </si>
  <si>
    <t>17.6821255273742</t>
  </si>
  <si>
    <t>1.12098565519632</t>
  </si>
  <si>
    <t>3.20146352980614</t>
  </si>
  <si>
    <t>22.86</t>
  </si>
  <si>
    <t>14.0293869388457</t>
  </si>
  <si>
    <t>17.7072127878806</t>
  </si>
  <si>
    <t>1.46352129112241</t>
  </si>
  <si>
    <t>3.08187092071231</t>
  </si>
  <si>
    <t>23.66</t>
  </si>
  <si>
    <t>13.7383517143803</t>
  </si>
  <si>
    <t>17.7570811811054</t>
  </si>
  <si>
    <t>1.52733486878427</t>
  </si>
  <si>
    <t>4.41</t>
  </si>
  <si>
    <t>13.8852426458275</t>
  </si>
  <si>
    <t>25.53</t>
  </si>
  <si>
    <t>15.7100112492137</t>
  </si>
  <si>
    <t>16.6939795919945</t>
  </si>
  <si>
    <t>2.83898353873138</t>
  </si>
  <si>
    <t>5.2516829718558</t>
  </si>
  <si>
    <t>24.11</t>
  </si>
  <si>
    <t>26.9733833421663</t>
  </si>
  <si>
    <t>16.7478991695854</t>
  </si>
  <si>
    <t>2.86863871809136</t>
  </si>
  <si>
    <t>3.78756852317669</t>
  </si>
  <si>
    <t>31.9</t>
  </si>
  <si>
    <t>24.5790946227576</t>
  </si>
  <si>
    <t>16.8555384819042</t>
  </si>
  <si>
    <t>2.89933679378156</t>
  </si>
  <si>
    <t>14.7053531836987</t>
  </si>
  <si>
    <t>28.34</t>
  </si>
  <si>
    <t>23.1354512980817</t>
  </si>
  <si>
    <t>16.9645504846698</t>
  </si>
  <si>
    <t>2.86</t>
  </si>
  <si>
    <t>2.87867931964302</t>
  </si>
  <si>
    <t>4.07278311706743</t>
  </si>
  <si>
    <t>28.05</t>
  </si>
  <si>
    <t>16.2935970961796</t>
  </si>
  <si>
    <t>16.950000051938</t>
  </si>
  <si>
    <t>2.87616627581056</t>
  </si>
  <si>
    <t>7.79711486938772</t>
  </si>
  <si>
    <t>17.2880003178316</t>
  </si>
  <si>
    <t>17.0270867653325</t>
  </si>
  <si>
    <t>3.14290528003764</t>
  </si>
  <si>
    <t>4.60342666518322</t>
  </si>
  <si>
    <t>24.4</t>
  </si>
  <si>
    <t>21.5566467946528</t>
  </si>
  <si>
    <t>17.0313483326278</t>
  </si>
  <si>
    <t>0.14</t>
  </si>
  <si>
    <t>7.51</t>
  </si>
  <si>
    <t>4.05489433047474</t>
  </si>
  <si>
    <t>5.30843273007326</t>
  </si>
  <si>
    <t>24.28</t>
  </si>
  <si>
    <t>20.4232773973829</t>
  </si>
  <si>
    <t>17.1138599316428</t>
  </si>
  <si>
    <t>0.31</t>
  </si>
  <si>
    <t>7.66</t>
  </si>
  <si>
    <t>4.30501627961435</t>
  </si>
  <si>
    <t>-2.33417474580126</t>
  </si>
  <si>
    <t>19.3101920217457</t>
  </si>
  <si>
    <t>17.0964690658667</t>
  </si>
  <si>
    <t>0.34</t>
  </si>
  <si>
    <t>8.34</t>
  </si>
  <si>
    <t>6.50504279773248</t>
  </si>
  <si>
    <t>1.47579044171198</t>
  </si>
  <si>
    <t>23.21</t>
  </si>
  <si>
    <t>24.3506082199202</t>
  </si>
  <si>
    <t>17.0806414888365</t>
  </si>
  <si>
    <t>0.24</t>
  </si>
  <si>
    <t>8.33</t>
  </si>
  <si>
    <t>6.70337315496518</t>
  </si>
  <si>
    <t>2.55</t>
  </si>
  <si>
    <t>3.80484123214218</t>
  </si>
  <si>
    <t>22.6</t>
  </si>
  <si>
    <t>28.0871488682194</t>
  </si>
  <si>
    <t>17.1453943774186</t>
  </si>
  <si>
    <t>0.2</t>
  </si>
  <si>
    <t>7.24</t>
  </si>
  <si>
    <t>5.95039664743538</t>
  </si>
  <si>
    <t>-2.16667027210376</t>
  </si>
  <si>
    <t>24.33</t>
  </si>
  <si>
    <t>20.2665439536097</t>
  </si>
  <si>
    <t>17.1482682008477</t>
  </si>
  <si>
    <t>5.1629817749229</t>
  </si>
  <si>
    <t>-5.14746253501577</t>
  </si>
  <si>
    <t>24.1</t>
  </si>
  <si>
    <t>22.7745794043738</t>
  </si>
  <si>
    <t>17.0307333988033</t>
  </si>
  <si>
    <t>0.47</t>
  </si>
  <si>
    <t>5.57643269142045</t>
  </si>
  <si>
    <t>-0.644251261074801</t>
  </si>
  <si>
    <t>24.9</t>
  </si>
  <si>
    <t>23.6176331295122</t>
  </si>
  <si>
    <t>17.050396612384</t>
  </si>
  <si>
    <t>0.33</t>
  </si>
  <si>
    <t>5.8969548459208</t>
  </si>
  <si>
    <t>3.48</t>
  </si>
  <si>
    <t>-22.0401817558155</t>
  </si>
  <si>
    <t>17.47</t>
  </si>
  <si>
    <t>28.7591390952102</t>
  </si>
  <si>
    <t>16.837620949675</t>
  </si>
  <si>
    <t>-10.36</t>
  </si>
  <si>
    <t>7.73561474927333</t>
  </si>
  <si>
    <t>-18.9408716571558</t>
  </si>
  <si>
    <t>32.2709013588634</t>
  </si>
  <si>
    <t>16.6408413277667</t>
  </si>
  <si>
    <t>-14.75</t>
  </si>
  <si>
    <t>16.1556613627442</t>
  </si>
  <si>
    <t>3.87</t>
  </si>
  <si>
    <t>-17.9286127966588</t>
  </si>
  <si>
    <t>25.87</t>
  </si>
  <si>
    <t>30.2794747055832</t>
  </si>
  <si>
    <t>16.3952186975897</t>
  </si>
  <si>
    <t>15.790582983411</t>
  </si>
  <si>
    <t>-2.72610333768407</t>
  </si>
  <si>
    <t>25.14</t>
  </si>
  <si>
    <t>38.63497812102</t>
  </si>
  <si>
    <t>16.4897058269937</t>
  </si>
  <si>
    <t>15.9995429136728</t>
  </si>
  <si>
    <t>-9.63578118384064</t>
  </si>
  <si>
    <t>27.33</t>
  </si>
  <si>
    <t>37.8848024934544</t>
  </si>
  <si>
    <t>16.3793083295283</t>
  </si>
  <si>
    <t>17.3345823765495</t>
  </si>
  <si>
    <t>-7.25741873158826</t>
  </si>
  <si>
    <t>43.74</t>
  </si>
  <si>
    <t>45.3334628411497</t>
  </si>
  <si>
    <t>16.4473112647209</t>
  </si>
  <si>
    <t>0.85</t>
  </si>
  <si>
    <t>17.015586139908</t>
  </si>
  <si>
    <t>-8.57389676204384</t>
  </si>
  <si>
    <t>22.4</t>
  </si>
  <si>
    <t>21.7732665881718</t>
  </si>
  <si>
    <t>16.9261142993384</t>
  </si>
  <si>
    <t>-0.84</t>
  </si>
  <si>
    <t>3.58586263977695</t>
  </si>
  <si>
    <t>-2.71320033564175</t>
  </si>
  <si>
    <t>21.55</t>
  </si>
  <si>
    <t>26.7191431375985</t>
  </si>
  <si>
    <t>16.8395224178537</t>
  </si>
  <si>
    <t>-0.85</t>
  </si>
  <si>
    <t>2.69</t>
  </si>
  <si>
    <t>3.66623932922588</t>
  </si>
  <si>
    <t>-2.45233265866456</t>
  </si>
  <si>
    <t>21.5</t>
  </si>
  <si>
    <t>27.181817070004</t>
  </si>
  <si>
    <t>16.8645817771339</t>
  </si>
  <si>
    <t>-0.97</t>
  </si>
  <si>
    <t>3.69911134758168</t>
  </si>
  <si>
    <t>1.57</t>
  </si>
  <si>
    <t>-7.78564828769215</t>
  </si>
  <si>
    <t>26.5</t>
  </si>
  <si>
    <t>33.3727031571257</t>
  </si>
  <si>
    <t>16.8352974845581</t>
  </si>
  <si>
    <t>0.12</t>
  </si>
  <si>
    <t>1.54771239686129</t>
  </si>
  <si>
    <t>-5.51404519094862</t>
  </si>
  <si>
    <t>27.55</t>
  </si>
  <si>
    <t>30.1140701453036</t>
  </si>
  <si>
    <t>16.7486029867534</t>
  </si>
  <si>
    <t>-1.02</t>
  </si>
  <si>
    <t>1.9192946812798</t>
  </si>
  <si>
    <t>2.17</t>
  </si>
  <si>
    <t>20.8670655794865</t>
  </si>
  <si>
    <t>21.88</t>
  </si>
  <si>
    <t>29.1722022561358</t>
  </si>
  <si>
    <t>16.8703961597482</t>
  </si>
  <si>
    <t>-0.52</t>
  </si>
  <si>
    <t>4.68</t>
  </si>
  <si>
    <t>1.56218938013436</t>
  </si>
  <si>
    <t>1.50338551506418</t>
  </si>
  <si>
    <t>22.28</t>
  </si>
  <si>
    <t>29.5952213138482</t>
  </si>
  <si>
    <t>16.8891836240227</t>
  </si>
  <si>
    <t>-0.22</t>
  </si>
  <si>
    <t>1.52765562106863</t>
  </si>
  <si>
    <t>8.03911786340598</t>
  </si>
  <si>
    <t>21.08</t>
  </si>
  <si>
    <t>28.03474187601</t>
  </si>
  <si>
    <t>16.9519514995203</t>
  </si>
  <si>
    <t>0.02</t>
  </si>
  <si>
    <t>5.63</t>
  </si>
  <si>
    <t>1.23659081201988</t>
  </si>
  <si>
    <t>1.27953693911408</t>
  </si>
  <si>
    <t>19.9915364674008</t>
  </si>
  <si>
    <t>16.8753638748991</t>
  </si>
  <si>
    <t>-0.34</t>
  </si>
  <si>
    <t>8.41</t>
  </si>
  <si>
    <t>4.92552392006206</t>
  </si>
  <si>
    <t>-7.62243658405258</t>
  </si>
  <si>
    <t>18.49</t>
  </si>
  <si>
    <t>15.8101497934246</t>
  </si>
  <si>
    <t>16.8786271432998</t>
  </si>
  <si>
    <t>-4.83</t>
  </si>
  <si>
    <t>9.56</t>
  </si>
  <si>
    <t>6.66064675735074</t>
  </si>
  <si>
    <t>1.7</t>
  </si>
  <si>
    <t>-3.67320716881433</t>
  </si>
  <si>
    <t>18.25</t>
  </si>
  <si>
    <t>13.1735411110323</t>
  </si>
  <si>
    <t>16.8586940520836</t>
  </si>
  <si>
    <t>-3.82</t>
  </si>
  <si>
    <t>4.22563875443369</t>
  </si>
  <si>
    <t>-5.82832645615762</t>
  </si>
  <si>
    <t>19.301245511731</t>
  </si>
  <si>
    <t>16.7222859268528</t>
  </si>
  <si>
    <t>-1.24</t>
  </si>
  <si>
    <t>5.50958915367721</t>
  </si>
  <si>
    <t>-4.90069529645492</t>
  </si>
  <si>
    <t>23.69</t>
  </si>
  <si>
    <t>21.3329147211214</t>
  </si>
  <si>
    <t>16.7299624916272</t>
  </si>
  <si>
    <t>-2.89</t>
  </si>
  <si>
    <t>4.05218468979494</t>
  </si>
  <si>
    <t>0.948410105757207</t>
  </si>
  <si>
    <t>21.61</t>
  </si>
  <si>
    <t>18.1565198351265</t>
  </si>
  <si>
    <t>16.650246624443</t>
  </si>
  <si>
    <t>-6.13</t>
  </si>
  <si>
    <t>7.56</t>
  </si>
  <si>
    <t>7.36276074395106</t>
  </si>
  <si>
    <t>-5.31565577041997</t>
  </si>
  <si>
    <t>20.59</t>
  </si>
  <si>
    <t>20.0814015044229</t>
  </si>
  <si>
    <t>16.6399666691428</t>
  </si>
  <si>
    <t>-4.11</t>
  </si>
  <si>
    <t>7.77</t>
  </si>
  <si>
    <t>7.60204729798238</t>
  </si>
  <si>
    <t>-9.96678957699957</t>
  </si>
  <si>
    <t>29.92</t>
  </si>
  <si>
    <t>20.4624154741001</t>
  </si>
  <si>
    <t>16.6891614650094</t>
  </si>
  <si>
    <t>-8.5</t>
  </si>
  <si>
    <t>0.08</t>
  </si>
  <si>
    <t>3.29114559636675</t>
  </si>
  <si>
    <t>3.47092253524013</t>
  </si>
  <si>
    <t>21.0743672623459</t>
  </si>
  <si>
    <t>16.6769065436239</t>
  </si>
  <si>
    <t>3.04426481104838</t>
  </si>
  <si>
    <t>-2.9103898111598</t>
  </si>
  <si>
    <t>16.958003339493</t>
  </si>
  <si>
    <t>16.5751794904937</t>
  </si>
  <si>
    <t>4.5298243921138</t>
  </si>
  <si>
    <t>-3.49026781276231</t>
  </si>
  <si>
    <t>19.2660085648387</t>
  </si>
  <si>
    <t>16.5860874453207</t>
  </si>
  <si>
    <t>-2.8</t>
  </si>
  <si>
    <t>9.1392940454779</t>
  </si>
  <si>
    <t>2.1225013425559</t>
  </si>
  <si>
    <t>38.59</t>
  </si>
  <si>
    <t>57.7986463790013</t>
  </si>
  <si>
    <t>16.6319419279543</t>
  </si>
  <si>
    <t>-2.42</t>
  </si>
  <si>
    <t>4.20323423633212</t>
  </si>
  <si>
    <t>3.25086076459457</t>
  </si>
  <si>
    <t>15.58</t>
  </si>
  <si>
    <t>19.3094743136542</t>
  </si>
  <si>
    <t>16.5873105317237</t>
  </si>
  <si>
    <t>0.46</t>
  </si>
  <si>
    <t>3.1</t>
  </si>
  <si>
    <t>1.07270481405204</t>
  </si>
  <si>
    <t>4.17670396489326</t>
  </si>
  <si>
    <t>15.73</t>
  </si>
  <si>
    <t>20.1972383883697</t>
  </si>
  <si>
    <t>16.5633861611534</t>
  </si>
  <si>
    <t>0.66</t>
  </si>
  <si>
    <t>1.11211917288746</t>
  </si>
  <si>
    <t>1.62811274834812</t>
  </si>
  <si>
    <t>15.94</t>
  </si>
  <si>
    <t>19.6129185431606</t>
  </si>
  <si>
    <t>16.5623125802558</t>
  </si>
  <si>
    <t>3.21</t>
  </si>
  <si>
    <t>1.11424549775761</t>
  </si>
  <si>
    <t>4.51563411066846</t>
  </si>
  <si>
    <t>15.69</t>
  </si>
  <si>
    <t>18.0874817687694</t>
  </si>
  <si>
    <t>16.5876288570724</t>
  </si>
  <si>
    <t>0.86</t>
  </si>
  <si>
    <t>2.54</t>
  </si>
  <si>
    <t>1.08335856999959</t>
  </si>
  <si>
    <t>-1.95727445389672</t>
  </si>
  <si>
    <t>15.17</t>
  </si>
  <si>
    <t>17.534087312235</t>
  </si>
  <si>
    <t>16.5601931896069</t>
  </si>
  <si>
    <t>0.4</t>
  </si>
  <si>
    <t>1.18604881984103</t>
  </si>
  <si>
    <t>7.28574738692204</t>
  </si>
  <si>
    <t>17.48</t>
  </si>
  <si>
    <t>16.4701361754631</t>
  </si>
  <si>
    <t>16.5994185375111</t>
  </si>
  <si>
    <t>0.39</t>
  </si>
  <si>
    <t>2.6</t>
  </si>
  <si>
    <t>1.11639374810283</t>
  </si>
  <si>
    <t>7.5678438961564</t>
  </si>
  <si>
    <t>16.77</t>
  </si>
  <si>
    <t>17.8593176400034</t>
  </si>
  <si>
    <t>16.7113499521683</t>
  </si>
  <si>
    <t>1.03906742632998</t>
  </si>
  <si>
    <t>6.03934173700867</t>
  </si>
  <si>
    <t>17.38</t>
  </si>
  <si>
    <t>16.2313130673721</t>
  </si>
  <si>
    <t>16.7543382442851</t>
  </si>
  <si>
    <t>0.71</t>
  </si>
  <si>
    <t>1.00652946383756</t>
  </si>
  <si>
    <t>3.83</t>
  </si>
  <si>
    <t>7.31562173212919</t>
  </si>
  <si>
    <t>16.39</t>
  </si>
  <si>
    <t>15.6322059169803</t>
  </si>
  <si>
    <t>16.8160478688142</t>
  </si>
  <si>
    <t>0.92</t>
  </si>
  <si>
    <t>1.13319169585808</t>
  </si>
  <si>
    <t>-4.46718823343436</t>
  </si>
  <si>
    <t>14.3893116508747</t>
  </si>
  <si>
    <t>16.7641899548905</t>
  </si>
  <si>
    <t>0.42</t>
  </si>
  <si>
    <t>1.19023470794707</t>
  </si>
  <si>
    <t>5.6615382882867</t>
  </si>
  <si>
    <t>34.46</t>
  </si>
  <si>
    <t>29.5906359380859</t>
  </si>
  <si>
    <t>17.0424937094655</t>
  </si>
  <si>
    <t>0.32</t>
  </si>
  <si>
    <t>1.32000164665479</t>
  </si>
  <si>
    <t>2.84</t>
  </si>
  <si>
    <t>-1.8862790357797</t>
  </si>
  <si>
    <t>35.28</t>
  </si>
  <si>
    <t>15.8088266907987</t>
  </si>
  <si>
    <t>17.0437651840571</t>
  </si>
  <si>
    <t>0.29</t>
  </si>
  <si>
    <t>1.17644814364182</t>
  </si>
  <si>
    <t>-3.12527305675079</t>
  </si>
  <si>
    <t>35.24</t>
  </si>
  <si>
    <t>14.8283059346029</t>
  </si>
  <si>
    <t>17.0417706915919</t>
  </si>
  <si>
    <t>0.6</t>
  </si>
  <si>
    <t>1.39757793898936</t>
  </si>
  <si>
    <t>0.529310296615185</t>
  </si>
  <si>
    <t>35.54</t>
  </si>
  <si>
    <t>19.7831132961996</t>
  </si>
  <si>
    <t>17.068370137796</t>
  </si>
  <si>
    <t>0.58</t>
  </si>
  <si>
    <t>100</t>
  </si>
  <si>
    <t>-2.78443335229792</t>
  </si>
  <si>
    <t>36.64</t>
  </si>
  <si>
    <t>18.3460014929066</t>
  </si>
  <si>
    <t>17.0779882156196</t>
  </si>
  <si>
    <t>1.86806250553967</t>
  </si>
  <si>
    <t>-1.23495540584226</t>
  </si>
  <si>
    <t>37.96</t>
  </si>
  <si>
    <t>16.2451934654494</t>
  </si>
  <si>
    <t>17.0810618554742</t>
  </si>
  <si>
    <t>0.41</t>
  </si>
  <si>
    <t>2.1198587375586</t>
  </si>
  <si>
    <t>-6.44209474957748</t>
  </si>
  <si>
    <t>38.24</t>
  </si>
  <si>
    <t>17.1028141074783</t>
  </si>
  <si>
    <t>17.1000507449732</t>
  </si>
  <si>
    <t>2.43854000821859</t>
  </si>
  <si>
    <t>9.72931799247444</t>
  </si>
  <si>
    <t>34.93</t>
  </si>
  <si>
    <t>16.1159686171185</t>
  </si>
  <si>
    <t>17.0556880428802</t>
  </si>
  <si>
    <t>2.5081550579182</t>
  </si>
  <si>
    <t>3</t>
  </si>
  <si>
    <t>6.65392043243555</t>
  </si>
  <si>
    <t>34.21</t>
  </si>
  <si>
    <t>11.7813572394583</t>
  </si>
  <si>
    <t>17.0058741447516</t>
  </si>
  <si>
    <t>4.07</t>
  </si>
  <si>
    <t>2.74616888555022</t>
  </si>
  <si>
    <t>10.6592618336975</t>
  </si>
  <si>
    <t>32.73</t>
  </si>
  <si>
    <t>12.906566223419</t>
  </si>
  <si>
    <t>17.0353040816181</t>
  </si>
  <si>
    <t>2.72510477288546</t>
  </si>
  <si>
    <t>14.6497202316056</t>
  </si>
  <si>
    <t>25.61</t>
  </si>
  <si>
    <t>29.0642427146836</t>
  </si>
  <si>
    <t>16.1677015775412</t>
  </si>
  <si>
    <t>0.64</t>
  </si>
  <si>
    <t>0</t>
  </si>
  <si>
    <t>0.484078688171203</t>
  </si>
  <si>
    <t>6.69671034563614</t>
  </si>
  <si>
    <t>24.57</t>
  </si>
  <si>
    <t>27.3274465263553</t>
  </si>
  <si>
    <t>16.122287154322</t>
  </si>
  <si>
    <t>0.72</t>
  </si>
  <si>
    <t>0.760028994262361</t>
  </si>
  <si>
    <t>3.65527400882472</t>
  </si>
  <si>
    <t>24.13</t>
  </si>
  <si>
    <t>20.1937666695846</t>
  </si>
  <si>
    <t>16.1579943073331</t>
  </si>
  <si>
    <t>0.777227947225948</t>
  </si>
  <si>
    <t>5.66813286354365</t>
  </si>
  <si>
    <t>23.27</t>
  </si>
  <si>
    <t>29.8786898164411</t>
  </si>
  <si>
    <t>16.2830998745527</t>
  </si>
  <si>
    <t>0.985377981447128</t>
  </si>
  <si>
    <t>4.62</t>
  </si>
  <si>
    <t>2.05834240220469</t>
  </si>
  <si>
    <t>22.32</t>
  </si>
  <si>
    <t>29.19046717088</t>
  </si>
  <si>
    <t>16.2995640939542</t>
  </si>
  <si>
    <t>0.56</t>
  </si>
  <si>
    <t>0.960821597547129</t>
  </si>
  <si>
    <t>1.84994701334982</t>
  </si>
  <si>
    <t>22.24</t>
  </si>
  <si>
    <t>28.5288404703237</t>
  </si>
  <si>
    <t>16.3074365974256</t>
  </si>
  <si>
    <t>0.62</t>
  </si>
  <si>
    <t>0.948966603279811</t>
  </si>
  <si>
    <t>4.05</t>
  </si>
  <si>
    <t>0.117930400791491</t>
  </si>
  <si>
    <t>21.94</t>
  </si>
  <si>
    <t>31.0316334202029</t>
  </si>
  <si>
    <t>16.3069813664455</t>
  </si>
  <si>
    <t>0.49</t>
  </si>
  <si>
    <t>0.953541763230597</t>
  </si>
  <si>
    <t>4.76227996078899</t>
  </si>
  <si>
    <t>21.56</t>
  </si>
  <si>
    <t>11.1218533283468</t>
  </si>
  <si>
    <t>16.3917424126259</t>
  </si>
  <si>
    <t>0.52</t>
  </si>
  <si>
    <t>0.46422949682234</t>
  </si>
  <si>
    <t>-5.65854103982869</t>
  </si>
  <si>
    <t>22.89</t>
  </si>
  <si>
    <t>20.775493557458</t>
  </si>
  <si>
    <t>16.3658401033405</t>
  </si>
  <si>
    <t>0.41882528504006</t>
  </si>
  <si>
    <t>-5.76931384773388</t>
  </si>
  <si>
    <t>25.16</t>
  </si>
  <si>
    <t>26.7180178912238</t>
  </si>
  <si>
    <t>16.3551982794339</t>
  </si>
  <si>
    <t>0.7</t>
  </si>
  <si>
    <t>2.45</t>
  </si>
  <si>
    <t>0.312397447569959</t>
  </si>
  <si>
    <t>7.3484059443268</t>
  </si>
  <si>
    <t>23.23</t>
  </si>
  <si>
    <t>15.0126686436812</t>
  </si>
  <si>
    <t>16.3230263506131</t>
  </si>
  <si>
    <t>0.361120450826728</t>
  </si>
  <si>
    <t>9.02262513698318</t>
  </si>
  <si>
    <t>22.02</t>
  </si>
  <si>
    <t>7.86438484855146</t>
  </si>
  <si>
    <t>16.4356714695517</t>
  </si>
  <si>
    <t>0.21</t>
  </si>
  <si>
    <t>0.419636280223828</t>
  </si>
  <si>
    <t>3.7043573357801</t>
  </si>
  <si>
    <t>11.2099162727117</t>
  </si>
  <si>
    <t>16.4873785396787</t>
  </si>
  <si>
    <t>0.45</t>
  </si>
  <si>
    <t>0.428375401768254</t>
  </si>
  <si>
    <t>13.3623243827654</t>
  </si>
  <si>
    <t>25.1836417372499</t>
  </si>
  <si>
    <t>16.567140100609</t>
  </si>
  <si>
    <t>0.415428187604072</t>
  </si>
  <si>
    <t>4.45194052369143</t>
  </si>
  <si>
    <t>19.72</t>
  </si>
  <si>
    <t>14.5554826187575</t>
  </si>
  <si>
    <t>16.610143694288</t>
  </si>
  <si>
    <t>0.576554165538893</t>
  </si>
  <si>
    <t>7.56566055536572</t>
  </si>
  <si>
    <t>20.91</t>
  </si>
  <si>
    <t>16.5621950876752</t>
  </si>
  <si>
    <t>16.8477021875549</t>
  </si>
  <si>
    <t>0.596865764262839</t>
  </si>
  <si>
    <t>4.8489470488904</t>
  </si>
  <si>
    <t>19.67</t>
  </si>
  <si>
    <t>22.2231546470428</t>
  </si>
  <si>
    <t>16.8380700909573</t>
  </si>
  <si>
    <t>0.23</t>
  </si>
  <si>
    <t>0.673424008385796</t>
  </si>
  <si>
    <t>8.11934674148356</t>
  </si>
  <si>
    <t>18.85</t>
  </si>
  <si>
    <t>23.7534395340001</t>
  </si>
  <si>
    <t>16.8804486936544</t>
  </si>
  <si>
    <t>0.27</t>
  </si>
  <si>
    <t>0.614617402577321</t>
  </si>
  <si>
    <t>7.96791025588006</t>
  </si>
  <si>
    <t>17.7</t>
  </si>
  <si>
    <t>17.21230305036</t>
  </si>
  <si>
    <t>16.8722276237597</t>
  </si>
  <si>
    <t>0.590142858153964</t>
  </si>
  <si>
    <t>3.32864952768504</t>
  </si>
  <si>
    <t>18.2337686037571</t>
  </si>
  <si>
    <t>16.9118284354077</t>
  </si>
  <si>
    <t>0.640926769116313</t>
  </si>
  <si>
    <t>3.01075411269462</t>
  </si>
  <si>
    <t>24.92</t>
  </si>
  <si>
    <t>22.7689257754281</t>
  </si>
  <si>
    <t>15.783427765516</t>
  </si>
  <si>
    <t>1.02301642266416</t>
  </si>
  <si>
    <t>1.80619940192754</t>
  </si>
  <si>
    <t>24.4779849009808</t>
  </si>
  <si>
    <t>15.8164825913433</t>
  </si>
  <si>
    <t>1.01366729647595</t>
  </si>
  <si>
    <t>-0.430858605360551</t>
  </si>
  <si>
    <t>21.4737660410382</t>
  </si>
  <si>
    <t>15.7785960765708</t>
  </si>
  <si>
    <t>0.986842800841256</t>
  </si>
  <si>
    <t>0.791309676510777</t>
  </si>
  <si>
    <t>25.52</t>
  </si>
  <si>
    <t>22.176089317737</t>
  </si>
  <si>
    <t>15.8030114117207</t>
  </si>
  <si>
    <t>0.937492657153695</t>
  </si>
  <si>
    <t>-0.998123588075553</t>
  </si>
  <si>
    <t>25.63</t>
  </si>
  <si>
    <t>27.0208680146394</t>
  </si>
  <si>
    <t>15.8565584044172</t>
  </si>
  <si>
    <t>1.11145063920756</t>
  </si>
  <si>
    <t>3.84</t>
  </si>
  <si>
    <t>-0.619393901378437</t>
  </si>
  <si>
    <t>25.54</t>
  </si>
  <si>
    <t>24.440494331974</t>
  </si>
  <si>
    <t>15.8142595350259</t>
  </si>
  <si>
    <t>1.15579992831158</t>
  </si>
  <si>
    <t>5.04364955064664</t>
  </si>
  <si>
    <t>24.51</t>
  </si>
  <si>
    <t>18.6683530747713</t>
  </si>
  <si>
    <t>15.7824721340726</t>
  </si>
  <si>
    <t>1.02432406811397</t>
  </si>
  <si>
    <t>4.85992148628385</t>
  </si>
  <si>
    <t>23.55</t>
  </si>
  <si>
    <t>4.36165998085612</t>
  </si>
  <si>
    <t>15.8446654037294</t>
  </si>
  <si>
    <t>1.53</t>
  </si>
  <si>
    <t>0.882322309176361</t>
  </si>
  <si>
    <t>1.02094862134477</t>
  </si>
  <si>
    <t>23.41</t>
  </si>
  <si>
    <t>21.1003790978844</t>
  </si>
  <si>
    <t>15.8846168747287</t>
  </si>
  <si>
    <t>1.42048606619813</t>
  </si>
  <si>
    <t>-5.79268649065571</t>
  </si>
  <si>
    <t>24.31</t>
  </si>
  <si>
    <t>21.2399368384926</t>
  </si>
  <si>
    <t>15.8549535940887</t>
  </si>
  <si>
    <t>1.29418661559134</t>
  </si>
  <si>
    <t>-5.12263894951688</t>
  </si>
  <si>
    <t>25.1863921774963</t>
  </si>
  <si>
    <t>15.9003445342992</t>
  </si>
  <si>
    <t>0.67</t>
  </si>
  <si>
    <t>1.31672434589355</t>
  </si>
  <si>
    <t>-1.89119400930729</t>
  </si>
  <si>
    <t>25.8</t>
  </si>
  <si>
    <t>11.3463880894369</t>
  </si>
  <si>
    <t>15.8485838939141</t>
  </si>
  <si>
    <t>1.4430438555527</t>
  </si>
  <si>
    <t>-2.68353492096202</t>
  </si>
  <si>
    <t>26.45</t>
  </si>
  <si>
    <t>9.67241492942527</t>
  </si>
  <si>
    <t>15.8438770709086</t>
  </si>
  <si>
    <t>1.28650952441902</t>
  </si>
  <si>
    <t>-1.97058803715904</t>
  </si>
  <si>
    <t>28.45</t>
  </si>
  <si>
    <t>11.9809228427079</t>
  </si>
  <si>
    <t>15.8365265892586</t>
  </si>
  <si>
    <t>1.53241275866824</t>
  </si>
  <si>
    <t>4.38</t>
  </si>
  <si>
    <t>-2.29671788147796</t>
  </si>
  <si>
    <t>28.92</t>
  </si>
  <si>
    <t>10.0959720583908</t>
  </si>
  <si>
    <t>15.7967456547102</t>
  </si>
  <si>
    <t>0.87</t>
  </si>
  <si>
    <t>1.89854335130015</t>
  </si>
  <si>
    <t>-6.90474459999015</t>
  </si>
  <si>
    <t>41.73</t>
  </si>
  <si>
    <t>17.3234580961276</t>
  </si>
  <si>
    <t>15.9749785764167</t>
  </si>
  <si>
    <t>1.91842174453078</t>
  </si>
  <si>
    <t>2.90206116505539</t>
  </si>
  <si>
    <t>16.0091705811882</t>
  </si>
  <si>
    <t>15.9637798074923</t>
  </si>
  <si>
    <t>2.17090169892398</t>
  </si>
  <si>
    <t>-0.702692463383487</t>
  </si>
  <si>
    <t>42</t>
  </si>
  <si>
    <t>25.0536060177511</t>
  </si>
  <si>
    <t>15.9892910124668</t>
  </si>
  <si>
    <t>2.50849952406609</t>
  </si>
  <si>
    <t>-1.93996676596129</t>
  </si>
  <si>
    <t>16.7286342314748</t>
  </si>
  <si>
    <t>15.924877582223</t>
  </si>
  <si>
    <t>2.61083362489494</t>
  </si>
  <si>
    <t>-3.34167300059117</t>
  </si>
  <si>
    <t>59.27</t>
  </si>
  <si>
    <t>14.7864915776957</t>
  </si>
  <si>
    <t>15.9210208381095</t>
  </si>
  <si>
    <t>2.95889484804161</t>
  </si>
  <si>
    <t>0.763764613441032</t>
  </si>
  <si>
    <t>15.97</t>
  </si>
  <si>
    <t>161.024670321788</t>
  </si>
  <si>
    <t>15.2021363641502</t>
  </si>
  <si>
    <t>-0.47</t>
  </si>
  <si>
    <t>0.996385397794037</t>
  </si>
  <si>
    <t>5.59742882131059</t>
  </si>
  <si>
    <t>15.77</t>
  </si>
  <si>
    <t>167.299113352498</t>
  </si>
  <si>
    <t>15.2519584391757</t>
  </si>
  <si>
    <t>-0.6</t>
  </si>
  <si>
    <t>1.36879434786305</t>
  </si>
  <si>
    <t>-3.26165861642966</t>
  </si>
  <si>
    <t>14.4</t>
  </si>
  <si>
    <t>223.941076650354</t>
  </si>
  <si>
    <t>15.191769734631</t>
  </si>
  <si>
    <t>-0.31</t>
  </si>
  <si>
    <t>1.54461096715456</t>
  </si>
  <si>
    <t>4.43577981651376</t>
  </si>
  <si>
    <t>15.5</t>
  </si>
  <si>
    <t>184.655942412117</t>
  </si>
  <si>
    <t>15.2388962031502</t>
  </si>
  <si>
    <t>-0.77</t>
  </si>
  <si>
    <t>6.44</t>
  </si>
  <si>
    <t>2.02258055971597</t>
  </si>
  <si>
    <t>2.55901386666184</t>
  </si>
  <si>
    <t>35.81</t>
  </si>
  <si>
    <t>159.53768848034</t>
  </si>
  <si>
    <t>15.3725162118478</t>
  </si>
  <si>
    <t>-0.83</t>
  </si>
  <si>
    <t>1.94112133553071</t>
  </si>
  <si>
    <t>6.86887239076513</t>
  </si>
  <si>
    <t>32.98</t>
  </si>
  <si>
    <t>137.958681500873</t>
  </si>
  <si>
    <t>15.383355762288</t>
  </si>
  <si>
    <t>-1.9</t>
  </si>
  <si>
    <t>6.66</t>
  </si>
  <si>
    <t>2.79919508189901</t>
  </si>
  <si>
    <t>20.9980164605629</t>
  </si>
  <si>
    <t>99.7856693560506</t>
  </si>
  <si>
    <t>15.8330354716721</t>
  </si>
  <si>
    <t>-0.62</t>
  </si>
  <si>
    <t>6.14</t>
  </si>
  <si>
    <t>2.16605074344381</t>
  </si>
  <si>
    <t>5.09335680221191</t>
  </si>
  <si>
    <t>90.0668406146272</t>
  </si>
  <si>
    <t>15.6752158618386</t>
  </si>
  <si>
    <t>-3.87</t>
  </si>
  <si>
    <t>11.68</t>
  </si>
  <si>
    <t>6.87936081093792</t>
  </si>
  <si>
    <t>3.33886888536211</t>
  </si>
  <si>
    <t>23.09</t>
  </si>
  <si>
    <t>78.946866693551</t>
  </si>
  <si>
    <t>15.7102335724104</t>
  </si>
  <si>
    <t>-10.53</t>
  </si>
  <si>
    <t>11.34</t>
  </si>
  <si>
    <t>7.00761438100213</t>
  </si>
  <si>
    <t>8.59842125210334</t>
  </si>
  <si>
    <t>50.8043762002972</t>
  </si>
  <si>
    <t>15.7598328756537</t>
  </si>
  <si>
    <t>-1.42</t>
  </si>
  <si>
    <t>10.43</t>
  </si>
  <si>
    <t>6.30818713174499</t>
  </si>
  <si>
    <t>6.22460559762619</t>
  </si>
  <si>
    <t>35.27</t>
  </si>
  <si>
    <t>50.9321514282396</t>
  </si>
  <si>
    <t>15.9266206892813</t>
  </si>
  <si>
    <t>-1.89</t>
  </si>
  <si>
    <t>9.58</t>
  </si>
  <si>
    <t>5.88856972303068</t>
  </si>
  <si>
    <t>3.04027342159209</t>
  </si>
  <si>
    <t>30.49</t>
  </si>
  <si>
    <t>49.2105213752539</t>
  </si>
  <si>
    <t>16.1033915739369</t>
  </si>
  <si>
    <t>-1.75</t>
  </si>
  <si>
    <t>5.30308668427233</t>
  </si>
  <si>
    <t>0.52407670137401</t>
  </si>
  <si>
    <t>29.43</t>
  </si>
  <si>
    <t>50.2302591432036</t>
  </si>
  <si>
    <t>16.2092911041469</t>
  </si>
  <si>
    <t>2.4930392264019</t>
  </si>
  <si>
    <t>2.71</t>
  </si>
  <si>
    <t>4.32161219134368</t>
  </si>
  <si>
    <t>27.8</t>
  </si>
  <si>
    <t>77.1874821351739</t>
  </si>
  <si>
    <t>16.2693130328706</t>
  </si>
  <si>
    <t>-0.27</t>
  </si>
  <si>
    <t>5.85</t>
  </si>
  <si>
    <t>5.49604389275126</t>
  </si>
  <si>
    <t>5.50252441588449</t>
  </si>
  <si>
    <t>26.79</t>
  </si>
  <si>
    <t>60.7680238135517</t>
  </si>
  <si>
    <t>16.3592261429913</t>
  </si>
  <si>
    <t>-0.02</t>
  </si>
  <si>
    <t>4.04314710613423</t>
  </si>
  <si>
    <t>7.56345347494547</t>
  </si>
  <si>
    <t>39.67</t>
  </si>
  <si>
    <t>71.2300490448949</t>
  </si>
  <si>
    <t>16.4748542913944</t>
  </si>
  <si>
    <t>3.25822373049609</t>
  </si>
  <si>
    <t>5.53386054164557</t>
  </si>
  <si>
    <t>37.31</t>
  </si>
  <si>
    <t>54.4332452932209</t>
  </si>
  <si>
    <t>16.502799256196</t>
  </si>
  <si>
    <t>3.17741333600721</t>
  </si>
  <si>
    <t>2.67</t>
  </si>
  <si>
    <t>6.82943404688438</t>
  </si>
  <si>
    <t>34.78</t>
  </si>
  <si>
    <t>51.5105464608885</t>
  </si>
  <si>
    <t>16.5694735813059</t>
  </si>
  <si>
    <t>3.15250390548707</t>
  </si>
  <si>
    <t>5.48905222857266</t>
  </si>
  <si>
    <t>33.59</t>
  </si>
  <si>
    <t>44.8310573098062</t>
  </si>
  <si>
    <t>16.6267733295408</t>
  </si>
  <si>
    <t>3.29819396312428</t>
  </si>
  <si>
    <t>11.5885336667657</t>
  </si>
  <si>
    <t>43.45</t>
  </si>
  <si>
    <t>52.0604152390873</t>
  </si>
  <si>
    <t>16.7226622421405</t>
  </si>
  <si>
    <t>2.66608301096897</t>
  </si>
  <si>
    <t>-5.00933236371207</t>
  </si>
  <si>
    <t>25.99</t>
  </si>
  <si>
    <t>12.8836535073222</t>
  </si>
  <si>
    <t>14.7204284637184</t>
  </si>
  <si>
    <t>0.356680549837489</t>
  </si>
  <si>
    <t>2.91044327470338</t>
  </si>
  <si>
    <t>25.39</t>
  </si>
  <si>
    <t>11.2268617781226</t>
  </si>
  <si>
    <t>14.7157812515238</t>
  </si>
  <si>
    <t>0.53</t>
  </si>
  <si>
    <t>0.34777631689869</t>
  </si>
  <si>
    <t>-8.23127309943164</t>
  </si>
  <si>
    <t>12.9376309025133</t>
  </si>
  <si>
    <t>14.6711574678377</t>
  </si>
  <si>
    <t>0.303949898226744</t>
  </si>
  <si>
    <t>0.459953875683525</t>
  </si>
  <si>
    <t>28.1</t>
  </si>
  <si>
    <t>12.7240392287155</t>
  </si>
  <si>
    <t>14.7454146067297</t>
  </si>
  <si>
    <t>0.642896217379935</t>
  </si>
  <si>
    <t>4.2</t>
  </si>
  <si>
    <t>4.47059521842429</t>
  </si>
  <si>
    <t>10.4368315836341</t>
  </si>
  <si>
    <t>14.6705839674097</t>
  </si>
  <si>
    <t>0.26</t>
  </si>
  <si>
    <t>0.550429694488102</t>
  </si>
  <si>
    <t>10.4935593813751</t>
  </si>
  <si>
    <t>26.82</t>
  </si>
  <si>
    <t>12.7421604630177</t>
  </si>
  <si>
    <t>14.6994004047027</t>
  </si>
  <si>
    <t>0.15</t>
  </si>
  <si>
    <t>0.569797006342119</t>
  </si>
  <si>
    <t>130.085976809262</t>
  </si>
  <si>
    <t>44.58</t>
  </si>
  <si>
    <t>8.58092368483425</t>
  </si>
  <si>
    <t>15.3246701296952</t>
  </si>
  <si>
    <t>0.18</t>
  </si>
  <si>
    <t>0.616123276600423</t>
  </si>
  <si>
    <t>-1.04065368683385</t>
  </si>
  <si>
    <t>41.27</t>
  </si>
  <si>
    <t>6.54910852701039</t>
  </si>
  <si>
    <t>15.4464844964513</t>
  </si>
  <si>
    <t>0.603101262539178</t>
  </si>
  <si>
    <t>5.47</t>
  </si>
  <si>
    <t>5.46154245238393</t>
  </si>
  <si>
    <t>51.84</t>
  </si>
  <si>
    <t>7.97795163834504</t>
  </si>
  <si>
    <t>15.3922184391212</t>
  </si>
  <si>
    <t>0.28</t>
  </si>
  <si>
    <t>0.999684578188437</t>
  </si>
  <si>
    <t>5.81</t>
  </si>
  <si>
    <t>9.55111714303077</t>
  </si>
  <si>
    <t>44.99</t>
  </si>
  <si>
    <t>11.7624529771948</t>
  </si>
  <si>
    <t>15.4291333017641</t>
  </si>
  <si>
    <t>0.944542781120873</t>
  </si>
  <si>
    <t>7.61957943835127</t>
  </si>
  <si>
    <t>43.04</t>
  </si>
  <si>
    <t>7.28461311426748</t>
  </si>
  <si>
    <t>15.4862367778091</t>
  </si>
  <si>
    <t>0.35</t>
  </si>
  <si>
    <t>1.00574222455669</t>
  </si>
  <si>
    <t>5.53845474147717</t>
  </si>
  <si>
    <t>53.98</t>
  </si>
  <si>
    <t>11.4847186902308</t>
  </si>
  <si>
    <t>15.6521130465456</t>
  </si>
  <si>
    <t>1.00035977974131</t>
  </si>
  <si>
    <t>2.34024279434669</t>
  </si>
  <si>
    <t>50.95</t>
  </si>
  <si>
    <t>8.16975155197862</t>
  </si>
  <si>
    <t>15.6821834486941</t>
  </si>
  <si>
    <t>1.20873177471549</t>
  </si>
  <si>
    <t>13.325319056103</t>
  </si>
  <si>
    <t>46.37</t>
  </si>
  <si>
    <t>10.0111495994008</t>
  </si>
  <si>
    <t>15.7328646946733</t>
  </si>
  <si>
    <t>0.3</t>
  </si>
  <si>
    <t>1.31064489905267</t>
  </si>
  <si>
    <t>1.40378972090242</t>
  </si>
  <si>
    <t>45.26</t>
  </si>
  <si>
    <t>12.2896265164411</t>
  </si>
  <si>
    <t>15.7253727154581</t>
  </si>
  <si>
    <t>1.39566763030756</t>
  </si>
  <si>
    <t>4.77</t>
  </si>
  <si>
    <t>9.14252571208672</t>
  </si>
  <si>
    <t>50.88</t>
  </si>
  <si>
    <t>12.6453487054393</t>
  </si>
  <si>
    <t>15.8594991296239</t>
  </si>
  <si>
    <t>1.57182542069594</t>
  </si>
  <si>
    <t>-1.63027604785342</t>
  </si>
  <si>
    <t>52.17</t>
  </si>
  <si>
    <t>14.5048964178036</t>
  </si>
  <si>
    <t>15.7730544857084</t>
  </si>
  <si>
    <t>0.16</t>
  </si>
  <si>
    <t>2.13432525174012</t>
  </si>
  <si>
    <t>5.87</t>
  </si>
  <si>
    <t>23.631338629377</t>
  </si>
  <si>
    <t>45.24</t>
  </si>
  <si>
    <t>17.3215117029159</t>
  </si>
  <si>
    <t>15.9568246483581</t>
  </si>
  <si>
    <t>1.70681616547766</t>
  </si>
  <si>
    <t>11.219219317646</t>
  </si>
  <si>
    <t>45.9</t>
  </si>
  <si>
    <t>13.8553875807426</t>
  </si>
  <si>
    <t>16.0614862510885</t>
  </si>
  <si>
    <t>1.69956526643003</t>
  </si>
  <si>
    <t>8.02196895433811</t>
  </si>
  <si>
    <t>47.67</t>
  </si>
  <si>
    <t>15.013456689512</t>
  </si>
  <si>
    <t>16.1362705817259</t>
  </si>
  <si>
    <t>0.22</t>
  </si>
  <si>
    <t>1.66749688713825</t>
  </si>
  <si>
    <t>5.68</t>
  </si>
  <si>
    <t>-3.5020994964489</t>
  </si>
  <si>
    <t>20.45</t>
  </si>
  <si>
    <t>23.0369193277893</t>
  </si>
  <si>
    <t>13.5279911389504</t>
  </si>
  <si>
    <t>-1.94</t>
  </si>
  <si>
    <t>8.5</t>
  </si>
  <si>
    <t>4.59019876555014</t>
  </si>
  <si>
    <t>-1.75287631067342</t>
  </si>
  <si>
    <t>20.72</t>
  </si>
  <si>
    <t>24.8718682005142</t>
  </si>
  <si>
    <t>13.5394790203644</t>
  </si>
  <si>
    <t>-1.78</t>
  </si>
  <si>
    <t>8.3</t>
  </si>
  <si>
    <t>4.49735621370876</t>
  </si>
  <si>
    <t>-7.42985045576929</t>
  </si>
  <si>
    <t>20.87</t>
  </si>
  <si>
    <t>26.6094643005688</t>
  </si>
  <si>
    <t>13.5053142651686</t>
  </si>
  <si>
    <t>-1.8</t>
  </si>
  <si>
    <t>8.87</t>
  </si>
  <si>
    <t>4.70226539484965</t>
  </si>
  <si>
    <t>-8.22195589757247</t>
  </si>
  <si>
    <t>23.3356853670903</t>
  </si>
  <si>
    <t>13.4070504693762</t>
  </si>
  <si>
    <t>-2.76</t>
  </si>
  <si>
    <t>6.17</t>
  </si>
  <si>
    <t>2.3148489900854</t>
  </si>
  <si>
    <t>-7.00894732153085</t>
  </si>
  <si>
    <t>17.79</t>
  </si>
  <si>
    <t>26.5858246052285</t>
  </si>
  <si>
    <t>13.428283618731</t>
  </si>
  <si>
    <t>-3.59</t>
  </si>
  <si>
    <t>6.64</t>
  </si>
  <si>
    <t>2.60757691886565</t>
  </si>
  <si>
    <t>2.66478703602321</t>
  </si>
  <si>
    <t>16.02</t>
  </si>
  <si>
    <t>25.7233248958035</t>
  </si>
  <si>
    <t>13.4504015758765</t>
  </si>
  <si>
    <t>-4.16</t>
  </si>
  <si>
    <t>3.12860780418872</t>
  </si>
  <si>
    <t>-3.16860193838237</t>
  </si>
  <si>
    <t>15.47</t>
  </si>
  <si>
    <t>22.0832075710516</t>
  </si>
  <si>
    <t>13.4855457023376</t>
  </si>
  <si>
    <t>-3.66</t>
  </si>
  <si>
    <t>8.18</t>
  </si>
  <si>
    <t>3.86346927480443</t>
  </si>
  <si>
    <t>-21.5810183081799</t>
  </si>
  <si>
    <t>148.28</t>
  </si>
  <si>
    <t>24.4001583580421</t>
  </si>
  <si>
    <t>14.093942731703</t>
  </si>
  <si>
    <t>-15.89</t>
  </si>
  <si>
    <t>11.630822170333</t>
  </si>
  <si>
    <t>8.81932618199055</t>
  </si>
  <si>
    <t>116.15</t>
  </si>
  <si>
    <t>17.6610718747294</t>
  </si>
  <si>
    <t>14.0083886974472</t>
  </si>
  <si>
    <t>-8.15</t>
  </si>
  <si>
    <t>12.1121479645835</t>
  </si>
  <si>
    <t>-11.9040243682078</t>
  </si>
  <si>
    <t>215.5</t>
  </si>
  <si>
    <t>8.10699159246298</t>
  </si>
  <si>
    <t>14.3499925502881</t>
  </si>
  <si>
    <t>-6.81</t>
  </si>
  <si>
    <t>6.72441579371475</t>
  </si>
  <si>
    <t>126.685957072742</t>
  </si>
  <si>
    <t>133</t>
  </si>
  <si>
    <t>19.2038386022244</t>
  </si>
  <si>
    <t>14.3619467322352</t>
  </si>
  <si>
    <t>-8.95</t>
  </si>
  <si>
    <t>7.02070454259022</t>
  </si>
  <si>
    <t>46.7052729205782</t>
  </si>
  <si>
    <t>91.38</t>
  </si>
  <si>
    <t>20.8347917516296</t>
  </si>
  <si>
    <t>14.5947771761875</t>
  </si>
  <si>
    <t>-11.27</t>
  </si>
  <si>
    <t>9.00407068183921</t>
  </si>
  <si>
    <t>42.3007282291212</t>
  </si>
  <si>
    <t>538.01</t>
  </si>
  <si>
    <t>79.6583197303323</t>
  </si>
  <si>
    <t>16.0394496590896</t>
  </si>
  <si>
    <t>-3.33</t>
  </si>
  <si>
    <t>9.73152284625411</t>
  </si>
  <si>
    <t>7.72</t>
  </si>
  <si>
    <t>68.0392375397437</t>
  </si>
  <si>
    <t>342.8</t>
  </si>
  <si>
    <t>34.1170697403044</t>
  </si>
  <si>
    <t>16.1273840796342</t>
  </si>
  <si>
    <t>-1.3</t>
  </si>
  <si>
    <t>5.5455402157602</t>
  </si>
  <si>
    <t>71.6739425014071</t>
  </si>
  <si>
    <t>224.24</t>
  </si>
  <si>
    <t>36.1313888227227</t>
  </si>
  <si>
    <t>16.2114270560969</t>
  </si>
  <si>
    <t>4.42593266808631</t>
  </si>
  <si>
    <t>6.09</t>
  </si>
  <si>
    <t>-10.8964361536441</t>
  </si>
  <si>
    <t>169.92</t>
  </si>
  <si>
    <t>26.827459292737</t>
  </si>
  <si>
    <t>16.326119229417</t>
  </si>
  <si>
    <t>0.1</t>
  </si>
  <si>
    <t>3.82918194899824</t>
  </si>
  <si>
    <t>7.42</t>
  </si>
  <si>
    <t>85.0174384940416</t>
  </si>
  <si>
    <t>130.6</t>
  </si>
  <si>
    <t>29.4255935951296</t>
  </si>
  <si>
    <t>16.3669256622963</t>
  </si>
  <si>
    <t>2.83612515411866</t>
  </si>
  <si>
    <t>11.08</t>
  </si>
  <si>
    <t>18.1038489630597</t>
  </si>
  <si>
    <t>109.8</t>
  </si>
  <si>
    <t>31.9231672338169</t>
  </si>
  <si>
    <t>16.4973497659863</t>
  </si>
  <si>
    <t>2.93217829668013</t>
  </si>
  <si>
    <t>10.83</t>
  </si>
  <si>
    <t>12.3885700868179</t>
  </si>
  <si>
    <t>97.5</t>
  </si>
  <si>
    <t>26.6422947103173</t>
  </si>
  <si>
    <t>16.5769817083901</t>
  </si>
  <si>
    <t>2.61971758457198</t>
  </si>
  <si>
    <t>10.47</t>
  </si>
  <si>
    <t>15.5947288338624</t>
  </si>
  <si>
    <t>82.75</t>
  </si>
  <si>
    <t>24.4035190664235</t>
  </si>
  <si>
    <t>16.6466803447908</t>
  </si>
  <si>
    <t>2.86561701877612</t>
  </si>
  <si>
    <t>10.45</t>
  </si>
  <si>
    <t>-4.48359119704076</t>
  </si>
  <si>
    <t>20.15</t>
  </si>
  <si>
    <t>16.1929032542927</t>
  </si>
  <si>
    <t>14.6912734187263</t>
  </si>
  <si>
    <t>1.29406431673031</t>
  </si>
  <si>
    <t>-3.32702635506221</t>
  </si>
  <si>
    <t>15.8441143189345</t>
  </si>
  <si>
    <t>14.6943797571888</t>
  </si>
  <si>
    <t>-1.64</t>
  </si>
  <si>
    <t>6.4</t>
  </si>
  <si>
    <t>2.73405415301612</t>
  </si>
  <si>
    <t>5.28</t>
  </si>
  <si>
    <t>9.71045367053231</t>
  </si>
  <si>
    <t>20.33</t>
  </si>
  <si>
    <t>13.9478453212094</t>
  </si>
  <si>
    <t>14.7102597274707</t>
  </si>
  <si>
    <t>-1.15</t>
  </si>
  <si>
    <t>5.36</t>
  </si>
  <si>
    <t>2.56068675491389</t>
  </si>
  <si>
    <t>-11.3899873594685</t>
  </si>
  <si>
    <t>16.85</t>
  </si>
  <si>
    <t>18.9043416735382</t>
  </si>
  <si>
    <t>14.6327201288134</t>
  </si>
  <si>
    <t>-5.06</t>
  </si>
  <si>
    <t>1.84821843222035</t>
  </si>
  <si>
    <t>-2.90694210905597</t>
  </si>
  <si>
    <t>19.6736729025124</t>
  </si>
  <si>
    <t>14.642818370636</t>
  </si>
  <si>
    <t>1.93680463191674</t>
  </si>
  <si>
    <t>5.15</t>
  </si>
  <si>
    <t>30.6280612029472</t>
  </si>
  <si>
    <t>16.73</t>
  </si>
  <si>
    <t>17.3012306502079</t>
  </si>
  <si>
    <t>14.8338880927414</t>
  </si>
  <si>
    <t>1.55940417790622</t>
  </si>
  <si>
    <t>-12.6037191153275</t>
  </si>
  <si>
    <t>18.4426637249775</t>
  </si>
  <si>
    <t>14.736924941489</t>
  </si>
  <si>
    <t>-0.32</t>
  </si>
  <si>
    <t>1.82451233360398</t>
  </si>
  <si>
    <t>-4.02043416828716</t>
  </si>
  <si>
    <t>16.2</t>
  </si>
  <si>
    <t>23.5392274292263</t>
  </si>
  <si>
    <t>14.7426118446523</t>
  </si>
  <si>
    <t>-1.87</t>
  </si>
  <si>
    <t>10.16</t>
  </si>
  <si>
    <t>6.37035904204077</t>
  </si>
  <si>
    <t>-5.58089042811452</t>
  </si>
  <si>
    <t>15.26</t>
  </si>
  <si>
    <t>20.7596261521234</t>
  </si>
  <si>
    <t>14.6578533048861</t>
  </si>
  <si>
    <t>7.48750297320512</t>
  </si>
  <si>
    <t>-5.15249274155339</t>
  </si>
  <si>
    <t>16.4</t>
  </si>
  <si>
    <t>18.0168667033051</t>
  </si>
  <si>
    <t>14.6055634629518</t>
  </si>
  <si>
    <t>6.9</t>
  </si>
  <si>
    <t>4.94139667722891</t>
  </si>
  <si>
    <t>-7.78284935923941</t>
  </si>
  <si>
    <t>18.89</t>
  </si>
  <si>
    <t>20.6108225559629</t>
  </si>
  <si>
    <t>14.571162004467</t>
  </si>
  <si>
    <t>2.03257041162485</t>
  </si>
  <si>
    <t>-6.98345670389534</t>
  </si>
  <si>
    <t>40.0033943347085</t>
  </si>
  <si>
    <t>14.7658791859645</t>
  </si>
  <si>
    <t>2.24152647655207</t>
  </si>
  <si>
    <t>-20.8033691088212</t>
  </si>
  <si>
    <t>18.19</t>
  </si>
  <si>
    <t>66.5826036850733</t>
  </si>
  <si>
    <t>15.1970792707761</t>
  </si>
  <si>
    <t>2.38427492943473</t>
  </si>
  <si>
    <t>2.99</t>
  </si>
  <si>
    <t>-11.9878821708372</t>
  </si>
  <si>
    <t>22.49</t>
  </si>
  <si>
    <t>71.2842054603683</t>
  </si>
  <si>
    <t>15.2558682982418</t>
  </si>
  <si>
    <t>2.57521491985134</t>
  </si>
  <si>
    <t>132.239045975137</t>
  </si>
  <si>
    <t>41.56</t>
  </si>
  <si>
    <t>64.4553784049722</t>
  </si>
  <si>
    <t>15.7468273109452</t>
  </si>
  <si>
    <t>1.41787962524942</t>
  </si>
  <si>
    <t>6.43868323078808</t>
  </si>
  <si>
    <t>48.82</t>
  </si>
  <si>
    <t>42.8453439905776</t>
  </si>
  <si>
    <t>15.3522394884321</t>
  </si>
  <si>
    <t>1.22506929397705</t>
  </si>
  <si>
    <t>119.004632335916</t>
  </si>
  <si>
    <t>110.54</t>
  </si>
  <si>
    <t>13.3182316142535</t>
  </si>
  <si>
    <t>16.0579833728714</t>
  </si>
  <si>
    <t>0.833960983363154</t>
  </si>
  <si>
    <t>39.4556456722059</t>
  </si>
  <si>
    <t>85.19</t>
  </si>
  <si>
    <t>17.0781478868448</t>
  </si>
  <si>
    <t>16.0951284115552</t>
  </si>
  <si>
    <t>0.675628475237904</t>
  </si>
  <si>
    <t>6.62915756904227</t>
  </si>
  <si>
    <t>78.36</t>
  </si>
  <si>
    <t>22.1287516945084</t>
  </si>
  <si>
    <t>16.1762649314781</t>
  </si>
  <si>
    <t>0.699892468221691</t>
  </si>
  <si>
    <t>6.01</t>
  </si>
  <si>
    <t>0.652957319466604</t>
  </si>
  <si>
    <t>79.53</t>
  </si>
  <si>
    <t>23.3364523739854</t>
  </si>
  <si>
    <t>16.2187511553897</t>
  </si>
  <si>
    <t>0.01</t>
  </si>
  <si>
    <t>0.728340539344767</t>
  </si>
  <si>
    <t>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</si>
</sst>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right"/>
    </xf>
    <xf numFmtId="3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3" fontId="0" fillId="0" borderId="0" xfId="0" applyNumberFormat="1" applyAlignment="1">
      <alignment horizontal="right"/>
    </xf>
    <xf numFmtId="3" fontId="4" fillId="0" borderId="0" xfId="0" applyNumberFormat="1" applyFont="1"/>
    <xf numFmtId="3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3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vertical="center"/>
    </xf>
    <xf numFmtId="3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right"/>
    </xf>
    <xf numFmtId="43" fontId="0" fillId="0" borderId="0" xfId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B228-1224-444C-A493-EC3ADFFEB430}">
  <dimension ref="A1:J483"/>
  <sheetViews>
    <sheetView tabSelected="1" topLeftCell="A152" workbookViewId="0">
      <selection activeCell="L159" sqref="L159"/>
    </sheetView>
  </sheetViews>
  <sheetFormatPr defaultRowHeight="15" x14ac:dyDescent="0.25"/>
  <sheetData>
    <row r="1" spans="1:10" x14ac:dyDescent="0.25">
      <c r="A1" s="22" t="s">
        <v>634</v>
      </c>
      <c r="B1" s="22" t="s">
        <v>1</v>
      </c>
      <c r="C1" s="23" t="s">
        <v>49</v>
      </c>
      <c r="D1" s="23" t="s">
        <v>51</v>
      </c>
      <c r="E1" s="22" t="s">
        <v>638</v>
      </c>
      <c r="F1" s="22" t="s">
        <v>53</v>
      </c>
      <c r="G1" s="23" t="s">
        <v>54</v>
      </c>
      <c r="H1" s="23" t="s">
        <v>55</v>
      </c>
      <c r="I1" s="22" t="s">
        <v>56</v>
      </c>
      <c r="J1" s="23" t="s">
        <v>57</v>
      </c>
    </row>
    <row r="2" spans="1:10" x14ac:dyDescent="0.25">
      <c r="A2" s="22" t="s">
        <v>24</v>
      </c>
      <c r="B2" s="24" t="s">
        <v>4</v>
      </c>
      <c r="C2" s="22" t="s">
        <v>642</v>
      </c>
      <c r="D2" s="22" t="s">
        <v>643</v>
      </c>
      <c r="E2" s="22" t="s">
        <v>644</v>
      </c>
      <c r="F2" s="22" t="s">
        <v>645</v>
      </c>
      <c r="G2" s="22" t="s">
        <v>520</v>
      </c>
      <c r="H2" s="22" t="s">
        <v>646</v>
      </c>
      <c r="I2" s="22" t="s">
        <v>647</v>
      </c>
      <c r="J2" s="22" t="s">
        <v>648</v>
      </c>
    </row>
    <row r="3" spans="1:10" x14ac:dyDescent="0.25">
      <c r="A3" s="22" t="s">
        <v>24</v>
      </c>
      <c r="B3" s="24" t="s">
        <v>5</v>
      </c>
      <c r="C3" s="22" t="s">
        <v>649</v>
      </c>
      <c r="D3" s="22" t="s">
        <v>650</v>
      </c>
      <c r="E3" s="22" t="s">
        <v>651</v>
      </c>
      <c r="F3" s="22" t="s">
        <v>652</v>
      </c>
      <c r="G3" s="22" t="s">
        <v>308</v>
      </c>
      <c r="H3" s="22" t="s">
        <v>653</v>
      </c>
      <c r="I3" s="22" t="s">
        <v>654</v>
      </c>
      <c r="J3" s="22" t="s">
        <v>655</v>
      </c>
    </row>
    <row r="4" spans="1:10" x14ac:dyDescent="0.25">
      <c r="A4" s="22" t="s">
        <v>24</v>
      </c>
      <c r="B4" s="24" t="s">
        <v>6</v>
      </c>
      <c r="C4" s="22" t="s">
        <v>656</v>
      </c>
      <c r="D4" s="22" t="s">
        <v>657</v>
      </c>
      <c r="E4" s="22" t="s">
        <v>658</v>
      </c>
      <c r="F4" s="22" t="s">
        <v>659</v>
      </c>
      <c r="G4" s="22" t="s">
        <v>660</v>
      </c>
      <c r="H4" s="22" t="s">
        <v>661</v>
      </c>
      <c r="I4" s="22" t="s">
        <v>662</v>
      </c>
      <c r="J4" s="22" t="s">
        <v>663</v>
      </c>
    </row>
    <row r="5" spans="1:10" x14ac:dyDescent="0.25">
      <c r="A5" s="22" t="s">
        <v>24</v>
      </c>
      <c r="B5" s="24" t="s">
        <v>7</v>
      </c>
      <c r="C5" s="22" t="s">
        <v>664</v>
      </c>
      <c r="D5" s="22" t="s">
        <v>665</v>
      </c>
      <c r="E5" s="22" t="s">
        <v>666</v>
      </c>
      <c r="F5" s="22" t="s">
        <v>667</v>
      </c>
      <c r="G5" s="22" t="s">
        <v>337</v>
      </c>
      <c r="H5" s="22" t="s">
        <v>668</v>
      </c>
      <c r="I5" s="22" t="s">
        <v>669</v>
      </c>
      <c r="J5" s="22" t="s">
        <v>670</v>
      </c>
    </row>
    <row r="6" spans="1:10" x14ac:dyDescent="0.25">
      <c r="A6" s="22" t="s">
        <v>24</v>
      </c>
      <c r="B6" s="24" t="s">
        <v>8</v>
      </c>
      <c r="C6" s="22" t="s">
        <v>671</v>
      </c>
      <c r="D6" s="22" t="s">
        <v>672</v>
      </c>
      <c r="E6" s="22" t="s">
        <v>673</v>
      </c>
      <c r="F6" s="22" t="s">
        <v>674</v>
      </c>
      <c r="G6" s="22" t="s">
        <v>520</v>
      </c>
      <c r="H6" s="22" t="s">
        <v>538</v>
      </c>
      <c r="I6" s="22" t="s">
        <v>675</v>
      </c>
      <c r="J6" s="22" t="s">
        <v>655</v>
      </c>
    </row>
    <row r="7" spans="1:10" x14ac:dyDescent="0.25">
      <c r="A7" s="22" t="s">
        <v>24</v>
      </c>
      <c r="B7" s="24" t="s">
        <v>9</v>
      </c>
      <c r="C7" s="22" t="s">
        <v>676</v>
      </c>
      <c r="D7" s="22" t="s">
        <v>341</v>
      </c>
      <c r="E7" s="22" t="s">
        <v>677</v>
      </c>
      <c r="F7" s="22" t="s">
        <v>678</v>
      </c>
      <c r="G7" s="22" t="s">
        <v>301</v>
      </c>
      <c r="H7" s="22" t="s">
        <v>653</v>
      </c>
      <c r="I7" s="22" t="s">
        <v>679</v>
      </c>
      <c r="J7" s="22" t="s">
        <v>680</v>
      </c>
    </row>
    <row r="8" spans="1:10" x14ac:dyDescent="0.25">
      <c r="A8" s="22" t="s">
        <v>24</v>
      </c>
      <c r="B8" s="24" t="s">
        <v>10</v>
      </c>
      <c r="C8" s="22" t="s">
        <v>681</v>
      </c>
      <c r="D8" s="22" t="s">
        <v>682</v>
      </c>
      <c r="E8" s="22" t="s">
        <v>683</v>
      </c>
      <c r="F8" s="22" t="s">
        <v>684</v>
      </c>
      <c r="G8" s="22" t="s">
        <v>685</v>
      </c>
      <c r="H8" s="22" t="s">
        <v>686</v>
      </c>
      <c r="I8" s="22" t="s">
        <v>687</v>
      </c>
      <c r="J8" s="22" t="s">
        <v>680</v>
      </c>
    </row>
    <row r="9" spans="1:10" x14ac:dyDescent="0.25">
      <c r="A9" s="22" t="s">
        <v>24</v>
      </c>
      <c r="B9" s="24" t="s">
        <v>11</v>
      </c>
      <c r="C9" s="22" t="s">
        <v>688</v>
      </c>
      <c r="D9" s="22" t="s">
        <v>689</v>
      </c>
      <c r="E9" s="22" t="s">
        <v>690</v>
      </c>
      <c r="F9" s="22" t="s">
        <v>691</v>
      </c>
      <c r="G9" s="22" t="s">
        <v>692</v>
      </c>
      <c r="H9" s="22" t="s">
        <v>693</v>
      </c>
      <c r="I9" s="22" t="s">
        <v>694</v>
      </c>
      <c r="J9" s="22" t="s">
        <v>695</v>
      </c>
    </row>
    <row r="10" spans="1:10" x14ac:dyDescent="0.25">
      <c r="A10" s="22" t="s">
        <v>24</v>
      </c>
      <c r="B10" s="24" t="s">
        <v>12</v>
      </c>
      <c r="C10" s="22" t="s">
        <v>696</v>
      </c>
      <c r="D10" s="22" t="s">
        <v>697</v>
      </c>
      <c r="E10" s="22" t="s">
        <v>698</v>
      </c>
      <c r="F10" s="22" t="s">
        <v>699</v>
      </c>
      <c r="G10" s="22" t="s">
        <v>303</v>
      </c>
      <c r="H10" s="22" t="s">
        <v>700</v>
      </c>
      <c r="I10" s="22" t="s">
        <v>701</v>
      </c>
      <c r="J10" s="22" t="s">
        <v>702</v>
      </c>
    </row>
    <row r="11" spans="1:10" x14ac:dyDescent="0.25">
      <c r="A11" s="22" t="s">
        <v>24</v>
      </c>
      <c r="B11" s="24" t="s">
        <v>13</v>
      </c>
      <c r="C11" s="22" t="s">
        <v>703</v>
      </c>
      <c r="D11" s="22" t="s">
        <v>704</v>
      </c>
      <c r="E11" s="22" t="s">
        <v>705</v>
      </c>
      <c r="F11" s="22" t="s">
        <v>706</v>
      </c>
      <c r="G11" s="22" t="s">
        <v>707</v>
      </c>
      <c r="H11" s="22" t="s">
        <v>708</v>
      </c>
      <c r="I11" s="22" t="s">
        <v>709</v>
      </c>
      <c r="J11" s="22" t="s">
        <v>710</v>
      </c>
    </row>
    <row r="12" spans="1:10" x14ac:dyDescent="0.25">
      <c r="A12" s="22" t="s">
        <v>24</v>
      </c>
      <c r="B12" s="24" t="s">
        <v>14</v>
      </c>
      <c r="C12" s="22" t="s">
        <v>711</v>
      </c>
      <c r="D12" s="22" t="s">
        <v>712</v>
      </c>
      <c r="E12" s="22" t="s">
        <v>713</v>
      </c>
      <c r="F12" s="22" t="s">
        <v>714</v>
      </c>
      <c r="G12" s="22" t="s">
        <v>350</v>
      </c>
      <c r="H12" s="22" t="s">
        <v>715</v>
      </c>
      <c r="I12" s="22" t="s">
        <v>716</v>
      </c>
      <c r="J12" s="22" t="s">
        <v>717</v>
      </c>
    </row>
    <row r="13" spans="1:10" x14ac:dyDescent="0.25">
      <c r="A13" s="22" t="s">
        <v>24</v>
      </c>
      <c r="B13" s="24" t="s">
        <v>15</v>
      </c>
      <c r="C13" s="22" t="s">
        <v>718</v>
      </c>
      <c r="D13" s="22" t="s">
        <v>347</v>
      </c>
      <c r="E13" s="22" t="s">
        <v>719</v>
      </c>
      <c r="F13" s="22" t="s">
        <v>720</v>
      </c>
      <c r="G13" s="22" t="s">
        <v>309</v>
      </c>
      <c r="H13" s="22" t="s">
        <v>686</v>
      </c>
      <c r="I13" s="22" t="s">
        <v>721</v>
      </c>
      <c r="J13" s="22" t="s">
        <v>722</v>
      </c>
    </row>
    <row r="14" spans="1:10" x14ac:dyDescent="0.25">
      <c r="A14" s="22" t="s">
        <v>24</v>
      </c>
      <c r="B14" s="24" t="s">
        <v>16</v>
      </c>
      <c r="C14" s="22" t="s">
        <v>723</v>
      </c>
      <c r="D14" s="22" t="s">
        <v>724</v>
      </c>
      <c r="E14" s="22" t="s">
        <v>725</v>
      </c>
      <c r="F14" s="22" t="s">
        <v>726</v>
      </c>
      <c r="G14" s="22" t="s">
        <v>727</v>
      </c>
      <c r="H14" s="22" t="s">
        <v>728</v>
      </c>
      <c r="I14" s="22" t="s">
        <v>729</v>
      </c>
      <c r="J14" s="22" t="s">
        <v>730</v>
      </c>
    </row>
    <row r="15" spans="1:10" x14ac:dyDescent="0.25">
      <c r="A15" s="22" t="s">
        <v>24</v>
      </c>
      <c r="B15" s="24" t="s">
        <v>17</v>
      </c>
      <c r="C15" s="22" t="s">
        <v>731</v>
      </c>
      <c r="D15" s="22" t="s">
        <v>732</v>
      </c>
      <c r="E15" s="22" t="s">
        <v>733</v>
      </c>
      <c r="F15" s="22" t="s">
        <v>734</v>
      </c>
      <c r="G15" s="22" t="s">
        <v>735</v>
      </c>
      <c r="H15" s="22" t="s">
        <v>736</v>
      </c>
      <c r="I15" s="22" t="s">
        <v>737</v>
      </c>
      <c r="J15" s="22" t="s">
        <v>680</v>
      </c>
    </row>
    <row r="16" spans="1:10" x14ac:dyDescent="0.25">
      <c r="A16" s="22" t="s">
        <v>24</v>
      </c>
      <c r="B16" s="24" t="s">
        <v>18</v>
      </c>
      <c r="C16" s="22" t="s">
        <v>738</v>
      </c>
      <c r="D16" s="22" t="s">
        <v>739</v>
      </c>
      <c r="E16" s="22" t="s">
        <v>740</v>
      </c>
      <c r="F16" s="22" t="s">
        <v>741</v>
      </c>
      <c r="G16" s="22" t="s">
        <v>742</v>
      </c>
      <c r="H16" s="22" t="s">
        <v>743</v>
      </c>
      <c r="I16" s="22" t="s">
        <v>744</v>
      </c>
      <c r="J16" s="22" t="s">
        <v>745</v>
      </c>
    </row>
    <row r="17" spans="1:10" x14ac:dyDescent="0.25">
      <c r="A17" s="22" t="s">
        <v>24</v>
      </c>
      <c r="B17" s="24" t="s">
        <v>19</v>
      </c>
      <c r="C17" s="22" t="s">
        <v>746</v>
      </c>
      <c r="D17" s="22" t="s">
        <v>747</v>
      </c>
      <c r="E17" s="22" t="s">
        <v>748</v>
      </c>
      <c r="F17" s="22" t="s">
        <v>749</v>
      </c>
      <c r="G17" s="22" t="s">
        <v>750</v>
      </c>
      <c r="H17" s="22" t="s">
        <v>751</v>
      </c>
      <c r="I17" s="22" t="s">
        <v>752</v>
      </c>
      <c r="J17" s="22" t="s">
        <v>753</v>
      </c>
    </row>
    <row r="18" spans="1:10" x14ac:dyDescent="0.25">
      <c r="A18" s="22" t="s">
        <v>24</v>
      </c>
      <c r="B18" s="24" t="s">
        <v>20</v>
      </c>
      <c r="C18" s="22" t="s">
        <v>754</v>
      </c>
      <c r="D18" s="22" t="s">
        <v>755</v>
      </c>
      <c r="E18" s="22" t="s">
        <v>756</v>
      </c>
      <c r="F18" s="22" t="s">
        <v>757</v>
      </c>
      <c r="G18" s="22" t="s">
        <v>758</v>
      </c>
      <c r="H18" s="22" t="s">
        <v>586</v>
      </c>
      <c r="I18" s="22" t="s">
        <v>759</v>
      </c>
      <c r="J18" s="22" t="s">
        <v>760</v>
      </c>
    </row>
    <row r="19" spans="1:10" x14ac:dyDescent="0.25">
      <c r="A19" s="22" t="s">
        <v>24</v>
      </c>
      <c r="B19" s="24" t="s">
        <v>21</v>
      </c>
      <c r="C19" s="22" t="s">
        <v>761</v>
      </c>
      <c r="D19" s="22" t="s">
        <v>762</v>
      </c>
      <c r="E19" s="22" t="s">
        <v>763</v>
      </c>
      <c r="F19" s="22" t="s">
        <v>764</v>
      </c>
      <c r="G19" s="22" t="s">
        <v>278</v>
      </c>
      <c r="H19" s="22" t="s">
        <v>765</v>
      </c>
      <c r="I19" s="22" t="s">
        <v>766</v>
      </c>
      <c r="J19" s="22" t="s">
        <v>767</v>
      </c>
    </row>
    <row r="20" spans="1:10" x14ac:dyDescent="0.25">
      <c r="A20" s="22" t="s">
        <v>24</v>
      </c>
      <c r="B20" s="24" t="s">
        <v>22</v>
      </c>
      <c r="C20" s="22" t="s">
        <v>768</v>
      </c>
      <c r="D20" s="22" t="s">
        <v>769</v>
      </c>
      <c r="E20" s="22" t="s">
        <v>770</v>
      </c>
      <c r="F20" s="22" t="s">
        <v>771</v>
      </c>
      <c r="G20" s="22" t="s">
        <v>772</v>
      </c>
      <c r="H20" s="22" t="s">
        <v>773</v>
      </c>
      <c r="I20" s="22" t="s">
        <v>774</v>
      </c>
      <c r="J20" s="22" t="s">
        <v>775</v>
      </c>
    </row>
    <row r="21" spans="1:10" x14ac:dyDescent="0.25">
      <c r="A21" s="22" t="s">
        <v>24</v>
      </c>
      <c r="B21" s="24" t="s">
        <v>23</v>
      </c>
      <c r="C21" s="22" t="s">
        <v>776</v>
      </c>
      <c r="D21" s="22" t="s">
        <v>777</v>
      </c>
      <c r="E21" s="22" t="s">
        <v>778</v>
      </c>
      <c r="F21" s="22" t="s">
        <v>779</v>
      </c>
      <c r="G21" s="22" t="s">
        <v>780</v>
      </c>
      <c r="H21" s="22" t="s">
        <v>781</v>
      </c>
      <c r="I21" s="22" t="s">
        <v>782</v>
      </c>
      <c r="J21" s="22" t="s">
        <v>783</v>
      </c>
    </row>
    <row r="22" spans="1:10" x14ac:dyDescent="0.25">
      <c r="A22" s="22" t="s">
        <v>25</v>
      </c>
      <c r="B22" s="24" t="s">
        <v>4</v>
      </c>
      <c r="C22" s="22" t="s">
        <v>784</v>
      </c>
      <c r="D22" s="22" t="s">
        <v>785</v>
      </c>
      <c r="E22" s="22" t="s">
        <v>786</v>
      </c>
      <c r="F22" s="22" t="s">
        <v>787</v>
      </c>
      <c r="G22" s="22" t="s">
        <v>196</v>
      </c>
      <c r="H22" s="22" t="s">
        <v>520</v>
      </c>
      <c r="I22" s="22" t="s">
        <v>788</v>
      </c>
      <c r="J22" s="22" t="s">
        <v>789</v>
      </c>
    </row>
    <row r="23" spans="1:10" x14ac:dyDescent="0.25">
      <c r="A23" s="22" t="s">
        <v>25</v>
      </c>
      <c r="B23" s="24" t="s">
        <v>5</v>
      </c>
      <c r="C23" s="22" t="s">
        <v>790</v>
      </c>
      <c r="D23" s="22" t="s">
        <v>791</v>
      </c>
      <c r="E23" s="22" t="s">
        <v>792</v>
      </c>
      <c r="F23" s="22" t="s">
        <v>793</v>
      </c>
      <c r="G23" s="22" t="s">
        <v>794</v>
      </c>
      <c r="H23" s="22" t="s">
        <v>795</v>
      </c>
      <c r="I23" s="22" t="s">
        <v>796</v>
      </c>
      <c r="J23" s="22" t="s">
        <v>797</v>
      </c>
    </row>
    <row r="24" spans="1:10" x14ac:dyDescent="0.25">
      <c r="A24" s="22" t="s">
        <v>25</v>
      </c>
      <c r="B24" s="24" t="s">
        <v>6</v>
      </c>
      <c r="C24" s="22" t="s">
        <v>798</v>
      </c>
      <c r="D24" s="22" t="s">
        <v>799</v>
      </c>
      <c r="E24" s="22" t="s">
        <v>800</v>
      </c>
      <c r="F24" s="22" t="s">
        <v>801</v>
      </c>
      <c r="G24" s="22" t="s">
        <v>492</v>
      </c>
      <c r="H24" s="22" t="s">
        <v>794</v>
      </c>
      <c r="I24" s="22" t="s">
        <v>802</v>
      </c>
      <c r="J24" s="22" t="s">
        <v>398</v>
      </c>
    </row>
    <row r="25" spans="1:10" x14ac:dyDescent="0.25">
      <c r="A25" s="22" t="s">
        <v>25</v>
      </c>
      <c r="B25" s="24" t="s">
        <v>7</v>
      </c>
      <c r="C25" s="22" t="s">
        <v>803</v>
      </c>
      <c r="D25" s="22" t="s">
        <v>804</v>
      </c>
      <c r="E25" s="22" t="s">
        <v>805</v>
      </c>
      <c r="F25" s="22" t="s">
        <v>806</v>
      </c>
      <c r="G25" s="22" t="s">
        <v>196</v>
      </c>
      <c r="H25" s="22" t="s">
        <v>807</v>
      </c>
      <c r="I25" s="22" t="s">
        <v>808</v>
      </c>
      <c r="J25" s="22" t="s">
        <v>398</v>
      </c>
    </row>
    <row r="26" spans="1:10" x14ac:dyDescent="0.25">
      <c r="A26" s="22" t="s">
        <v>25</v>
      </c>
      <c r="B26" s="24" t="s">
        <v>8</v>
      </c>
      <c r="C26" s="22" t="s">
        <v>809</v>
      </c>
      <c r="D26" s="22" t="s">
        <v>810</v>
      </c>
      <c r="E26" s="22" t="s">
        <v>811</v>
      </c>
      <c r="F26" s="22" t="s">
        <v>812</v>
      </c>
      <c r="G26" s="22" t="s">
        <v>685</v>
      </c>
      <c r="H26" s="22" t="s">
        <v>518</v>
      </c>
      <c r="I26" s="22" t="s">
        <v>813</v>
      </c>
      <c r="J26" s="22" t="s">
        <v>814</v>
      </c>
    </row>
    <row r="27" spans="1:10" x14ac:dyDescent="0.25">
      <c r="A27" s="22" t="s">
        <v>25</v>
      </c>
      <c r="B27" s="24" t="s">
        <v>9</v>
      </c>
      <c r="C27" s="22" t="s">
        <v>815</v>
      </c>
      <c r="D27" s="22" t="s">
        <v>816</v>
      </c>
      <c r="E27" s="22" t="s">
        <v>817</v>
      </c>
      <c r="F27" s="22" t="s">
        <v>818</v>
      </c>
      <c r="G27" s="22" t="s">
        <v>751</v>
      </c>
      <c r="H27" s="22" t="s">
        <v>534</v>
      </c>
      <c r="I27" s="22" t="s">
        <v>819</v>
      </c>
      <c r="J27" s="22" t="s">
        <v>820</v>
      </c>
    </row>
    <row r="28" spans="1:10" x14ac:dyDescent="0.25">
      <c r="A28" s="22" t="s">
        <v>25</v>
      </c>
      <c r="B28" s="24" t="s">
        <v>10</v>
      </c>
      <c r="C28" s="22" t="s">
        <v>821</v>
      </c>
      <c r="D28" s="22" t="s">
        <v>822</v>
      </c>
      <c r="E28" s="22" t="s">
        <v>823</v>
      </c>
      <c r="F28" s="22" t="s">
        <v>824</v>
      </c>
      <c r="G28" s="22" t="s">
        <v>825</v>
      </c>
      <c r="H28" s="22" t="s">
        <v>826</v>
      </c>
      <c r="I28" s="22" t="s">
        <v>827</v>
      </c>
      <c r="J28" s="22" t="s">
        <v>820</v>
      </c>
    </row>
    <row r="29" spans="1:10" x14ac:dyDescent="0.25">
      <c r="A29" s="22" t="s">
        <v>25</v>
      </c>
      <c r="B29" s="24" t="s">
        <v>11</v>
      </c>
      <c r="C29" s="22" t="s">
        <v>828</v>
      </c>
      <c r="D29" s="22" t="s">
        <v>476</v>
      </c>
      <c r="E29" s="22" t="s">
        <v>829</v>
      </c>
      <c r="F29" s="22" t="s">
        <v>830</v>
      </c>
      <c r="G29" s="22" t="s">
        <v>267</v>
      </c>
      <c r="H29" s="22" t="s">
        <v>646</v>
      </c>
      <c r="I29" s="22" t="s">
        <v>831</v>
      </c>
      <c r="J29" s="22" t="s">
        <v>476</v>
      </c>
    </row>
    <row r="30" spans="1:10" x14ac:dyDescent="0.25">
      <c r="A30" s="22" t="s">
        <v>25</v>
      </c>
      <c r="B30" s="24" t="s">
        <v>12</v>
      </c>
      <c r="C30" s="22" t="s">
        <v>832</v>
      </c>
      <c r="D30" s="22" t="s">
        <v>833</v>
      </c>
      <c r="E30" s="22" t="s">
        <v>834</v>
      </c>
      <c r="F30" s="22" t="s">
        <v>835</v>
      </c>
      <c r="G30" s="22" t="s">
        <v>315</v>
      </c>
      <c r="H30" s="22" t="s">
        <v>836</v>
      </c>
      <c r="I30" s="22" t="s">
        <v>837</v>
      </c>
      <c r="J30" s="22" t="s">
        <v>838</v>
      </c>
    </row>
    <row r="31" spans="1:10" x14ac:dyDescent="0.25">
      <c r="A31" s="22" t="s">
        <v>25</v>
      </c>
      <c r="B31" s="24" t="s">
        <v>13</v>
      </c>
      <c r="C31" s="22" t="s">
        <v>839</v>
      </c>
      <c r="D31" s="22" t="s">
        <v>840</v>
      </c>
      <c r="E31" s="22" t="s">
        <v>841</v>
      </c>
      <c r="F31" s="22" t="s">
        <v>842</v>
      </c>
      <c r="G31" s="22" t="s">
        <v>843</v>
      </c>
      <c r="H31" s="22" t="s">
        <v>685</v>
      </c>
      <c r="I31" s="22" t="s">
        <v>844</v>
      </c>
      <c r="J31" s="22" t="s">
        <v>484</v>
      </c>
    </row>
    <row r="32" spans="1:10" x14ac:dyDescent="0.25">
      <c r="A32" s="22" t="s">
        <v>25</v>
      </c>
      <c r="B32" s="24" t="s">
        <v>14</v>
      </c>
      <c r="C32" s="22" t="s">
        <v>845</v>
      </c>
      <c r="D32" s="22" t="s">
        <v>704</v>
      </c>
      <c r="E32" s="22" t="s">
        <v>846</v>
      </c>
      <c r="F32" s="22" t="s">
        <v>847</v>
      </c>
      <c r="G32" s="22" t="s">
        <v>530</v>
      </c>
      <c r="H32" s="22" t="s">
        <v>692</v>
      </c>
      <c r="I32" s="22" t="s">
        <v>848</v>
      </c>
      <c r="J32" s="22" t="s">
        <v>849</v>
      </c>
    </row>
    <row r="33" spans="1:10" x14ac:dyDescent="0.25">
      <c r="A33" s="22" t="s">
        <v>25</v>
      </c>
      <c r="B33" s="24" t="s">
        <v>15</v>
      </c>
      <c r="C33" s="22" t="s">
        <v>850</v>
      </c>
      <c r="D33" s="22" t="s">
        <v>851</v>
      </c>
      <c r="E33" s="22" t="s">
        <v>852</v>
      </c>
      <c r="F33" s="22" t="s">
        <v>853</v>
      </c>
      <c r="G33" s="22" t="s">
        <v>209</v>
      </c>
      <c r="H33" s="22" t="s">
        <v>743</v>
      </c>
      <c r="I33" s="22" t="s">
        <v>854</v>
      </c>
      <c r="J33" s="22" t="s">
        <v>545</v>
      </c>
    </row>
    <row r="34" spans="1:10" x14ac:dyDescent="0.25">
      <c r="A34" s="22" t="s">
        <v>25</v>
      </c>
      <c r="B34" s="24" t="s">
        <v>16</v>
      </c>
      <c r="C34" s="22" t="s">
        <v>855</v>
      </c>
      <c r="D34" s="22" t="s">
        <v>856</v>
      </c>
      <c r="E34" s="22" t="s">
        <v>857</v>
      </c>
      <c r="F34" s="22" t="s">
        <v>858</v>
      </c>
      <c r="G34" s="22" t="s">
        <v>542</v>
      </c>
      <c r="H34" s="22" t="s">
        <v>859</v>
      </c>
      <c r="I34" s="22" t="s">
        <v>860</v>
      </c>
      <c r="J34" s="22" t="s">
        <v>861</v>
      </c>
    </row>
    <row r="35" spans="1:10" x14ac:dyDescent="0.25">
      <c r="A35" s="22" t="s">
        <v>25</v>
      </c>
      <c r="B35" s="24" t="s">
        <v>17</v>
      </c>
      <c r="C35" s="22" t="s">
        <v>862</v>
      </c>
      <c r="D35" s="22" t="s">
        <v>863</v>
      </c>
      <c r="E35" s="22" t="s">
        <v>864</v>
      </c>
      <c r="F35" s="22" t="s">
        <v>865</v>
      </c>
      <c r="G35" s="22" t="s">
        <v>866</v>
      </c>
      <c r="H35" s="22" t="s">
        <v>303</v>
      </c>
      <c r="I35" s="22" t="s">
        <v>867</v>
      </c>
      <c r="J35" s="22" t="s">
        <v>868</v>
      </c>
    </row>
    <row r="36" spans="1:10" x14ac:dyDescent="0.25">
      <c r="A36" s="22" t="s">
        <v>25</v>
      </c>
      <c r="B36" s="24" t="s">
        <v>18</v>
      </c>
      <c r="C36" s="22" t="s">
        <v>869</v>
      </c>
      <c r="D36" s="22" t="s">
        <v>724</v>
      </c>
      <c r="E36" s="22" t="s">
        <v>870</v>
      </c>
      <c r="F36" s="22" t="s">
        <v>871</v>
      </c>
      <c r="G36" s="22" t="s">
        <v>468</v>
      </c>
      <c r="H36" s="22" t="s">
        <v>233</v>
      </c>
      <c r="I36" s="22" t="s">
        <v>872</v>
      </c>
      <c r="J36" s="22" t="s">
        <v>873</v>
      </c>
    </row>
    <row r="37" spans="1:10" x14ac:dyDescent="0.25">
      <c r="A37" s="22" t="s">
        <v>25</v>
      </c>
      <c r="B37" s="24" t="s">
        <v>19</v>
      </c>
      <c r="C37" s="22" t="s">
        <v>874</v>
      </c>
      <c r="D37" s="22" t="s">
        <v>875</v>
      </c>
      <c r="E37" s="22" t="s">
        <v>876</v>
      </c>
      <c r="F37" s="22" t="s">
        <v>877</v>
      </c>
      <c r="G37" s="22" t="s">
        <v>878</v>
      </c>
      <c r="H37" s="22" t="s">
        <v>700</v>
      </c>
      <c r="I37" s="22" t="s">
        <v>879</v>
      </c>
      <c r="J37" s="22" t="s">
        <v>880</v>
      </c>
    </row>
    <row r="38" spans="1:10" x14ac:dyDescent="0.25">
      <c r="A38" s="22" t="s">
        <v>25</v>
      </c>
      <c r="B38" s="24" t="s">
        <v>20</v>
      </c>
      <c r="C38" s="22" t="s">
        <v>881</v>
      </c>
      <c r="D38" s="22" t="s">
        <v>882</v>
      </c>
      <c r="E38" s="22" t="s">
        <v>883</v>
      </c>
      <c r="F38" s="22" t="s">
        <v>884</v>
      </c>
      <c r="G38" s="22" t="s">
        <v>885</v>
      </c>
      <c r="H38" s="22" t="s">
        <v>886</v>
      </c>
      <c r="I38" s="22" t="s">
        <v>887</v>
      </c>
      <c r="J38" s="22" t="s">
        <v>888</v>
      </c>
    </row>
    <row r="39" spans="1:10" x14ac:dyDescent="0.25">
      <c r="A39" s="22" t="s">
        <v>25</v>
      </c>
      <c r="B39" s="24" t="s">
        <v>21</v>
      </c>
      <c r="C39" s="22" t="s">
        <v>889</v>
      </c>
      <c r="D39" s="22" t="s">
        <v>890</v>
      </c>
      <c r="E39" s="22" t="s">
        <v>891</v>
      </c>
      <c r="F39" s="22" t="s">
        <v>892</v>
      </c>
      <c r="G39" s="22" t="s">
        <v>502</v>
      </c>
      <c r="H39" s="22" t="s">
        <v>893</v>
      </c>
      <c r="I39" s="22" t="s">
        <v>894</v>
      </c>
      <c r="J39" s="22" t="s">
        <v>895</v>
      </c>
    </row>
    <row r="40" spans="1:10" x14ac:dyDescent="0.25">
      <c r="A40" s="22" t="s">
        <v>25</v>
      </c>
      <c r="B40" s="24" t="s">
        <v>22</v>
      </c>
      <c r="C40" s="22" t="s">
        <v>896</v>
      </c>
      <c r="D40" s="22" t="s">
        <v>897</v>
      </c>
      <c r="E40" s="22" t="s">
        <v>898</v>
      </c>
      <c r="F40" s="22" t="s">
        <v>899</v>
      </c>
      <c r="G40" s="22" t="s">
        <v>900</v>
      </c>
      <c r="H40" s="22" t="s">
        <v>901</v>
      </c>
      <c r="I40" s="22" t="s">
        <v>902</v>
      </c>
      <c r="J40" s="22" t="s">
        <v>903</v>
      </c>
    </row>
    <row r="41" spans="1:10" x14ac:dyDescent="0.25">
      <c r="A41" s="22" t="s">
        <v>25</v>
      </c>
      <c r="B41" s="24" t="s">
        <v>23</v>
      </c>
      <c r="C41" s="22" t="s">
        <v>904</v>
      </c>
      <c r="D41" s="22" t="s">
        <v>905</v>
      </c>
      <c r="E41" s="22" t="s">
        <v>906</v>
      </c>
      <c r="F41" s="22" t="s">
        <v>907</v>
      </c>
      <c r="G41" s="22" t="s">
        <v>859</v>
      </c>
      <c r="H41" s="22" t="s">
        <v>436</v>
      </c>
      <c r="I41" s="22" t="s">
        <v>908</v>
      </c>
      <c r="J41" s="22" t="s">
        <v>909</v>
      </c>
    </row>
    <row r="42" spans="1:10" x14ac:dyDescent="0.25">
      <c r="A42" s="22" t="s">
        <v>29</v>
      </c>
      <c r="B42" s="24" t="s">
        <v>4</v>
      </c>
      <c r="C42" s="22" t="s">
        <v>910</v>
      </c>
      <c r="D42" s="22" t="s">
        <v>911</v>
      </c>
      <c r="E42" s="22" t="s">
        <v>912</v>
      </c>
      <c r="F42" s="22" t="s">
        <v>913</v>
      </c>
      <c r="G42" s="22" t="s">
        <v>900</v>
      </c>
      <c r="H42" s="22" t="s">
        <v>203</v>
      </c>
      <c r="I42" s="22" t="s">
        <v>914</v>
      </c>
      <c r="J42" s="22" t="s">
        <v>915</v>
      </c>
    </row>
    <row r="43" spans="1:10" x14ac:dyDescent="0.25">
      <c r="A43" s="22" t="s">
        <v>29</v>
      </c>
      <c r="B43" s="24" t="s">
        <v>5</v>
      </c>
      <c r="C43" s="22" t="s">
        <v>916</v>
      </c>
      <c r="D43" s="22" t="s">
        <v>917</v>
      </c>
      <c r="E43" s="22" t="s">
        <v>918</v>
      </c>
      <c r="F43" s="22" t="s">
        <v>919</v>
      </c>
      <c r="G43" s="22" t="s">
        <v>920</v>
      </c>
      <c r="H43" s="22" t="s">
        <v>921</v>
      </c>
      <c r="I43" s="22" t="s">
        <v>922</v>
      </c>
      <c r="J43" s="22" t="s">
        <v>923</v>
      </c>
    </row>
    <row r="44" spans="1:10" x14ac:dyDescent="0.25">
      <c r="A44" s="22" t="s">
        <v>29</v>
      </c>
      <c r="B44" s="24" t="s">
        <v>6</v>
      </c>
      <c r="C44" s="22" t="s">
        <v>924</v>
      </c>
      <c r="D44" s="22" t="s">
        <v>925</v>
      </c>
      <c r="E44" s="22" t="s">
        <v>926</v>
      </c>
      <c r="F44" s="22" t="s">
        <v>927</v>
      </c>
      <c r="G44" s="22" t="s">
        <v>928</v>
      </c>
      <c r="H44" s="22" t="s">
        <v>929</v>
      </c>
      <c r="I44" s="22" t="s">
        <v>930</v>
      </c>
      <c r="J44" s="22" t="s">
        <v>931</v>
      </c>
    </row>
    <row r="45" spans="1:10" x14ac:dyDescent="0.25">
      <c r="A45" s="22" t="s">
        <v>29</v>
      </c>
      <c r="B45" s="24" t="s">
        <v>7</v>
      </c>
      <c r="C45" s="22" t="s">
        <v>932</v>
      </c>
      <c r="D45" s="22" t="s">
        <v>933</v>
      </c>
      <c r="E45" s="22" t="s">
        <v>934</v>
      </c>
      <c r="F45" s="22" t="s">
        <v>935</v>
      </c>
      <c r="G45" s="22" t="s">
        <v>936</v>
      </c>
      <c r="H45" s="22" t="s">
        <v>937</v>
      </c>
      <c r="I45" s="22" t="s">
        <v>938</v>
      </c>
      <c r="J45" s="22" t="s">
        <v>939</v>
      </c>
    </row>
    <row r="46" spans="1:10" x14ac:dyDescent="0.25">
      <c r="A46" s="22" t="s">
        <v>29</v>
      </c>
      <c r="B46" s="24" t="s">
        <v>8</v>
      </c>
      <c r="C46" s="22" t="s">
        <v>940</v>
      </c>
      <c r="D46" s="22" t="s">
        <v>941</v>
      </c>
      <c r="E46" s="22" t="s">
        <v>942</v>
      </c>
      <c r="F46" s="22" t="s">
        <v>943</v>
      </c>
      <c r="G46" s="22" t="s">
        <v>508</v>
      </c>
      <c r="H46" s="22" t="s">
        <v>944</v>
      </c>
      <c r="I46" s="22" t="s">
        <v>945</v>
      </c>
      <c r="J46" s="22" t="s">
        <v>946</v>
      </c>
    </row>
    <row r="47" spans="1:10" x14ac:dyDescent="0.25">
      <c r="A47" s="22" t="s">
        <v>29</v>
      </c>
      <c r="B47" s="24" t="s">
        <v>9</v>
      </c>
      <c r="C47" s="22" t="s">
        <v>947</v>
      </c>
      <c r="D47" s="22" t="s">
        <v>948</v>
      </c>
      <c r="E47" s="22" t="s">
        <v>949</v>
      </c>
      <c r="F47" s="22" t="s">
        <v>950</v>
      </c>
      <c r="G47" s="22" t="s">
        <v>951</v>
      </c>
      <c r="H47" s="22" t="s">
        <v>937</v>
      </c>
      <c r="I47" s="22" t="s">
        <v>952</v>
      </c>
      <c r="J47" s="22" t="s">
        <v>953</v>
      </c>
    </row>
    <row r="48" spans="1:10" x14ac:dyDescent="0.25">
      <c r="A48" s="22" t="s">
        <v>29</v>
      </c>
      <c r="B48" s="24" t="s">
        <v>10</v>
      </c>
      <c r="C48" s="22" t="s">
        <v>954</v>
      </c>
      <c r="D48" s="22" t="s">
        <v>955</v>
      </c>
      <c r="E48" s="22" t="s">
        <v>956</v>
      </c>
      <c r="F48" s="22" t="s">
        <v>957</v>
      </c>
      <c r="G48" s="22" t="s">
        <v>958</v>
      </c>
      <c r="H48" s="22" t="s">
        <v>353</v>
      </c>
      <c r="I48" s="22" t="s">
        <v>959</v>
      </c>
      <c r="J48" s="22" t="s">
        <v>960</v>
      </c>
    </row>
    <row r="49" spans="1:10" x14ac:dyDescent="0.25">
      <c r="A49" s="22" t="s">
        <v>29</v>
      </c>
      <c r="B49" s="24" t="s">
        <v>11</v>
      </c>
      <c r="C49" s="22" t="s">
        <v>961</v>
      </c>
      <c r="D49" s="22" t="s">
        <v>962</v>
      </c>
      <c r="E49" s="22" t="s">
        <v>963</v>
      </c>
      <c r="F49" s="22" t="s">
        <v>964</v>
      </c>
      <c r="G49" s="22" t="s">
        <v>201</v>
      </c>
      <c r="H49" s="22" t="s">
        <v>415</v>
      </c>
      <c r="I49" s="22" t="s">
        <v>965</v>
      </c>
      <c r="J49" s="22" t="s">
        <v>953</v>
      </c>
    </row>
    <row r="50" spans="1:10" x14ac:dyDescent="0.25">
      <c r="A50" s="22" t="s">
        <v>29</v>
      </c>
      <c r="B50" s="24" t="s">
        <v>12</v>
      </c>
      <c r="C50" s="22" t="s">
        <v>966</v>
      </c>
      <c r="D50" s="22" t="s">
        <v>822</v>
      </c>
      <c r="E50" s="22" t="s">
        <v>967</v>
      </c>
      <c r="F50" s="22" t="s">
        <v>968</v>
      </c>
      <c r="G50" s="22" t="s">
        <v>196</v>
      </c>
      <c r="H50" s="22" t="s">
        <v>969</v>
      </c>
      <c r="I50" s="22" t="s">
        <v>970</v>
      </c>
      <c r="J50" s="22" t="s">
        <v>939</v>
      </c>
    </row>
    <row r="51" spans="1:10" x14ac:dyDescent="0.25">
      <c r="A51" s="22" t="s">
        <v>29</v>
      </c>
      <c r="B51" s="24" t="s">
        <v>13</v>
      </c>
      <c r="C51" s="22" t="s">
        <v>971</v>
      </c>
      <c r="D51" s="22" t="s">
        <v>972</v>
      </c>
      <c r="E51" s="22" t="s">
        <v>973</v>
      </c>
      <c r="F51" s="22" t="s">
        <v>974</v>
      </c>
      <c r="G51" s="22" t="s">
        <v>728</v>
      </c>
      <c r="H51" s="22" t="s">
        <v>357</v>
      </c>
      <c r="I51" s="22" t="s">
        <v>975</v>
      </c>
      <c r="J51" s="22" t="s">
        <v>976</v>
      </c>
    </row>
    <row r="52" spans="1:10" x14ac:dyDescent="0.25">
      <c r="A52" s="22" t="s">
        <v>29</v>
      </c>
      <c r="B52" s="24" t="s">
        <v>14</v>
      </c>
      <c r="C52" s="22" t="s">
        <v>977</v>
      </c>
      <c r="D52" s="22" t="s">
        <v>236</v>
      </c>
      <c r="E52" s="22" t="s">
        <v>978</v>
      </c>
      <c r="F52" s="22" t="s">
        <v>979</v>
      </c>
      <c r="G52" s="22" t="s">
        <v>502</v>
      </c>
      <c r="H52" s="22" t="s">
        <v>980</v>
      </c>
      <c r="I52" s="22" t="s">
        <v>981</v>
      </c>
      <c r="J52" s="22" t="s">
        <v>440</v>
      </c>
    </row>
    <row r="53" spans="1:10" x14ac:dyDescent="0.25">
      <c r="A53" s="22" t="s">
        <v>29</v>
      </c>
      <c r="B53" s="24" t="s">
        <v>15</v>
      </c>
      <c r="C53" s="22" t="s">
        <v>982</v>
      </c>
      <c r="D53" s="22" t="s">
        <v>983</v>
      </c>
      <c r="E53" s="22" t="s">
        <v>984</v>
      </c>
      <c r="F53" s="22" t="s">
        <v>985</v>
      </c>
      <c r="G53" s="22" t="s">
        <v>765</v>
      </c>
      <c r="H53" s="22" t="s">
        <v>986</v>
      </c>
      <c r="I53" s="22" t="s">
        <v>987</v>
      </c>
      <c r="J53" s="22" t="s">
        <v>988</v>
      </c>
    </row>
    <row r="54" spans="1:10" x14ac:dyDescent="0.25">
      <c r="A54" s="22" t="s">
        <v>29</v>
      </c>
      <c r="B54" s="24" t="s">
        <v>16</v>
      </c>
      <c r="C54" s="22" t="s">
        <v>989</v>
      </c>
      <c r="D54" s="22" t="s">
        <v>990</v>
      </c>
      <c r="E54" s="22" t="s">
        <v>991</v>
      </c>
      <c r="F54" s="22" t="s">
        <v>992</v>
      </c>
      <c r="G54" s="22" t="s">
        <v>993</v>
      </c>
      <c r="H54" s="22" t="s">
        <v>994</v>
      </c>
      <c r="I54" s="22" t="s">
        <v>995</v>
      </c>
      <c r="J54" s="22" t="s">
        <v>996</v>
      </c>
    </row>
    <row r="55" spans="1:10" x14ac:dyDescent="0.25">
      <c r="A55" s="22" t="s">
        <v>29</v>
      </c>
      <c r="B55" s="24" t="s">
        <v>17</v>
      </c>
      <c r="C55" s="22" t="s">
        <v>997</v>
      </c>
      <c r="D55" s="22" t="s">
        <v>998</v>
      </c>
      <c r="E55" s="22" t="s">
        <v>999</v>
      </c>
      <c r="F55" s="22" t="s">
        <v>1000</v>
      </c>
      <c r="G55" s="22" t="s">
        <v>773</v>
      </c>
      <c r="H55" s="22" t="s">
        <v>646</v>
      </c>
      <c r="I55" s="22" t="s">
        <v>1001</v>
      </c>
      <c r="J55" s="22" t="s">
        <v>1002</v>
      </c>
    </row>
    <row r="56" spans="1:10" x14ac:dyDescent="0.25">
      <c r="A56" s="22" t="s">
        <v>29</v>
      </c>
      <c r="B56" s="24" t="s">
        <v>18</v>
      </c>
      <c r="C56" s="22" t="s">
        <v>1003</v>
      </c>
      <c r="D56" s="22" t="s">
        <v>1004</v>
      </c>
      <c r="E56" s="22" t="s">
        <v>1005</v>
      </c>
      <c r="F56" s="22" t="s">
        <v>1006</v>
      </c>
      <c r="G56" s="22" t="s">
        <v>1007</v>
      </c>
      <c r="H56" s="22" t="s">
        <v>1008</v>
      </c>
      <c r="I56" s="22" t="s">
        <v>1009</v>
      </c>
      <c r="J56" s="22" t="s">
        <v>557</v>
      </c>
    </row>
    <row r="57" spans="1:10" x14ac:dyDescent="0.25">
      <c r="A57" s="22" t="s">
        <v>29</v>
      </c>
      <c r="B57" s="24" t="s">
        <v>19</v>
      </c>
      <c r="C57" s="22" t="s">
        <v>1010</v>
      </c>
      <c r="D57" s="22" t="s">
        <v>1011</v>
      </c>
      <c r="E57" s="22" t="s">
        <v>1012</v>
      </c>
      <c r="F57" s="22" t="s">
        <v>1013</v>
      </c>
      <c r="G57" s="22" t="s">
        <v>1014</v>
      </c>
      <c r="H57" s="22" t="s">
        <v>243</v>
      </c>
      <c r="I57" s="22" t="s">
        <v>1015</v>
      </c>
      <c r="J57" s="22" t="s">
        <v>1016</v>
      </c>
    </row>
    <row r="58" spans="1:10" x14ac:dyDescent="0.25">
      <c r="A58" s="22" t="s">
        <v>29</v>
      </c>
      <c r="B58" s="24" t="s">
        <v>20</v>
      </c>
      <c r="C58" s="22" t="s">
        <v>1017</v>
      </c>
      <c r="D58" s="22" t="s">
        <v>229</v>
      </c>
      <c r="E58" s="22" t="s">
        <v>1018</v>
      </c>
      <c r="F58" s="22" t="s">
        <v>1019</v>
      </c>
      <c r="G58" s="22" t="s">
        <v>233</v>
      </c>
      <c r="H58" s="22" t="s">
        <v>231</v>
      </c>
      <c r="I58" s="22" t="s">
        <v>1020</v>
      </c>
      <c r="J58" s="22" t="s">
        <v>230</v>
      </c>
    </row>
    <row r="59" spans="1:10" x14ac:dyDescent="0.25">
      <c r="A59" s="22" t="s">
        <v>29</v>
      </c>
      <c r="B59" s="24" t="s">
        <v>21</v>
      </c>
      <c r="C59" s="22" t="s">
        <v>1021</v>
      </c>
      <c r="D59" s="22" t="s">
        <v>236</v>
      </c>
      <c r="E59" s="22" t="s">
        <v>1022</v>
      </c>
      <c r="F59" s="22" t="s">
        <v>1023</v>
      </c>
      <c r="G59" s="22" t="s">
        <v>238</v>
      </c>
      <c r="H59" s="22" t="s">
        <v>237</v>
      </c>
      <c r="I59" s="22" t="s">
        <v>1024</v>
      </c>
      <c r="J59" s="22" t="s">
        <v>210</v>
      </c>
    </row>
    <row r="60" spans="1:10" x14ac:dyDescent="0.25">
      <c r="A60" s="22" t="s">
        <v>29</v>
      </c>
      <c r="B60" s="24" t="s">
        <v>22</v>
      </c>
      <c r="C60" s="22" t="s">
        <v>1025</v>
      </c>
      <c r="D60" s="22" t="s">
        <v>241</v>
      </c>
      <c r="E60" s="22" t="s">
        <v>1026</v>
      </c>
      <c r="F60" s="22" t="s">
        <v>1027</v>
      </c>
      <c r="G60" s="22" t="s">
        <v>244</v>
      </c>
      <c r="H60" s="22" t="s">
        <v>243</v>
      </c>
      <c r="I60" s="22" t="s">
        <v>1028</v>
      </c>
      <c r="J60" s="22" t="s">
        <v>242</v>
      </c>
    </row>
    <row r="61" spans="1:10" x14ac:dyDescent="0.25">
      <c r="A61" s="22" t="s">
        <v>29</v>
      </c>
      <c r="B61" s="24" t="s">
        <v>23</v>
      </c>
      <c r="C61" s="22" t="s">
        <v>1029</v>
      </c>
      <c r="D61" s="22" t="s">
        <v>1030</v>
      </c>
      <c r="E61" s="22" t="s">
        <v>1031</v>
      </c>
      <c r="F61" s="22" t="s">
        <v>1032</v>
      </c>
      <c r="G61" s="22" t="s">
        <v>473</v>
      </c>
      <c r="H61" s="22" t="s">
        <v>370</v>
      </c>
      <c r="I61" s="22" t="s">
        <v>1033</v>
      </c>
      <c r="J61" s="22" t="s">
        <v>1034</v>
      </c>
    </row>
    <row r="62" spans="1:10" x14ac:dyDescent="0.25">
      <c r="A62" s="22" t="s">
        <v>26</v>
      </c>
      <c r="B62" s="24" t="s">
        <v>4</v>
      </c>
      <c r="C62" s="22" t="s">
        <v>1035</v>
      </c>
      <c r="D62" s="22" t="s">
        <v>1036</v>
      </c>
      <c r="E62" s="22" t="s">
        <v>1037</v>
      </c>
      <c r="F62" s="22" t="s">
        <v>1038</v>
      </c>
      <c r="G62" s="22" t="s">
        <v>518</v>
      </c>
      <c r="H62" s="22" t="s">
        <v>901</v>
      </c>
      <c r="I62" s="22" t="s">
        <v>1039</v>
      </c>
      <c r="J62" s="22" t="s">
        <v>1040</v>
      </c>
    </row>
    <row r="63" spans="1:10" x14ac:dyDescent="0.25">
      <c r="A63" s="22" t="s">
        <v>26</v>
      </c>
      <c r="B63" s="24" t="s">
        <v>5</v>
      </c>
      <c r="C63" s="22" t="s">
        <v>1041</v>
      </c>
      <c r="D63" s="22" t="s">
        <v>1042</v>
      </c>
      <c r="E63" s="22" t="s">
        <v>1043</v>
      </c>
      <c r="F63" s="22" t="s">
        <v>1044</v>
      </c>
      <c r="G63" s="22" t="s">
        <v>518</v>
      </c>
      <c r="H63" s="22" t="s">
        <v>1045</v>
      </c>
      <c r="I63" s="22" t="s">
        <v>1046</v>
      </c>
      <c r="J63" s="22" t="s">
        <v>1047</v>
      </c>
    </row>
    <row r="64" spans="1:10" x14ac:dyDescent="0.25">
      <c r="A64" s="22" t="s">
        <v>26</v>
      </c>
      <c r="B64" s="24" t="s">
        <v>6</v>
      </c>
      <c r="C64" s="22" t="s">
        <v>1048</v>
      </c>
      <c r="D64" s="22" t="s">
        <v>1049</v>
      </c>
      <c r="E64" s="22" t="s">
        <v>1050</v>
      </c>
      <c r="F64" s="22" t="s">
        <v>1051</v>
      </c>
      <c r="G64" s="22" t="s">
        <v>1052</v>
      </c>
      <c r="H64" s="22" t="s">
        <v>1053</v>
      </c>
      <c r="I64" s="22" t="s">
        <v>1054</v>
      </c>
      <c r="J64" s="22" t="s">
        <v>1055</v>
      </c>
    </row>
    <row r="65" spans="1:10" x14ac:dyDescent="0.25">
      <c r="A65" s="22" t="s">
        <v>26</v>
      </c>
      <c r="B65" s="24" t="s">
        <v>7</v>
      </c>
      <c r="C65" s="22" t="s">
        <v>1056</v>
      </c>
      <c r="D65" s="22" t="s">
        <v>1057</v>
      </c>
      <c r="E65" s="22" t="s">
        <v>1058</v>
      </c>
      <c r="F65" s="22" t="s">
        <v>1059</v>
      </c>
      <c r="G65" s="22" t="s">
        <v>1060</v>
      </c>
      <c r="H65" s="22" t="s">
        <v>1061</v>
      </c>
      <c r="I65" s="22" t="s">
        <v>1062</v>
      </c>
      <c r="J65" s="22" t="s">
        <v>1063</v>
      </c>
    </row>
    <row r="66" spans="1:10" x14ac:dyDescent="0.25">
      <c r="A66" s="22" t="s">
        <v>26</v>
      </c>
      <c r="B66" s="24" t="s">
        <v>8</v>
      </c>
      <c r="C66" s="22" t="s">
        <v>1064</v>
      </c>
      <c r="D66" s="22" t="s">
        <v>1065</v>
      </c>
      <c r="E66" s="22" t="s">
        <v>1066</v>
      </c>
      <c r="F66" s="22" t="s">
        <v>1067</v>
      </c>
      <c r="G66" s="22" t="s">
        <v>1068</v>
      </c>
      <c r="H66" s="22" t="s">
        <v>436</v>
      </c>
      <c r="I66" s="22" t="s">
        <v>1069</v>
      </c>
      <c r="J66" s="22" t="s">
        <v>1070</v>
      </c>
    </row>
    <row r="67" spans="1:10" x14ac:dyDescent="0.25">
      <c r="A67" s="22" t="s">
        <v>26</v>
      </c>
      <c r="B67" s="24" t="s">
        <v>9</v>
      </c>
      <c r="C67" s="22" t="s">
        <v>1071</v>
      </c>
      <c r="D67" s="22" t="s">
        <v>1072</v>
      </c>
      <c r="E67" s="22" t="s">
        <v>1073</v>
      </c>
      <c r="F67" s="22" t="s">
        <v>1074</v>
      </c>
      <c r="G67" s="22" t="s">
        <v>1075</v>
      </c>
      <c r="H67" s="22" t="s">
        <v>384</v>
      </c>
      <c r="I67" s="22" t="s">
        <v>1076</v>
      </c>
      <c r="J67" s="22" t="s">
        <v>1077</v>
      </c>
    </row>
    <row r="68" spans="1:10" x14ac:dyDescent="0.25">
      <c r="A68" s="22" t="s">
        <v>26</v>
      </c>
      <c r="B68" s="24" t="s">
        <v>10</v>
      </c>
      <c r="C68" s="22" t="s">
        <v>1078</v>
      </c>
      <c r="D68" s="22" t="s">
        <v>1079</v>
      </c>
      <c r="E68" s="22" t="s">
        <v>1080</v>
      </c>
      <c r="F68" s="22" t="s">
        <v>1081</v>
      </c>
      <c r="G68" s="22" t="s">
        <v>1082</v>
      </c>
      <c r="H68" s="22" t="s">
        <v>1083</v>
      </c>
      <c r="I68" s="22" t="s">
        <v>1084</v>
      </c>
      <c r="J68" s="22" t="s">
        <v>482</v>
      </c>
    </row>
    <row r="69" spans="1:10" x14ac:dyDescent="0.25">
      <c r="A69" s="22" t="s">
        <v>26</v>
      </c>
      <c r="B69" s="24" t="s">
        <v>11</v>
      </c>
      <c r="C69" s="22" t="s">
        <v>1085</v>
      </c>
      <c r="D69" s="22" t="s">
        <v>1086</v>
      </c>
      <c r="E69" s="22" t="s">
        <v>1087</v>
      </c>
      <c r="F69" s="22" t="s">
        <v>1088</v>
      </c>
      <c r="G69" s="22" t="s">
        <v>468</v>
      </c>
      <c r="H69" s="22" t="s">
        <v>1089</v>
      </c>
      <c r="I69" s="22" t="s">
        <v>1090</v>
      </c>
      <c r="J69" s="22" t="s">
        <v>230</v>
      </c>
    </row>
    <row r="70" spans="1:10" x14ac:dyDescent="0.25">
      <c r="A70" s="22" t="s">
        <v>26</v>
      </c>
      <c r="B70" s="24" t="s">
        <v>12</v>
      </c>
      <c r="C70" s="22" t="s">
        <v>1091</v>
      </c>
      <c r="D70" s="22" t="s">
        <v>1092</v>
      </c>
      <c r="E70" s="22" t="s">
        <v>1093</v>
      </c>
      <c r="F70" s="22" t="s">
        <v>1094</v>
      </c>
      <c r="G70" s="22" t="s">
        <v>1095</v>
      </c>
      <c r="H70" s="22" t="s">
        <v>735</v>
      </c>
      <c r="I70" s="22" t="s">
        <v>1096</v>
      </c>
      <c r="J70" s="22" t="s">
        <v>1097</v>
      </c>
    </row>
    <row r="71" spans="1:10" x14ac:dyDescent="0.25">
      <c r="A71" s="22" t="s">
        <v>26</v>
      </c>
      <c r="B71" s="24" t="s">
        <v>13</v>
      </c>
      <c r="C71" s="22" t="s">
        <v>1098</v>
      </c>
      <c r="D71" s="22" t="s">
        <v>1099</v>
      </c>
      <c r="E71" s="22" t="s">
        <v>1100</v>
      </c>
      <c r="F71" s="22" t="s">
        <v>1101</v>
      </c>
      <c r="G71" s="22" t="s">
        <v>1102</v>
      </c>
      <c r="H71" s="22" t="s">
        <v>267</v>
      </c>
      <c r="I71" s="22" t="s">
        <v>1103</v>
      </c>
      <c r="J71" s="22" t="s">
        <v>1104</v>
      </c>
    </row>
    <row r="72" spans="1:10" x14ac:dyDescent="0.25">
      <c r="A72" s="22" t="s">
        <v>26</v>
      </c>
      <c r="B72" s="24" t="s">
        <v>14</v>
      </c>
      <c r="C72" s="22" t="s">
        <v>1105</v>
      </c>
      <c r="D72" s="22" t="s">
        <v>1106</v>
      </c>
      <c r="E72" s="22" t="s">
        <v>1107</v>
      </c>
      <c r="F72" s="22" t="s">
        <v>1108</v>
      </c>
      <c r="G72" s="22" t="s">
        <v>1109</v>
      </c>
      <c r="H72" s="22" t="s">
        <v>758</v>
      </c>
      <c r="I72" s="22" t="s">
        <v>1110</v>
      </c>
      <c r="J72" s="22" t="s">
        <v>1111</v>
      </c>
    </row>
    <row r="73" spans="1:10" x14ac:dyDescent="0.25">
      <c r="A73" s="22" t="s">
        <v>26</v>
      </c>
      <c r="B73" s="24" t="s">
        <v>15</v>
      </c>
      <c r="C73" s="22" t="s">
        <v>1112</v>
      </c>
      <c r="D73" s="22" t="s">
        <v>1113</v>
      </c>
      <c r="E73" s="22" t="s">
        <v>1114</v>
      </c>
      <c r="F73" s="22" t="s">
        <v>1115</v>
      </c>
      <c r="G73" s="22" t="s">
        <v>1116</v>
      </c>
      <c r="H73" s="22" t="s">
        <v>207</v>
      </c>
      <c r="I73" s="22" t="s">
        <v>1117</v>
      </c>
      <c r="J73" s="22" t="s">
        <v>849</v>
      </c>
    </row>
    <row r="74" spans="1:10" x14ac:dyDescent="0.25">
      <c r="A74" s="22" t="s">
        <v>26</v>
      </c>
      <c r="B74" s="24" t="s">
        <v>16</v>
      </c>
      <c r="C74" s="22" t="s">
        <v>1118</v>
      </c>
      <c r="D74" s="22" t="s">
        <v>1119</v>
      </c>
      <c r="E74" s="22" t="s">
        <v>1120</v>
      </c>
      <c r="F74" s="22" t="s">
        <v>1121</v>
      </c>
      <c r="G74" s="22" t="s">
        <v>1122</v>
      </c>
      <c r="H74" s="22" t="s">
        <v>553</v>
      </c>
      <c r="I74" s="22" t="s">
        <v>1123</v>
      </c>
      <c r="J74" s="22" t="s">
        <v>1124</v>
      </c>
    </row>
    <row r="75" spans="1:10" x14ac:dyDescent="0.25">
      <c r="A75" s="22" t="s">
        <v>26</v>
      </c>
      <c r="B75" s="24" t="s">
        <v>17</v>
      </c>
      <c r="C75" s="22" t="s">
        <v>1125</v>
      </c>
      <c r="D75" s="22" t="s">
        <v>1126</v>
      </c>
      <c r="E75" s="22" t="s">
        <v>1127</v>
      </c>
      <c r="F75" s="22" t="s">
        <v>1128</v>
      </c>
      <c r="G75" s="22" t="s">
        <v>1129</v>
      </c>
      <c r="H75" s="22" t="s">
        <v>1130</v>
      </c>
      <c r="I75" s="22" t="s">
        <v>1131</v>
      </c>
      <c r="J75" s="22" t="s">
        <v>482</v>
      </c>
    </row>
    <row r="76" spans="1:10" x14ac:dyDescent="0.25">
      <c r="A76" s="22" t="s">
        <v>26</v>
      </c>
      <c r="B76" s="24" t="s">
        <v>18</v>
      </c>
      <c r="C76" s="22" t="s">
        <v>1132</v>
      </c>
      <c r="D76" s="22" t="s">
        <v>851</v>
      </c>
      <c r="E76" s="22" t="s">
        <v>1133</v>
      </c>
      <c r="F76" s="22" t="s">
        <v>1134</v>
      </c>
      <c r="G76" s="22" t="s">
        <v>1135</v>
      </c>
      <c r="H76" s="22" t="s">
        <v>195</v>
      </c>
      <c r="I76" s="22" t="s">
        <v>1136</v>
      </c>
      <c r="J76" s="22" t="s">
        <v>484</v>
      </c>
    </row>
    <row r="77" spans="1:10" x14ac:dyDescent="0.25">
      <c r="A77" s="22" t="s">
        <v>26</v>
      </c>
      <c r="B77" s="24" t="s">
        <v>19</v>
      </c>
      <c r="C77" s="22" t="s">
        <v>1137</v>
      </c>
      <c r="D77" s="22" t="s">
        <v>1138</v>
      </c>
      <c r="E77" s="22" t="s">
        <v>1139</v>
      </c>
      <c r="F77" s="22" t="s">
        <v>1140</v>
      </c>
      <c r="G77" s="22" t="s">
        <v>921</v>
      </c>
      <c r="H77" s="22" t="s">
        <v>951</v>
      </c>
      <c r="I77" s="22" t="s">
        <v>1141</v>
      </c>
      <c r="J77" s="22" t="s">
        <v>873</v>
      </c>
    </row>
    <row r="78" spans="1:10" x14ac:dyDescent="0.25">
      <c r="A78" s="22" t="s">
        <v>26</v>
      </c>
      <c r="B78" s="24" t="s">
        <v>20</v>
      </c>
      <c r="C78" s="22" t="s">
        <v>1142</v>
      </c>
      <c r="D78" s="22" t="s">
        <v>1143</v>
      </c>
      <c r="E78" s="22" t="s">
        <v>1144</v>
      </c>
      <c r="F78" s="22" t="s">
        <v>1145</v>
      </c>
      <c r="G78" s="22" t="s">
        <v>1146</v>
      </c>
      <c r="H78" s="22" t="s">
        <v>508</v>
      </c>
      <c r="I78" s="22" t="s">
        <v>1147</v>
      </c>
      <c r="J78" s="22" t="s">
        <v>1148</v>
      </c>
    </row>
    <row r="79" spans="1:10" x14ac:dyDescent="0.25">
      <c r="A79" s="22" t="s">
        <v>26</v>
      </c>
      <c r="B79" s="24" t="s">
        <v>21</v>
      </c>
      <c r="C79" s="22" t="s">
        <v>1149</v>
      </c>
      <c r="D79" s="22" t="s">
        <v>1150</v>
      </c>
      <c r="E79" s="22" t="s">
        <v>1151</v>
      </c>
      <c r="F79" s="22" t="s">
        <v>1152</v>
      </c>
      <c r="G79" s="22" t="s">
        <v>1075</v>
      </c>
      <c r="H79" s="22" t="s">
        <v>512</v>
      </c>
      <c r="I79" s="22" t="s">
        <v>1153</v>
      </c>
      <c r="J79" s="22" t="s">
        <v>1154</v>
      </c>
    </row>
    <row r="80" spans="1:10" x14ac:dyDescent="0.25">
      <c r="A80" s="22" t="s">
        <v>26</v>
      </c>
      <c r="B80" s="24" t="s">
        <v>22</v>
      </c>
      <c r="C80" s="22" t="s">
        <v>1155</v>
      </c>
      <c r="D80" s="22" t="s">
        <v>1156</v>
      </c>
      <c r="E80" s="22" t="s">
        <v>1157</v>
      </c>
      <c r="F80" s="22" t="s">
        <v>1158</v>
      </c>
      <c r="G80" s="22" t="s">
        <v>1159</v>
      </c>
      <c r="H80" s="22" t="s">
        <v>794</v>
      </c>
      <c r="I80" s="22" t="s">
        <v>1160</v>
      </c>
      <c r="J80" s="22" t="s">
        <v>1161</v>
      </c>
    </row>
    <row r="81" spans="1:10" x14ac:dyDescent="0.25">
      <c r="A81" s="22" t="s">
        <v>26</v>
      </c>
      <c r="B81" s="24" t="s">
        <v>23</v>
      </c>
      <c r="C81" s="22" t="s">
        <v>1162</v>
      </c>
      <c r="D81" s="22" t="s">
        <v>1163</v>
      </c>
      <c r="E81" s="22" t="s">
        <v>1164</v>
      </c>
      <c r="F81" s="22" t="s">
        <v>1165</v>
      </c>
      <c r="G81" s="22" t="s">
        <v>661</v>
      </c>
      <c r="H81" s="22" t="s">
        <v>700</v>
      </c>
      <c r="I81" s="22" t="s">
        <v>1166</v>
      </c>
      <c r="J81" s="22" t="s">
        <v>1167</v>
      </c>
    </row>
    <row r="82" spans="1:10" x14ac:dyDescent="0.25">
      <c r="A82" s="22" t="s">
        <v>27</v>
      </c>
      <c r="B82" s="24" t="s">
        <v>4</v>
      </c>
      <c r="C82" s="22" t="s">
        <v>1168</v>
      </c>
      <c r="D82" s="22" t="s">
        <v>1036</v>
      </c>
      <c r="E82" s="22" t="s">
        <v>1169</v>
      </c>
      <c r="F82" s="22" t="s">
        <v>1170</v>
      </c>
      <c r="G82" s="22" t="s">
        <v>1171</v>
      </c>
      <c r="H82" s="22" t="s">
        <v>1060</v>
      </c>
      <c r="I82" s="22" t="s">
        <v>1172</v>
      </c>
      <c r="J82" s="22" t="s">
        <v>1173</v>
      </c>
    </row>
    <row r="83" spans="1:10" x14ac:dyDescent="0.25">
      <c r="A83" s="22" t="s">
        <v>27</v>
      </c>
      <c r="B83" s="24" t="s">
        <v>5</v>
      </c>
      <c r="C83" s="22" t="s">
        <v>1174</v>
      </c>
      <c r="D83" s="22" t="s">
        <v>1175</v>
      </c>
      <c r="E83" s="22" t="s">
        <v>1176</v>
      </c>
      <c r="F83" s="22" t="s">
        <v>1177</v>
      </c>
      <c r="G83" s="22" t="s">
        <v>1178</v>
      </c>
      <c r="H83" s="22" t="s">
        <v>1060</v>
      </c>
      <c r="I83" s="22" t="s">
        <v>1179</v>
      </c>
      <c r="J83" s="22" t="s">
        <v>1180</v>
      </c>
    </row>
    <row r="84" spans="1:10" x14ac:dyDescent="0.25">
      <c r="A84" s="22" t="s">
        <v>27</v>
      </c>
      <c r="B84" s="24" t="s">
        <v>6</v>
      </c>
      <c r="C84" s="22" t="s">
        <v>1181</v>
      </c>
      <c r="D84" s="22" t="s">
        <v>1182</v>
      </c>
      <c r="E84" s="22" t="s">
        <v>1183</v>
      </c>
      <c r="F84" s="22" t="s">
        <v>1184</v>
      </c>
      <c r="G84" s="22" t="s">
        <v>1185</v>
      </c>
      <c r="H84" s="22" t="s">
        <v>727</v>
      </c>
      <c r="I84" s="22" t="s">
        <v>1186</v>
      </c>
      <c r="J84" s="22" t="s">
        <v>1187</v>
      </c>
    </row>
    <row r="85" spans="1:10" x14ac:dyDescent="0.25">
      <c r="A85" s="22" t="s">
        <v>27</v>
      </c>
      <c r="B85" s="24" t="s">
        <v>7</v>
      </c>
      <c r="C85" s="22" t="s">
        <v>1188</v>
      </c>
      <c r="D85" s="22" t="s">
        <v>1189</v>
      </c>
      <c r="E85" s="22" t="s">
        <v>1190</v>
      </c>
      <c r="F85" s="22" t="s">
        <v>1191</v>
      </c>
      <c r="G85" s="22" t="s">
        <v>415</v>
      </c>
      <c r="H85" s="22" t="s">
        <v>781</v>
      </c>
      <c r="I85" s="22" t="s">
        <v>1192</v>
      </c>
      <c r="J85" s="22" t="s">
        <v>1111</v>
      </c>
    </row>
    <row r="86" spans="1:10" x14ac:dyDescent="0.25">
      <c r="A86" s="22" t="s">
        <v>27</v>
      </c>
      <c r="B86" s="24" t="s">
        <v>8</v>
      </c>
      <c r="C86" s="22" t="s">
        <v>1193</v>
      </c>
      <c r="D86" s="22" t="s">
        <v>1194</v>
      </c>
      <c r="E86" s="22" t="s">
        <v>1195</v>
      </c>
      <c r="F86" s="22" t="s">
        <v>1196</v>
      </c>
      <c r="G86" s="22" t="s">
        <v>424</v>
      </c>
      <c r="H86" s="22" t="s">
        <v>1197</v>
      </c>
      <c r="I86" s="22" t="s">
        <v>1198</v>
      </c>
      <c r="J86" s="22" t="s">
        <v>509</v>
      </c>
    </row>
    <row r="87" spans="1:10" x14ac:dyDescent="0.25">
      <c r="A87" s="22" t="s">
        <v>27</v>
      </c>
      <c r="B87" s="24" t="s">
        <v>9</v>
      </c>
      <c r="C87" s="22" t="s">
        <v>1199</v>
      </c>
      <c r="D87" s="22" t="s">
        <v>1200</v>
      </c>
      <c r="E87" s="22" t="s">
        <v>1201</v>
      </c>
      <c r="F87" s="22" t="s">
        <v>1202</v>
      </c>
      <c r="G87" s="22" t="s">
        <v>1203</v>
      </c>
      <c r="H87" s="22" t="s">
        <v>765</v>
      </c>
      <c r="I87" s="22" t="s">
        <v>1204</v>
      </c>
      <c r="J87" s="22" t="s">
        <v>1205</v>
      </c>
    </row>
    <row r="88" spans="1:10" x14ac:dyDescent="0.25">
      <c r="A88" s="22" t="s">
        <v>27</v>
      </c>
      <c r="B88" s="24" t="s">
        <v>10</v>
      </c>
      <c r="C88" s="22" t="s">
        <v>1206</v>
      </c>
      <c r="D88" s="22" t="s">
        <v>1207</v>
      </c>
      <c r="E88" s="22" t="s">
        <v>1208</v>
      </c>
      <c r="F88" s="22" t="s">
        <v>1209</v>
      </c>
      <c r="G88" s="22" t="s">
        <v>1210</v>
      </c>
      <c r="H88" s="22" t="s">
        <v>1211</v>
      </c>
      <c r="I88" s="22" t="s">
        <v>1212</v>
      </c>
      <c r="J88" s="22" t="s">
        <v>1014</v>
      </c>
    </row>
    <row r="89" spans="1:10" x14ac:dyDescent="0.25">
      <c r="A89" s="22" t="s">
        <v>27</v>
      </c>
      <c r="B89" s="24" t="s">
        <v>11</v>
      </c>
      <c r="C89" s="22" t="s">
        <v>1213</v>
      </c>
      <c r="D89" s="22" t="s">
        <v>1214</v>
      </c>
      <c r="E89" s="22" t="s">
        <v>1215</v>
      </c>
      <c r="F89" s="22" t="s">
        <v>1216</v>
      </c>
      <c r="G89" s="22" t="s">
        <v>1217</v>
      </c>
      <c r="H89" s="22" t="s">
        <v>1218</v>
      </c>
      <c r="I89" s="22" t="s">
        <v>1219</v>
      </c>
      <c r="J89" s="22" t="s">
        <v>765</v>
      </c>
    </row>
    <row r="90" spans="1:10" x14ac:dyDescent="0.25">
      <c r="A90" s="22" t="s">
        <v>27</v>
      </c>
      <c r="B90" s="24" t="s">
        <v>12</v>
      </c>
      <c r="C90" s="22" t="s">
        <v>1220</v>
      </c>
      <c r="D90" s="22" t="s">
        <v>1221</v>
      </c>
      <c r="E90" s="22" t="s">
        <v>1222</v>
      </c>
      <c r="F90" s="22" t="s">
        <v>1223</v>
      </c>
      <c r="G90" s="22" t="s">
        <v>1224</v>
      </c>
      <c r="H90" s="22" t="s">
        <v>1225</v>
      </c>
      <c r="I90" s="22" t="s">
        <v>1226</v>
      </c>
      <c r="J90" s="22" t="s">
        <v>795</v>
      </c>
    </row>
    <row r="91" spans="1:10" x14ac:dyDescent="0.25">
      <c r="A91" s="22" t="s">
        <v>27</v>
      </c>
      <c r="B91" s="24" t="s">
        <v>13</v>
      </c>
      <c r="C91" s="22" t="s">
        <v>1227</v>
      </c>
      <c r="D91" s="22" t="s">
        <v>1228</v>
      </c>
      <c r="E91" s="22" t="s">
        <v>1229</v>
      </c>
      <c r="F91" s="22" t="s">
        <v>1230</v>
      </c>
      <c r="G91" s="22" t="s">
        <v>1231</v>
      </c>
      <c r="H91" s="22" t="s">
        <v>1232</v>
      </c>
      <c r="I91" s="22" t="s">
        <v>1233</v>
      </c>
      <c r="J91" s="22" t="s">
        <v>512</v>
      </c>
    </row>
    <row r="92" spans="1:10" x14ac:dyDescent="0.25">
      <c r="A92" s="22" t="s">
        <v>27</v>
      </c>
      <c r="B92" s="24" t="s">
        <v>14</v>
      </c>
      <c r="C92" s="22" t="s">
        <v>1234</v>
      </c>
      <c r="D92" s="22" t="s">
        <v>1235</v>
      </c>
      <c r="E92" s="22" t="s">
        <v>1236</v>
      </c>
      <c r="F92" s="22" t="s">
        <v>1237</v>
      </c>
      <c r="G92" s="22" t="s">
        <v>1238</v>
      </c>
      <c r="H92" s="22" t="s">
        <v>1239</v>
      </c>
      <c r="I92" s="22" t="s">
        <v>1240</v>
      </c>
      <c r="J92" s="22" t="s">
        <v>795</v>
      </c>
    </row>
    <row r="93" spans="1:10" x14ac:dyDescent="0.25">
      <c r="A93" s="22" t="s">
        <v>27</v>
      </c>
      <c r="B93" s="24" t="s">
        <v>15</v>
      </c>
      <c r="C93" s="22" t="s">
        <v>1241</v>
      </c>
      <c r="D93" s="22" t="s">
        <v>1242</v>
      </c>
      <c r="E93" s="22" t="s">
        <v>1243</v>
      </c>
      <c r="F93" s="22" t="s">
        <v>1244</v>
      </c>
      <c r="G93" s="22" t="s">
        <v>1245</v>
      </c>
      <c r="H93" s="22" t="s">
        <v>1246</v>
      </c>
      <c r="I93" s="22" t="s">
        <v>1247</v>
      </c>
      <c r="J93" s="22" t="s">
        <v>233</v>
      </c>
    </row>
    <row r="94" spans="1:10" x14ac:dyDescent="0.25">
      <c r="A94" s="22" t="s">
        <v>27</v>
      </c>
      <c r="B94" s="24" t="s">
        <v>16</v>
      </c>
      <c r="C94" s="22" t="s">
        <v>1248</v>
      </c>
      <c r="D94" s="22" t="s">
        <v>833</v>
      </c>
      <c r="E94" s="22" t="s">
        <v>1249</v>
      </c>
      <c r="F94" s="22" t="s">
        <v>1250</v>
      </c>
      <c r="G94" s="22" t="s">
        <v>1251</v>
      </c>
      <c r="H94" s="22" t="s">
        <v>207</v>
      </c>
      <c r="I94" s="22" t="s">
        <v>1252</v>
      </c>
      <c r="J94" s="22" t="s">
        <v>301</v>
      </c>
    </row>
    <row r="95" spans="1:10" x14ac:dyDescent="0.25">
      <c r="A95" s="22" t="s">
        <v>27</v>
      </c>
      <c r="B95" s="24" t="s">
        <v>17</v>
      </c>
      <c r="C95" s="22" t="s">
        <v>1253</v>
      </c>
      <c r="D95" s="22" t="s">
        <v>1049</v>
      </c>
      <c r="E95" s="22" t="s">
        <v>1254</v>
      </c>
      <c r="F95" s="22" t="s">
        <v>1255</v>
      </c>
      <c r="G95" s="22" t="s">
        <v>1256</v>
      </c>
      <c r="H95" s="22" t="s">
        <v>1257</v>
      </c>
      <c r="I95" s="22" t="s">
        <v>1258</v>
      </c>
      <c r="J95" s="22" t="s">
        <v>1014</v>
      </c>
    </row>
    <row r="96" spans="1:10" x14ac:dyDescent="0.25">
      <c r="A96" s="22" t="s">
        <v>27</v>
      </c>
      <c r="B96" s="24" t="s">
        <v>18</v>
      </c>
      <c r="C96" s="22" t="s">
        <v>1259</v>
      </c>
      <c r="D96" s="22" t="s">
        <v>1182</v>
      </c>
      <c r="E96" s="22" t="s">
        <v>1260</v>
      </c>
      <c r="F96" s="22" t="s">
        <v>1261</v>
      </c>
      <c r="G96" s="22" t="s">
        <v>490</v>
      </c>
      <c r="H96" s="22" t="s">
        <v>1130</v>
      </c>
      <c r="I96" s="22" t="s">
        <v>1262</v>
      </c>
      <c r="J96" s="22" t="s">
        <v>1263</v>
      </c>
    </row>
    <row r="97" spans="1:10" x14ac:dyDescent="0.25">
      <c r="A97" s="22" t="s">
        <v>27</v>
      </c>
      <c r="B97" s="24" t="s">
        <v>19</v>
      </c>
      <c r="C97" s="22" t="s">
        <v>1264</v>
      </c>
      <c r="D97" s="22" t="s">
        <v>1265</v>
      </c>
      <c r="E97" s="22" t="s">
        <v>1266</v>
      </c>
      <c r="F97" s="22" t="s">
        <v>1267</v>
      </c>
      <c r="G97" s="22" t="s">
        <v>1268</v>
      </c>
      <c r="H97" s="22" t="s">
        <v>951</v>
      </c>
      <c r="I97" s="22" t="s">
        <v>1269</v>
      </c>
      <c r="J97" s="22" t="s">
        <v>1270</v>
      </c>
    </row>
    <row r="98" spans="1:10" x14ac:dyDescent="0.25">
      <c r="A98" s="22" t="s">
        <v>27</v>
      </c>
      <c r="B98" s="24" t="s">
        <v>20</v>
      </c>
      <c r="C98" s="22" t="s">
        <v>1271</v>
      </c>
      <c r="D98" s="22" t="s">
        <v>1272</v>
      </c>
      <c r="E98" s="22" t="s">
        <v>1273</v>
      </c>
      <c r="F98" s="22" t="s">
        <v>1274</v>
      </c>
      <c r="G98" s="22" t="s">
        <v>441</v>
      </c>
      <c r="H98" s="22" t="s">
        <v>660</v>
      </c>
      <c r="I98" s="22" t="s">
        <v>1275</v>
      </c>
      <c r="J98" s="22" t="s">
        <v>336</v>
      </c>
    </row>
    <row r="99" spans="1:10" x14ac:dyDescent="0.25">
      <c r="A99" s="22" t="s">
        <v>27</v>
      </c>
      <c r="B99" s="24" t="s">
        <v>21</v>
      </c>
      <c r="C99" s="22" t="s">
        <v>1276</v>
      </c>
      <c r="D99" s="22" t="s">
        <v>1277</v>
      </c>
      <c r="E99" s="22" t="s">
        <v>1278</v>
      </c>
      <c r="F99" s="22" t="s">
        <v>1279</v>
      </c>
      <c r="G99" s="22" t="s">
        <v>1280</v>
      </c>
      <c r="H99" s="22" t="s">
        <v>1211</v>
      </c>
      <c r="I99" s="22" t="s">
        <v>1281</v>
      </c>
      <c r="J99" s="22" t="s">
        <v>1282</v>
      </c>
    </row>
    <row r="100" spans="1:10" x14ac:dyDescent="0.25">
      <c r="A100" s="22" t="s">
        <v>27</v>
      </c>
      <c r="B100" s="24" t="s">
        <v>22</v>
      </c>
      <c r="C100" s="22" t="s">
        <v>1283</v>
      </c>
      <c r="D100" s="22" t="s">
        <v>1214</v>
      </c>
      <c r="E100" s="22" t="s">
        <v>1284</v>
      </c>
      <c r="F100" s="22" t="s">
        <v>1285</v>
      </c>
      <c r="G100" s="22" t="s">
        <v>1280</v>
      </c>
      <c r="H100" s="22" t="s">
        <v>1286</v>
      </c>
      <c r="I100" s="22" t="s">
        <v>1287</v>
      </c>
      <c r="J100" s="22" t="s">
        <v>1148</v>
      </c>
    </row>
    <row r="101" spans="1:10" x14ac:dyDescent="0.25">
      <c r="A101" s="22" t="s">
        <v>27</v>
      </c>
      <c r="B101" s="24" t="s">
        <v>23</v>
      </c>
      <c r="C101" s="22" t="s">
        <v>1288</v>
      </c>
      <c r="D101" s="22" t="s">
        <v>1289</v>
      </c>
      <c r="E101" s="22" t="s">
        <v>1290</v>
      </c>
      <c r="F101" s="22" t="s">
        <v>1291</v>
      </c>
      <c r="G101" s="22" t="s">
        <v>268</v>
      </c>
      <c r="H101" s="22" t="s">
        <v>502</v>
      </c>
      <c r="I101" s="22" t="s">
        <v>1292</v>
      </c>
      <c r="J101" s="22" t="s">
        <v>1293</v>
      </c>
    </row>
    <row r="102" spans="1:10" x14ac:dyDescent="0.25">
      <c r="A102" s="22" t="s">
        <v>32</v>
      </c>
      <c r="B102" s="24" t="s">
        <v>4</v>
      </c>
      <c r="C102" s="22" t="s">
        <v>1294</v>
      </c>
      <c r="D102" s="22" t="s">
        <v>1295</v>
      </c>
      <c r="E102" s="22" t="s">
        <v>1296</v>
      </c>
      <c r="F102" s="22" t="s">
        <v>1297</v>
      </c>
      <c r="G102" s="22" t="s">
        <v>209</v>
      </c>
      <c r="H102" s="22" t="s">
        <v>1211</v>
      </c>
      <c r="I102" s="22" t="s">
        <v>1298</v>
      </c>
      <c r="J102" s="22" t="s">
        <v>1167</v>
      </c>
    </row>
    <row r="103" spans="1:10" x14ac:dyDescent="0.25">
      <c r="A103" s="22" t="s">
        <v>32</v>
      </c>
      <c r="B103" s="24" t="s">
        <v>5</v>
      </c>
      <c r="C103" s="22" t="s">
        <v>1299</v>
      </c>
      <c r="D103" s="22" t="s">
        <v>1300</v>
      </c>
      <c r="E103" s="22" t="s">
        <v>1301</v>
      </c>
      <c r="F103" s="22" t="s">
        <v>1302</v>
      </c>
      <c r="G103" s="22" t="s">
        <v>1303</v>
      </c>
      <c r="H103" s="22" t="s">
        <v>900</v>
      </c>
      <c r="I103" s="22" t="s">
        <v>1304</v>
      </c>
      <c r="J103" s="22" t="s">
        <v>489</v>
      </c>
    </row>
    <row r="104" spans="1:10" x14ac:dyDescent="0.25">
      <c r="A104" s="22" t="s">
        <v>32</v>
      </c>
      <c r="B104" s="24" t="s">
        <v>6</v>
      </c>
      <c r="C104" s="22" t="s">
        <v>1305</v>
      </c>
      <c r="D104" s="22" t="s">
        <v>1306</v>
      </c>
      <c r="E104" s="22" t="s">
        <v>1307</v>
      </c>
      <c r="F104" s="22" t="s">
        <v>1308</v>
      </c>
      <c r="G104" s="22" t="s">
        <v>425</v>
      </c>
      <c r="H104" s="22" t="s">
        <v>1309</v>
      </c>
      <c r="I104" s="22" t="s">
        <v>1310</v>
      </c>
      <c r="J104" s="22" t="s">
        <v>230</v>
      </c>
    </row>
    <row r="105" spans="1:10" x14ac:dyDescent="0.25">
      <c r="A105" s="22" t="s">
        <v>32</v>
      </c>
      <c r="B105" s="24" t="s">
        <v>7</v>
      </c>
      <c r="C105" s="22" t="s">
        <v>1311</v>
      </c>
      <c r="D105" s="22" t="s">
        <v>1312</v>
      </c>
      <c r="E105" s="22" t="s">
        <v>1313</v>
      </c>
      <c r="F105" s="22" t="s">
        <v>1314</v>
      </c>
      <c r="G105" s="22" t="s">
        <v>378</v>
      </c>
      <c r="H105" s="22" t="s">
        <v>202</v>
      </c>
      <c r="I105" s="22" t="s">
        <v>1315</v>
      </c>
      <c r="J105" s="22" t="s">
        <v>1316</v>
      </c>
    </row>
    <row r="106" spans="1:10" x14ac:dyDescent="0.25">
      <c r="A106" s="22" t="s">
        <v>32</v>
      </c>
      <c r="B106" s="24" t="s">
        <v>8</v>
      </c>
      <c r="C106" s="22" t="s">
        <v>1317</v>
      </c>
      <c r="D106" s="22" t="s">
        <v>851</v>
      </c>
      <c r="E106" s="22" t="s">
        <v>1318</v>
      </c>
      <c r="F106" s="22" t="s">
        <v>1319</v>
      </c>
      <c r="G106" s="22" t="s">
        <v>374</v>
      </c>
      <c r="H106" s="22" t="s">
        <v>993</v>
      </c>
      <c r="I106" s="22" t="s">
        <v>1320</v>
      </c>
      <c r="J106" s="22" t="s">
        <v>903</v>
      </c>
    </row>
    <row r="107" spans="1:10" x14ac:dyDescent="0.25">
      <c r="A107" s="22" t="s">
        <v>32</v>
      </c>
      <c r="B107" s="24" t="s">
        <v>9</v>
      </c>
      <c r="C107" s="22" t="s">
        <v>1321</v>
      </c>
      <c r="D107" s="22" t="s">
        <v>650</v>
      </c>
      <c r="E107" s="22" t="s">
        <v>1322</v>
      </c>
      <c r="F107" s="22" t="s">
        <v>1323</v>
      </c>
      <c r="G107" s="22" t="s">
        <v>1324</v>
      </c>
      <c r="H107" s="22" t="s">
        <v>1325</v>
      </c>
      <c r="I107" s="22" t="s">
        <v>1326</v>
      </c>
      <c r="J107" s="22" t="s">
        <v>1040</v>
      </c>
    </row>
    <row r="108" spans="1:10" x14ac:dyDescent="0.25">
      <c r="A108" s="22" t="s">
        <v>32</v>
      </c>
      <c r="B108" s="24" t="s">
        <v>10</v>
      </c>
      <c r="C108" s="22" t="s">
        <v>1327</v>
      </c>
      <c r="D108" s="22" t="s">
        <v>791</v>
      </c>
      <c r="E108" s="22" t="s">
        <v>1328</v>
      </c>
      <c r="F108" s="22" t="s">
        <v>1329</v>
      </c>
      <c r="G108" s="22" t="s">
        <v>1330</v>
      </c>
      <c r="H108" s="22" t="s">
        <v>693</v>
      </c>
      <c r="I108" s="22" t="s">
        <v>1331</v>
      </c>
      <c r="J108" s="22" t="s">
        <v>1332</v>
      </c>
    </row>
    <row r="109" spans="1:10" x14ac:dyDescent="0.25">
      <c r="A109" s="22" t="s">
        <v>32</v>
      </c>
      <c r="B109" s="24" t="s">
        <v>11</v>
      </c>
      <c r="C109" s="22" t="s">
        <v>1333</v>
      </c>
      <c r="D109" s="22" t="s">
        <v>1334</v>
      </c>
      <c r="E109" s="22" t="s">
        <v>1335</v>
      </c>
      <c r="F109" s="22" t="s">
        <v>1336</v>
      </c>
      <c r="G109" s="22" t="s">
        <v>469</v>
      </c>
      <c r="H109" s="22" t="s">
        <v>807</v>
      </c>
      <c r="I109" s="22" t="s">
        <v>1337</v>
      </c>
      <c r="J109" s="22" t="s">
        <v>1055</v>
      </c>
    </row>
    <row r="110" spans="1:10" x14ac:dyDescent="0.25">
      <c r="A110" s="22" t="s">
        <v>32</v>
      </c>
      <c r="B110" s="24" t="s">
        <v>12</v>
      </c>
      <c r="C110" s="22" t="s">
        <v>1338</v>
      </c>
      <c r="D110" s="22" t="s">
        <v>1339</v>
      </c>
      <c r="E110" s="22" t="s">
        <v>1340</v>
      </c>
      <c r="F110" s="22" t="s">
        <v>1341</v>
      </c>
      <c r="G110" s="22" t="s">
        <v>1045</v>
      </c>
      <c r="H110" s="22" t="s">
        <v>267</v>
      </c>
      <c r="I110" s="22" t="s">
        <v>1342</v>
      </c>
      <c r="J110" s="22" t="s">
        <v>1343</v>
      </c>
    </row>
    <row r="111" spans="1:10" x14ac:dyDescent="0.25">
      <c r="A111" s="22" t="s">
        <v>32</v>
      </c>
      <c r="B111" s="24" t="s">
        <v>13</v>
      </c>
      <c r="C111" s="22" t="s">
        <v>1344</v>
      </c>
      <c r="D111" s="22" t="s">
        <v>1242</v>
      </c>
      <c r="E111" s="22" t="s">
        <v>1345</v>
      </c>
      <c r="F111" s="22" t="s">
        <v>1346</v>
      </c>
      <c r="G111" s="22" t="s">
        <v>410</v>
      </c>
      <c r="H111" s="22" t="s">
        <v>1347</v>
      </c>
      <c r="I111" s="22" t="s">
        <v>1348</v>
      </c>
      <c r="J111" s="22" t="s">
        <v>1349</v>
      </c>
    </row>
    <row r="112" spans="1:10" x14ac:dyDescent="0.25">
      <c r="A112" s="22" t="s">
        <v>32</v>
      </c>
      <c r="B112" s="24" t="s">
        <v>14</v>
      </c>
      <c r="C112" s="22" t="s">
        <v>1350</v>
      </c>
      <c r="D112" s="22" t="s">
        <v>1351</v>
      </c>
      <c r="E112" s="22" t="s">
        <v>1352</v>
      </c>
      <c r="F112" s="22" t="s">
        <v>1353</v>
      </c>
      <c r="G112" s="22" t="s">
        <v>1354</v>
      </c>
      <c r="H112" s="22" t="s">
        <v>1347</v>
      </c>
      <c r="I112" s="22" t="s">
        <v>1355</v>
      </c>
      <c r="J112" s="22" t="s">
        <v>1356</v>
      </c>
    </row>
    <row r="113" spans="1:10" x14ac:dyDescent="0.25">
      <c r="A113" s="22" t="s">
        <v>32</v>
      </c>
      <c r="B113" s="24" t="s">
        <v>15</v>
      </c>
      <c r="C113" s="22" t="s">
        <v>1357</v>
      </c>
      <c r="D113" s="22" t="s">
        <v>1358</v>
      </c>
      <c r="E113" s="22" t="s">
        <v>1359</v>
      </c>
      <c r="F113" s="22" t="s">
        <v>1360</v>
      </c>
      <c r="G113" s="22" t="s">
        <v>1361</v>
      </c>
      <c r="H113" s="22" t="s">
        <v>461</v>
      </c>
      <c r="I113" s="22" t="s">
        <v>1362</v>
      </c>
      <c r="J113" s="22" t="s">
        <v>1097</v>
      </c>
    </row>
    <row r="114" spans="1:10" x14ac:dyDescent="0.25">
      <c r="A114" s="22" t="s">
        <v>32</v>
      </c>
      <c r="B114" s="24" t="s">
        <v>16</v>
      </c>
      <c r="C114" s="22" t="s">
        <v>1363</v>
      </c>
      <c r="D114" s="22" t="s">
        <v>476</v>
      </c>
      <c r="E114" s="22" t="s">
        <v>1364</v>
      </c>
      <c r="F114" s="22" t="s">
        <v>1365</v>
      </c>
      <c r="G114" s="22" t="s">
        <v>430</v>
      </c>
      <c r="H114" s="22" t="s">
        <v>1366</v>
      </c>
      <c r="I114" s="22" t="s">
        <v>1367</v>
      </c>
      <c r="J114" s="22" t="s">
        <v>1070</v>
      </c>
    </row>
    <row r="115" spans="1:10" x14ac:dyDescent="0.25">
      <c r="A115" s="22" t="s">
        <v>32</v>
      </c>
      <c r="B115" s="24" t="s">
        <v>17</v>
      </c>
      <c r="C115" s="22" t="s">
        <v>1368</v>
      </c>
      <c r="D115" s="22" t="s">
        <v>1369</v>
      </c>
      <c r="E115" s="22" t="s">
        <v>1370</v>
      </c>
      <c r="F115" s="22" t="s">
        <v>1371</v>
      </c>
      <c r="G115" s="22" t="s">
        <v>1053</v>
      </c>
      <c r="H115" s="22" t="s">
        <v>1372</v>
      </c>
      <c r="I115" s="22" t="s">
        <v>1373</v>
      </c>
      <c r="J115" s="22" t="s">
        <v>1374</v>
      </c>
    </row>
    <row r="116" spans="1:10" x14ac:dyDescent="0.25">
      <c r="A116" s="22" t="s">
        <v>32</v>
      </c>
      <c r="B116" s="24" t="s">
        <v>18</v>
      </c>
      <c r="C116" s="22" t="s">
        <v>1375</v>
      </c>
      <c r="D116" s="22" t="s">
        <v>1376</v>
      </c>
      <c r="E116" s="22" t="s">
        <v>1377</v>
      </c>
      <c r="F116" s="22" t="s">
        <v>1378</v>
      </c>
      <c r="G116" s="22" t="s">
        <v>1061</v>
      </c>
      <c r="H116" s="22" t="s">
        <v>1379</v>
      </c>
      <c r="I116" s="22" t="s">
        <v>1380</v>
      </c>
      <c r="J116" s="22" t="s">
        <v>489</v>
      </c>
    </row>
    <row r="117" spans="1:10" x14ac:dyDescent="0.25">
      <c r="A117" s="22" t="s">
        <v>32</v>
      </c>
      <c r="B117" s="24" t="s">
        <v>19</v>
      </c>
      <c r="C117" s="22" t="s">
        <v>1381</v>
      </c>
      <c r="D117" s="22" t="s">
        <v>1382</v>
      </c>
      <c r="E117" s="22" t="s">
        <v>1383</v>
      </c>
      <c r="F117" s="22" t="s">
        <v>1384</v>
      </c>
      <c r="G117" s="22" t="s">
        <v>384</v>
      </c>
      <c r="H117" s="22" t="s">
        <v>1385</v>
      </c>
      <c r="I117" s="22" t="s">
        <v>1386</v>
      </c>
      <c r="J117" s="22" t="s">
        <v>1232</v>
      </c>
    </row>
    <row r="118" spans="1:10" x14ac:dyDescent="0.25">
      <c r="A118" s="22" t="s">
        <v>32</v>
      </c>
      <c r="B118" s="24" t="s">
        <v>20</v>
      </c>
      <c r="C118" s="22" t="s">
        <v>1387</v>
      </c>
      <c r="D118" s="22" t="s">
        <v>335</v>
      </c>
      <c r="E118" s="22" t="s">
        <v>1388</v>
      </c>
      <c r="F118" s="22" t="s">
        <v>1389</v>
      </c>
      <c r="G118" s="22" t="s">
        <v>338</v>
      </c>
      <c r="H118" s="22" t="s">
        <v>337</v>
      </c>
      <c r="I118" s="22" t="s">
        <v>1390</v>
      </c>
      <c r="J118" s="22" t="s">
        <v>336</v>
      </c>
    </row>
    <row r="119" spans="1:10" x14ac:dyDescent="0.25">
      <c r="A119" s="22" t="s">
        <v>32</v>
      </c>
      <c r="B119" s="24" t="s">
        <v>21</v>
      </c>
      <c r="C119" s="22" t="s">
        <v>1391</v>
      </c>
      <c r="D119" s="22" t="s">
        <v>341</v>
      </c>
      <c r="E119" s="22" t="s">
        <v>1392</v>
      </c>
      <c r="F119" s="22" t="s">
        <v>1393</v>
      </c>
      <c r="G119" s="22" t="s">
        <v>344</v>
      </c>
      <c r="H119" s="22" t="s">
        <v>343</v>
      </c>
      <c r="I119" s="22" t="s">
        <v>1394</v>
      </c>
      <c r="J119" s="22" t="s">
        <v>342</v>
      </c>
    </row>
    <row r="120" spans="1:10" x14ac:dyDescent="0.25">
      <c r="A120" s="22" t="s">
        <v>32</v>
      </c>
      <c r="B120" s="24" t="s">
        <v>22</v>
      </c>
      <c r="C120" s="22" t="s">
        <v>1395</v>
      </c>
      <c r="D120" s="22" t="s">
        <v>347</v>
      </c>
      <c r="E120" s="22" t="s">
        <v>1396</v>
      </c>
      <c r="F120" s="22" t="s">
        <v>1397</v>
      </c>
      <c r="G120" s="22" t="s">
        <v>350</v>
      </c>
      <c r="H120" s="22" t="s">
        <v>349</v>
      </c>
      <c r="I120" s="22" t="s">
        <v>1398</v>
      </c>
      <c r="J120" s="22" t="s">
        <v>348</v>
      </c>
    </row>
    <row r="121" spans="1:10" x14ac:dyDescent="0.25">
      <c r="A121" s="22" t="s">
        <v>32</v>
      </c>
      <c r="B121" s="24" t="s">
        <v>23</v>
      </c>
      <c r="C121" s="22" t="s">
        <v>1399</v>
      </c>
      <c r="D121" s="22" t="s">
        <v>1400</v>
      </c>
      <c r="E121" s="22" t="s">
        <v>1401</v>
      </c>
      <c r="F121" s="22" t="s">
        <v>1402</v>
      </c>
      <c r="G121" s="22" t="s">
        <v>243</v>
      </c>
      <c r="H121" s="22" t="s">
        <v>1403</v>
      </c>
      <c r="I121" s="22" t="s">
        <v>1404</v>
      </c>
      <c r="J121" s="22" t="s">
        <v>352</v>
      </c>
    </row>
    <row r="122" spans="1:10" x14ac:dyDescent="0.25">
      <c r="A122" s="22" t="s">
        <v>31</v>
      </c>
      <c r="B122" s="24" t="s">
        <v>4</v>
      </c>
      <c r="C122" s="22" t="s">
        <v>1405</v>
      </c>
      <c r="D122" s="22" t="s">
        <v>1406</v>
      </c>
      <c r="E122" s="22" t="s">
        <v>1407</v>
      </c>
      <c r="F122" s="22" t="s">
        <v>1408</v>
      </c>
      <c r="G122" s="22" t="s">
        <v>369</v>
      </c>
      <c r="H122" s="22" t="s">
        <v>727</v>
      </c>
      <c r="I122" s="22" t="s">
        <v>1409</v>
      </c>
      <c r="J122" s="22" t="s">
        <v>1187</v>
      </c>
    </row>
    <row r="123" spans="1:10" x14ac:dyDescent="0.25">
      <c r="A123" s="22" t="s">
        <v>31</v>
      </c>
      <c r="B123" s="24" t="s">
        <v>5</v>
      </c>
      <c r="C123" s="22" t="s">
        <v>1410</v>
      </c>
      <c r="D123" s="22" t="s">
        <v>1411</v>
      </c>
      <c r="E123" s="22" t="s">
        <v>1412</v>
      </c>
      <c r="F123" s="22" t="s">
        <v>1413</v>
      </c>
      <c r="G123" s="22" t="s">
        <v>405</v>
      </c>
      <c r="H123" s="22" t="s">
        <v>1060</v>
      </c>
      <c r="I123" s="22" t="s">
        <v>1414</v>
      </c>
      <c r="J123" s="22" t="s">
        <v>849</v>
      </c>
    </row>
    <row r="124" spans="1:10" x14ac:dyDescent="0.25">
      <c r="A124" s="22" t="s">
        <v>31</v>
      </c>
      <c r="B124" s="24" t="s">
        <v>6</v>
      </c>
      <c r="C124" s="22" t="s">
        <v>1415</v>
      </c>
      <c r="D124" s="22" t="s">
        <v>1416</v>
      </c>
      <c r="E124" s="22" t="s">
        <v>1417</v>
      </c>
      <c r="F124" s="22" t="s">
        <v>1418</v>
      </c>
      <c r="G124" s="22" t="s">
        <v>338</v>
      </c>
      <c r="H124" s="22" t="s">
        <v>751</v>
      </c>
      <c r="I124" s="22" t="s">
        <v>1419</v>
      </c>
      <c r="J124" s="22" t="s">
        <v>1420</v>
      </c>
    </row>
    <row r="125" spans="1:10" x14ac:dyDescent="0.25">
      <c r="A125" s="22" t="s">
        <v>31</v>
      </c>
      <c r="B125" s="24" t="s">
        <v>7</v>
      </c>
      <c r="C125" s="22" t="s">
        <v>1421</v>
      </c>
      <c r="D125" s="22" t="s">
        <v>1422</v>
      </c>
      <c r="E125" s="22" t="s">
        <v>1423</v>
      </c>
      <c r="F125" s="22" t="s">
        <v>1424</v>
      </c>
      <c r="G125" s="22" t="s">
        <v>462</v>
      </c>
      <c r="H125" s="22" t="s">
        <v>1425</v>
      </c>
      <c r="I125" s="22" t="s">
        <v>1426</v>
      </c>
      <c r="J125" s="22" t="s">
        <v>1427</v>
      </c>
    </row>
    <row r="126" spans="1:10" x14ac:dyDescent="0.25">
      <c r="A126" s="22" t="s">
        <v>31</v>
      </c>
      <c r="B126" s="24" t="s">
        <v>8</v>
      </c>
      <c r="C126" s="22" t="s">
        <v>1428</v>
      </c>
      <c r="D126" s="22" t="s">
        <v>1429</v>
      </c>
      <c r="E126" s="22" t="s">
        <v>1430</v>
      </c>
      <c r="F126" s="22" t="s">
        <v>1431</v>
      </c>
      <c r="G126" s="22" t="s">
        <v>1432</v>
      </c>
      <c r="H126" s="22" t="s">
        <v>267</v>
      </c>
      <c r="I126" s="22" t="s">
        <v>1433</v>
      </c>
      <c r="J126" s="22" t="s">
        <v>1434</v>
      </c>
    </row>
    <row r="127" spans="1:10" x14ac:dyDescent="0.25">
      <c r="A127" s="22" t="s">
        <v>31</v>
      </c>
      <c r="B127" s="24" t="s">
        <v>9</v>
      </c>
      <c r="C127" s="22" t="s">
        <v>1435</v>
      </c>
      <c r="D127" s="22" t="s">
        <v>1436</v>
      </c>
      <c r="E127" s="22" t="s">
        <v>1437</v>
      </c>
      <c r="F127" s="22" t="s">
        <v>1438</v>
      </c>
      <c r="G127" s="22" t="s">
        <v>1053</v>
      </c>
      <c r="H127" s="22" t="s">
        <v>686</v>
      </c>
      <c r="I127" s="22" t="s">
        <v>1439</v>
      </c>
      <c r="J127" s="22" t="s">
        <v>348</v>
      </c>
    </row>
    <row r="128" spans="1:10" x14ac:dyDescent="0.25">
      <c r="A128" s="22" t="s">
        <v>31</v>
      </c>
      <c r="B128" s="24" t="s">
        <v>10</v>
      </c>
      <c r="C128" s="22" t="s">
        <v>1440</v>
      </c>
      <c r="D128" s="22" t="s">
        <v>962</v>
      </c>
      <c r="E128" s="22" t="s">
        <v>1441</v>
      </c>
      <c r="F128" s="22" t="s">
        <v>1442</v>
      </c>
      <c r="G128" s="22" t="s">
        <v>559</v>
      </c>
      <c r="H128" s="22" t="s">
        <v>1443</v>
      </c>
      <c r="I128" s="22" t="s">
        <v>1444</v>
      </c>
      <c r="J128" s="22" t="s">
        <v>1445</v>
      </c>
    </row>
    <row r="129" spans="1:10" x14ac:dyDescent="0.25">
      <c r="A129" s="22" t="s">
        <v>31</v>
      </c>
      <c r="B129" s="24" t="s">
        <v>11</v>
      </c>
      <c r="C129" s="22" t="s">
        <v>1446</v>
      </c>
      <c r="D129" s="22" t="s">
        <v>1447</v>
      </c>
      <c r="E129" s="22" t="s">
        <v>1448</v>
      </c>
      <c r="F129" s="22" t="s">
        <v>1449</v>
      </c>
      <c r="G129" s="22" t="s">
        <v>1450</v>
      </c>
      <c r="H129" s="22" t="s">
        <v>715</v>
      </c>
      <c r="I129" s="22" t="s">
        <v>1451</v>
      </c>
      <c r="J129" s="22" t="s">
        <v>868</v>
      </c>
    </row>
    <row r="130" spans="1:10" x14ac:dyDescent="0.25">
      <c r="A130" s="22" t="s">
        <v>31</v>
      </c>
      <c r="B130" s="24" t="s">
        <v>12</v>
      </c>
      <c r="C130" s="22" t="s">
        <v>1452</v>
      </c>
      <c r="D130" s="22" t="s">
        <v>1453</v>
      </c>
      <c r="E130" s="22" t="s">
        <v>1454</v>
      </c>
      <c r="F130" s="22" t="s">
        <v>1455</v>
      </c>
      <c r="G130" s="22" t="s">
        <v>1456</v>
      </c>
      <c r="H130" s="22" t="s">
        <v>495</v>
      </c>
      <c r="I130" s="22" t="s">
        <v>1457</v>
      </c>
      <c r="J130" s="22" t="s">
        <v>549</v>
      </c>
    </row>
    <row r="131" spans="1:10" x14ac:dyDescent="0.25">
      <c r="A131" s="22" t="s">
        <v>31</v>
      </c>
      <c r="B131" s="24" t="s">
        <v>13</v>
      </c>
      <c r="C131" s="22" t="s">
        <v>1458</v>
      </c>
      <c r="D131" s="22" t="s">
        <v>1459</v>
      </c>
      <c r="E131" s="22" t="s">
        <v>1460</v>
      </c>
      <c r="F131" s="22" t="s">
        <v>1461</v>
      </c>
      <c r="G131" s="22" t="s">
        <v>1462</v>
      </c>
      <c r="H131" s="22" t="s">
        <v>1463</v>
      </c>
      <c r="I131" s="22" t="s">
        <v>1464</v>
      </c>
      <c r="J131" s="22" t="s">
        <v>1427</v>
      </c>
    </row>
    <row r="132" spans="1:10" x14ac:dyDescent="0.25">
      <c r="A132" s="22" t="s">
        <v>31</v>
      </c>
      <c r="B132" s="24" t="s">
        <v>14</v>
      </c>
      <c r="C132" s="22" t="s">
        <v>1465</v>
      </c>
      <c r="D132" s="22" t="s">
        <v>1466</v>
      </c>
      <c r="E132" s="22" t="s">
        <v>1467</v>
      </c>
      <c r="F132" s="22" t="s">
        <v>1468</v>
      </c>
      <c r="G132" s="22" t="s">
        <v>316</v>
      </c>
      <c r="H132" s="22" t="s">
        <v>492</v>
      </c>
      <c r="I132" s="22" t="s">
        <v>1469</v>
      </c>
      <c r="J132" s="22" t="s">
        <v>1434</v>
      </c>
    </row>
    <row r="133" spans="1:10" x14ac:dyDescent="0.25">
      <c r="A133" s="22" t="s">
        <v>31</v>
      </c>
      <c r="B133" s="24" t="s">
        <v>15</v>
      </c>
      <c r="C133" s="22" t="s">
        <v>1470</v>
      </c>
      <c r="D133" s="22" t="s">
        <v>1471</v>
      </c>
      <c r="E133" s="22" t="s">
        <v>1472</v>
      </c>
      <c r="F133" s="22" t="s">
        <v>1473</v>
      </c>
      <c r="G133" s="22" t="s">
        <v>357</v>
      </c>
      <c r="H133" s="22" t="s">
        <v>1474</v>
      </c>
      <c r="I133" s="22" t="s">
        <v>1475</v>
      </c>
      <c r="J133" s="22" t="s">
        <v>1476</v>
      </c>
    </row>
    <row r="134" spans="1:10" x14ac:dyDescent="0.25">
      <c r="A134" s="22" t="s">
        <v>31</v>
      </c>
      <c r="B134" s="24" t="s">
        <v>16</v>
      </c>
      <c r="C134" s="22" t="s">
        <v>1477</v>
      </c>
      <c r="D134" s="22" t="s">
        <v>1478</v>
      </c>
      <c r="E134" s="22" t="s">
        <v>1479</v>
      </c>
      <c r="F134" s="22" t="s">
        <v>1480</v>
      </c>
      <c r="G134" s="22" t="s">
        <v>1481</v>
      </c>
      <c r="H134" s="22" t="s">
        <v>1263</v>
      </c>
      <c r="I134" s="22" t="s">
        <v>1482</v>
      </c>
      <c r="J134" s="22" t="s">
        <v>1154</v>
      </c>
    </row>
    <row r="135" spans="1:10" x14ac:dyDescent="0.25">
      <c r="A135" s="22" t="s">
        <v>31</v>
      </c>
      <c r="B135" s="24" t="s">
        <v>17</v>
      </c>
      <c r="C135" s="22" t="s">
        <v>1483</v>
      </c>
      <c r="D135" s="22" t="s">
        <v>1484</v>
      </c>
      <c r="E135" s="22" t="s">
        <v>1485</v>
      </c>
      <c r="F135" s="22" t="s">
        <v>1486</v>
      </c>
      <c r="G135" s="22" t="s">
        <v>1487</v>
      </c>
      <c r="H135" s="22" t="s">
        <v>245</v>
      </c>
      <c r="I135" s="22" t="s">
        <v>1488</v>
      </c>
      <c r="J135" s="22" t="s">
        <v>482</v>
      </c>
    </row>
    <row r="136" spans="1:10" x14ac:dyDescent="0.25">
      <c r="A136" s="22" t="s">
        <v>31</v>
      </c>
      <c r="B136" s="24" t="s">
        <v>18</v>
      </c>
      <c r="C136" s="22" t="s">
        <v>1489</v>
      </c>
      <c r="D136" s="22" t="s">
        <v>1490</v>
      </c>
      <c r="E136" s="22" t="s">
        <v>1491</v>
      </c>
      <c r="F136" s="22" t="s">
        <v>1492</v>
      </c>
      <c r="G136" s="22" t="s">
        <v>1493</v>
      </c>
      <c r="H136" s="22" t="s">
        <v>685</v>
      </c>
      <c r="I136" s="22" t="s">
        <v>1494</v>
      </c>
      <c r="J136" s="22" t="s">
        <v>1097</v>
      </c>
    </row>
    <row r="137" spans="1:10" x14ac:dyDescent="0.25">
      <c r="A137" s="22" t="s">
        <v>31</v>
      </c>
      <c r="B137" s="24" t="s">
        <v>19</v>
      </c>
      <c r="C137" s="22" t="s">
        <v>1495</v>
      </c>
      <c r="D137" s="22" t="s">
        <v>1496</v>
      </c>
      <c r="E137" s="22" t="s">
        <v>1497</v>
      </c>
      <c r="F137" s="22" t="s">
        <v>1498</v>
      </c>
      <c r="G137" s="22" t="s">
        <v>425</v>
      </c>
      <c r="H137" s="22" t="s">
        <v>279</v>
      </c>
      <c r="I137" s="22" t="s">
        <v>1499</v>
      </c>
      <c r="J137" s="22" t="s">
        <v>1097</v>
      </c>
    </row>
    <row r="138" spans="1:10" x14ac:dyDescent="0.25">
      <c r="A138" s="22" t="s">
        <v>31</v>
      </c>
      <c r="B138" s="24" t="s">
        <v>20</v>
      </c>
      <c r="C138" s="22" t="s">
        <v>1500</v>
      </c>
      <c r="D138" s="22" t="s">
        <v>299</v>
      </c>
      <c r="E138" s="22" t="s">
        <v>1501</v>
      </c>
      <c r="F138" s="22" t="s">
        <v>1502</v>
      </c>
      <c r="G138" s="22" t="s">
        <v>302</v>
      </c>
      <c r="H138" s="22" t="s">
        <v>301</v>
      </c>
      <c r="I138" s="22" t="s">
        <v>1503</v>
      </c>
      <c r="J138" s="22" t="s">
        <v>300</v>
      </c>
    </row>
    <row r="139" spans="1:10" x14ac:dyDescent="0.25">
      <c r="A139" s="22" t="s">
        <v>31</v>
      </c>
      <c r="B139" s="24" t="s">
        <v>21</v>
      </c>
      <c r="C139" s="22" t="s">
        <v>1504</v>
      </c>
      <c r="D139" s="22" t="s">
        <v>306</v>
      </c>
      <c r="E139" s="22" t="s">
        <v>1505</v>
      </c>
      <c r="F139" s="22" t="s">
        <v>1506</v>
      </c>
      <c r="G139" s="22" t="s">
        <v>309</v>
      </c>
      <c r="H139" s="22" t="s">
        <v>308</v>
      </c>
      <c r="I139" s="22" t="s">
        <v>1507</v>
      </c>
      <c r="J139" s="22" t="s">
        <v>307</v>
      </c>
    </row>
    <row r="140" spans="1:10" x14ac:dyDescent="0.25">
      <c r="A140" s="22" t="s">
        <v>31</v>
      </c>
      <c r="B140" s="24" t="s">
        <v>22</v>
      </c>
      <c r="C140" s="22" t="s">
        <v>1508</v>
      </c>
      <c r="D140" s="22" t="s">
        <v>313</v>
      </c>
      <c r="E140" s="22" t="s">
        <v>1509</v>
      </c>
      <c r="F140" s="22" t="s">
        <v>1510</v>
      </c>
      <c r="G140" s="22" t="s">
        <v>316</v>
      </c>
      <c r="H140" s="22" t="s">
        <v>315</v>
      </c>
      <c r="I140" s="22" t="s">
        <v>1511</v>
      </c>
      <c r="J140" s="22" t="s">
        <v>314</v>
      </c>
    </row>
    <row r="141" spans="1:10" x14ac:dyDescent="0.25">
      <c r="A141" s="22" t="s">
        <v>31</v>
      </c>
      <c r="B141" s="24" t="s">
        <v>23</v>
      </c>
      <c r="C141" s="22" t="s">
        <v>1512</v>
      </c>
      <c r="D141" s="22" t="s">
        <v>1513</v>
      </c>
      <c r="E141" s="22" t="s">
        <v>1514</v>
      </c>
      <c r="F141" s="22" t="s">
        <v>1515</v>
      </c>
      <c r="G141" s="22" t="s">
        <v>994</v>
      </c>
      <c r="H141" s="22" t="s">
        <v>1516</v>
      </c>
      <c r="I141" s="22" t="s">
        <v>1517</v>
      </c>
      <c r="J141" s="22" t="s">
        <v>1518</v>
      </c>
    </row>
    <row r="142" spans="1:10" x14ac:dyDescent="0.25">
      <c r="A142" s="22" t="s">
        <v>34</v>
      </c>
      <c r="B142" s="24" t="s">
        <v>4</v>
      </c>
      <c r="C142" s="22" t="s">
        <v>1519</v>
      </c>
      <c r="D142" s="22" t="s">
        <v>1520</v>
      </c>
      <c r="E142" s="22" t="s">
        <v>1521</v>
      </c>
      <c r="F142" s="22" t="s">
        <v>1522</v>
      </c>
      <c r="G142" s="22" t="s">
        <v>1523</v>
      </c>
      <c r="H142" s="22" t="s">
        <v>1524</v>
      </c>
      <c r="I142" s="22" t="s">
        <v>1525</v>
      </c>
      <c r="J142" s="22" t="s">
        <v>1526</v>
      </c>
    </row>
    <row r="143" spans="1:10" x14ac:dyDescent="0.25">
      <c r="A143" s="22" t="s">
        <v>34</v>
      </c>
      <c r="B143" s="24" t="s">
        <v>5</v>
      </c>
      <c r="C143" s="22" t="s">
        <v>1527</v>
      </c>
      <c r="D143" s="22" t="s">
        <v>1528</v>
      </c>
      <c r="E143" s="22" t="s">
        <v>1529</v>
      </c>
      <c r="F143" s="22" t="s">
        <v>1530</v>
      </c>
      <c r="G143" s="22" t="s">
        <v>668</v>
      </c>
      <c r="H143" s="22" t="s">
        <v>1462</v>
      </c>
      <c r="I143" s="22" t="s">
        <v>1531</v>
      </c>
      <c r="J143" s="22" t="s">
        <v>1532</v>
      </c>
    </row>
    <row r="144" spans="1:10" x14ac:dyDescent="0.25">
      <c r="A144" s="22" t="s">
        <v>34</v>
      </c>
      <c r="B144" s="24" t="s">
        <v>6</v>
      </c>
      <c r="C144" s="22" t="s">
        <v>1533</v>
      </c>
      <c r="D144" s="22" t="s">
        <v>1534</v>
      </c>
      <c r="E144" s="22" t="s">
        <v>1535</v>
      </c>
      <c r="F144" s="22" t="s">
        <v>1536</v>
      </c>
      <c r="G144" s="22" t="s">
        <v>1523</v>
      </c>
      <c r="H144" s="22" t="s">
        <v>384</v>
      </c>
      <c r="I144" s="22" t="s">
        <v>1537</v>
      </c>
      <c r="J144" s="22" t="s">
        <v>1538</v>
      </c>
    </row>
    <row r="145" spans="1:10" x14ac:dyDescent="0.25">
      <c r="A145" s="22" t="s">
        <v>34</v>
      </c>
      <c r="B145" s="24" t="s">
        <v>7</v>
      </c>
      <c r="C145" s="22" t="s">
        <v>1539</v>
      </c>
      <c r="D145" s="22" t="s">
        <v>1540</v>
      </c>
      <c r="E145" s="22" t="s">
        <v>1541</v>
      </c>
      <c r="F145" s="22" t="s">
        <v>1542</v>
      </c>
      <c r="G145" s="22" t="s">
        <v>1045</v>
      </c>
      <c r="H145" s="22" t="s">
        <v>425</v>
      </c>
      <c r="I145" s="22" t="s">
        <v>1543</v>
      </c>
      <c r="J145" s="22" t="s">
        <v>1532</v>
      </c>
    </row>
    <row r="146" spans="1:10" x14ac:dyDescent="0.25">
      <c r="A146" s="22" t="s">
        <v>34</v>
      </c>
      <c r="B146" s="24" t="s">
        <v>8</v>
      </c>
      <c r="C146" s="22" t="s">
        <v>1544</v>
      </c>
      <c r="D146" s="22" t="s">
        <v>439</v>
      </c>
      <c r="E146" s="22" t="s">
        <v>1545</v>
      </c>
      <c r="F146" s="22" t="s">
        <v>1546</v>
      </c>
      <c r="G146" s="22" t="s">
        <v>1146</v>
      </c>
      <c r="H146" s="22" t="s">
        <v>430</v>
      </c>
      <c r="I146" s="22" t="s">
        <v>1547</v>
      </c>
      <c r="J146" s="22" t="s">
        <v>1347</v>
      </c>
    </row>
    <row r="147" spans="1:10" x14ac:dyDescent="0.25">
      <c r="A147" s="22" t="s">
        <v>34</v>
      </c>
      <c r="B147" s="24" t="s">
        <v>9</v>
      </c>
      <c r="C147" s="22" t="s">
        <v>1548</v>
      </c>
      <c r="D147" s="22" t="s">
        <v>1549</v>
      </c>
      <c r="E147" s="22" t="s">
        <v>1550</v>
      </c>
      <c r="F147" s="22" t="s">
        <v>1551</v>
      </c>
      <c r="G147" s="22" t="s">
        <v>653</v>
      </c>
      <c r="H147" s="22" t="s">
        <v>1552</v>
      </c>
      <c r="I147" s="22" t="s">
        <v>1553</v>
      </c>
      <c r="J147" s="22" t="s">
        <v>1554</v>
      </c>
    </row>
    <row r="148" spans="1:10" x14ac:dyDescent="0.25">
      <c r="A148" s="22" t="s">
        <v>34</v>
      </c>
      <c r="B148" s="24" t="s">
        <v>10</v>
      </c>
      <c r="C148" s="22" t="s">
        <v>1555</v>
      </c>
      <c r="D148" s="22" t="s">
        <v>1556</v>
      </c>
      <c r="E148" s="22" t="s">
        <v>1557</v>
      </c>
      <c r="F148" s="22" t="s">
        <v>1558</v>
      </c>
      <c r="G148" s="22" t="s">
        <v>1559</v>
      </c>
      <c r="H148" s="22" t="s">
        <v>1330</v>
      </c>
      <c r="I148" s="22" t="s">
        <v>1560</v>
      </c>
      <c r="J148" s="22" t="s">
        <v>1561</v>
      </c>
    </row>
    <row r="149" spans="1:10" x14ac:dyDescent="0.25">
      <c r="A149" s="22" t="s">
        <v>34</v>
      </c>
      <c r="B149" s="24" t="s">
        <v>11</v>
      </c>
      <c r="C149" s="22" t="s">
        <v>1562</v>
      </c>
      <c r="D149" s="22" t="s">
        <v>1228</v>
      </c>
      <c r="E149" s="22" t="s">
        <v>1563</v>
      </c>
      <c r="F149" s="22" t="s">
        <v>1564</v>
      </c>
      <c r="G149" s="22" t="s">
        <v>542</v>
      </c>
      <c r="H149" s="22" t="s">
        <v>1524</v>
      </c>
      <c r="I149" s="22" t="s">
        <v>1565</v>
      </c>
      <c r="J149" s="22" t="s">
        <v>1566</v>
      </c>
    </row>
    <row r="150" spans="1:10" x14ac:dyDescent="0.25">
      <c r="A150" s="22" t="s">
        <v>34</v>
      </c>
      <c r="B150" s="24" t="s">
        <v>12</v>
      </c>
      <c r="C150" s="22" t="s">
        <v>1567</v>
      </c>
      <c r="D150" s="22" t="s">
        <v>1568</v>
      </c>
      <c r="E150" s="22" t="s">
        <v>1569</v>
      </c>
      <c r="F150" s="22" t="s">
        <v>1570</v>
      </c>
      <c r="G150" s="22" t="s">
        <v>468</v>
      </c>
      <c r="H150" s="22" t="s">
        <v>1083</v>
      </c>
      <c r="I150" s="22" t="s">
        <v>1571</v>
      </c>
      <c r="J150" s="22" t="s">
        <v>1347</v>
      </c>
    </row>
    <row r="151" spans="1:10" x14ac:dyDescent="0.25">
      <c r="A151" s="22" t="s">
        <v>34</v>
      </c>
      <c r="B151" s="24" t="s">
        <v>13</v>
      </c>
      <c r="C151" s="22" t="s">
        <v>1572</v>
      </c>
      <c r="D151" s="22" t="s">
        <v>791</v>
      </c>
      <c r="E151" s="22" t="s">
        <v>1573</v>
      </c>
      <c r="F151" s="22" t="s">
        <v>1574</v>
      </c>
      <c r="G151" s="22" t="s">
        <v>1146</v>
      </c>
      <c r="H151" s="22" t="s">
        <v>1552</v>
      </c>
      <c r="I151" s="22" t="s">
        <v>1575</v>
      </c>
      <c r="J151" s="22" t="s">
        <v>1270</v>
      </c>
    </row>
    <row r="152" spans="1:10" x14ac:dyDescent="0.25">
      <c r="A152" s="22" t="s">
        <v>34</v>
      </c>
      <c r="B152" s="24" t="s">
        <v>14</v>
      </c>
      <c r="C152" s="22" t="s">
        <v>1576</v>
      </c>
      <c r="D152" s="22" t="s">
        <v>1334</v>
      </c>
      <c r="E152" s="22" t="s">
        <v>1577</v>
      </c>
      <c r="F152" s="22" t="s">
        <v>1578</v>
      </c>
      <c r="G152" s="22" t="s">
        <v>469</v>
      </c>
      <c r="H152" s="22" t="s">
        <v>1579</v>
      </c>
      <c r="I152" s="22" t="s">
        <v>1580</v>
      </c>
      <c r="J152" s="22" t="s">
        <v>928</v>
      </c>
    </row>
    <row r="153" spans="1:10" x14ac:dyDescent="0.25">
      <c r="A153" s="22" t="s">
        <v>34</v>
      </c>
      <c r="B153" s="24" t="s">
        <v>15</v>
      </c>
      <c r="C153" s="22" t="s">
        <v>1581</v>
      </c>
      <c r="D153" s="22" t="s">
        <v>466</v>
      </c>
      <c r="E153" s="22" t="s">
        <v>1582</v>
      </c>
      <c r="F153" s="22" t="s">
        <v>1583</v>
      </c>
      <c r="G153" s="22" t="s">
        <v>944</v>
      </c>
      <c r="H153" s="22" t="s">
        <v>980</v>
      </c>
      <c r="I153" s="22" t="s">
        <v>1584</v>
      </c>
      <c r="J153" s="22" t="s">
        <v>272</v>
      </c>
    </row>
    <row r="154" spans="1:10" x14ac:dyDescent="0.25">
      <c r="A154" s="22" t="s">
        <v>34</v>
      </c>
      <c r="B154" s="24" t="s">
        <v>16</v>
      </c>
      <c r="C154" s="22" t="s">
        <v>1585</v>
      </c>
      <c r="D154" s="22" t="s">
        <v>1586</v>
      </c>
      <c r="E154" s="22" t="s">
        <v>1587</v>
      </c>
      <c r="F154" s="22" t="s">
        <v>1588</v>
      </c>
      <c r="G154" s="22" t="s">
        <v>1589</v>
      </c>
      <c r="H154" s="22" t="s">
        <v>1590</v>
      </c>
      <c r="I154" s="22" t="s">
        <v>1591</v>
      </c>
      <c r="J154" s="22" t="s">
        <v>1592</v>
      </c>
    </row>
    <row r="155" spans="1:10" x14ac:dyDescent="0.25">
      <c r="A155" s="22" t="s">
        <v>34</v>
      </c>
      <c r="B155" s="24" t="s">
        <v>17</v>
      </c>
      <c r="C155" s="22" t="s">
        <v>1593</v>
      </c>
      <c r="D155" s="22" t="s">
        <v>1594</v>
      </c>
      <c r="E155" s="22" t="s">
        <v>1595</v>
      </c>
      <c r="F155" s="22" t="s">
        <v>1596</v>
      </c>
      <c r="G155" s="22" t="s">
        <v>338</v>
      </c>
      <c r="H155" s="22" t="s">
        <v>878</v>
      </c>
      <c r="I155" s="22" t="s">
        <v>1597</v>
      </c>
      <c r="J155" s="22" t="s">
        <v>1561</v>
      </c>
    </row>
    <row r="156" spans="1:10" x14ac:dyDescent="0.25">
      <c r="A156" s="22" t="s">
        <v>34</v>
      </c>
      <c r="B156" s="24" t="s">
        <v>18</v>
      </c>
      <c r="C156" s="22" t="s">
        <v>1598</v>
      </c>
      <c r="D156" s="22" t="s">
        <v>1599</v>
      </c>
      <c r="E156" s="22" t="s">
        <v>1600</v>
      </c>
      <c r="F156" s="22" t="s">
        <v>1601</v>
      </c>
      <c r="G156" s="22" t="s">
        <v>1462</v>
      </c>
      <c r="H156" s="22" t="s">
        <v>646</v>
      </c>
      <c r="I156" s="22" t="s">
        <v>1602</v>
      </c>
      <c r="J156" s="22" t="s">
        <v>928</v>
      </c>
    </row>
    <row r="157" spans="1:10" x14ac:dyDescent="0.25">
      <c r="A157" s="22" t="s">
        <v>34</v>
      </c>
      <c r="B157" s="24" t="s">
        <v>19</v>
      </c>
      <c r="C157" s="22" t="s">
        <v>1603</v>
      </c>
      <c r="D157" s="22" t="s">
        <v>1604</v>
      </c>
      <c r="E157" s="22" t="s">
        <v>1605</v>
      </c>
      <c r="F157" s="22" t="s">
        <v>1606</v>
      </c>
      <c r="G157" s="22" t="s">
        <v>1607</v>
      </c>
      <c r="H157" s="22" t="s">
        <v>1008</v>
      </c>
      <c r="I157" s="22" t="s">
        <v>1608</v>
      </c>
      <c r="J157" s="22" t="s">
        <v>278</v>
      </c>
    </row>
    <row r="158" spans="1:10" x14ac:dyDescent="0.25">
      <c r="A158" s="22" t="s">
        <v>34</v>
      </c>
      <c r="B158" s="24" t="s">
        <v>20</v>
      </c>
      <c r="C158" s="22" t="s">
        <v>1609</v>
      </c>
      <c r="D158" s="22" t="s">
        <v>460</v>
      </c>
      <c r="E158" s="22" t="s">
        <v>1610</v>
      </c>
      <c r="F158" s="22" t="s">
        <v>1611</v>
      </c>
      <c r="G158" s="22" t="s">
        <v>463</v>
      </c>
      <c r="H158" s="22" t="s">
        <v>462</v>
      </c>
      <c r="I158" s="22" t="s">
        <v>1612</v>
      </c>
      <c r="J158" s="22" t="s">
        <v>461</v>
      </c>
    </row>
    <row r="159" spans="1:10" x14ac:dyDescent="0.25">
      <c r="A159" s="22" t="s">
        <v>34</v>
      </c>
      <c r="B159" s="24" t="s">
        <v>21</v>
      </c>
      <c r="C159" s="22" t="s">
        <v>1613</v>
      </c>
      <c r="D159" s="22" t="s">
        <v>466</v>
      </c>
      <c r="E159" s="22" t="s">
        <v>1614</v>
      </c>
      <c r="F159" s="22" t="s">
        <v>1615</v>
      </c>
      <c r="G159" s="22" t="s">
        <v>469</v>
      </c>
      <c r="H159" s="22" t="s">
        <v>468</v>
      </c>
      <c r="I159" s="22" t="s">
        <v>1616</v>
      </c>
      <c r="J159" s="22" t="s">
        <v>467</v>
      </c>
    </row>
    <row r="160" spans="1:10" x14ac:dyDescent="0.25">
      <c r="A160" s="22" t="s">
        <v>34</v>
      </c>
      <c r="B160" s="24" t="s">
        <v>22</v>
      </c>
      <c r="C160" s="22" t="s">
        <v>1617</v>
      </c>
      <c r="D160" s="22" t="s">
        <v>472</v>
      </c>
      <c r="E160" s="22" t="s">
        <v>1618</v>
      </c>
      <c r="F160" s="22" t="s">
        <v>1619</v>
      </c>
      <c r="G160" s="22" t="s">
        <v>338</v>
      </c>
      <c r="H160" s="22" t="s">
        <v>274</v>
      </c>
      <c r="I160" s="22" t="s">
        <v>1620</v>
      </c>
      <c r="J160" s="22" t="s">
        <v>473</v>
      </c>
    </row>
    <row r="161" spans="1:10" x14ac:dyDescent="0.25">
      <c r="A161" s="22" t="s">
        <v>34</v>
      </c>
      <c r="B161" s="24" t="s">
        <v>23</v>
      </c>
      <c r="C161" s="22" t="s">
        <v>1621</v>
      </c>
      <c r="D161" s="22" t="s">
        <v>476</v>
      </c>
      <c r="E161" s="22" t="s">
        <v>1622</v>
      </c>
      <c r="F161" s="22" t="s">
        <v>1623</v>
      </c>
      <c r="G161" s="22" t="s">
        <v>469</v>
      </c>
      <c r="H161" s="22" t="s">
        <v>468</v>
      </c>
      <c r="I161" s="22" t="s">
        <v>1624</v>
      </c>
      <c r="J161" s="22" t="s">
        <v>477</v>
      </c>
    </row>
    <row r="162" spans="1:10" x14ac:dyDescent="0.25">
      <c r="A162" s="22" t="s">
        <v>634</v>
      </c>
      <c r="B162" s="22" t="s">
        <v>1</v>
      </c>
      <c r="C162" s="23" t="s">
        <v>49</v>
      </c>
      <c r="D162" s="23" t="s">
        <v>51</v>
      </c>
      <c r="E162" s="22" t="s">
        <v>52</v>
      </c>
      <c r="F162" s="22" t="s">
        <v>53</v>
      </c>
      <c r="G162" s="23" t="s">
        <v>54</v>
      </c>
      <c r="H162" s="23" t="s">
        <v>55</v>
      </c>
      <c r="I162" s="22" t="s">
        <v>56</v>
      </c>
      <c r="J162" s="23" t="s">
        <v>57</v>
      </c>
    </row>
    <row r="163" spans="1:10" x14ac:dyDescent="0.25">
      <c r="A163" s="22" t="s">
        <v>28</v>
      </c>
      <c r="B163" s="24" t="s">
        <v>4</v>
      </c>
      <c r="C163" s="22" t="s">
        <v>1625</v>
      </c>
      <c r="D163" s="22" t="s">
        <v>1626</v>
      </c>
      <c r="E163" s="22" t="s">
        <v>1627</v>
      </c>
      <c r="F163" s="22" t="s">
        <v>1628</v>
      </c>
      <c r="G163" s="22" t="s">
        <v>1116</v>
      </c>
      <c r="H163" s="22" t="s">
        <v>1629</v>
      </c>
      <c r="I163" s="22" t="s">
        <v>1630</v>
      </c>
      <c r="J163" s="22" t="s">
        <v>473</v>
      </c>
    </row>
    <row r="164" spans="1:10" x14ac:dyDescent="0.25">
      <c r="A164" s="22" t="s">
        <v>28</v>
      </c>
      <c r="B164" s="24" t="s">
        <v>5</v>
      </c>
      <c r="C164" s="22" t="s">
        <v>1631</v>
      </c>
      <c r="D164" s="22" t="s">
        <v>1632</v>
      </c>
      <c r="E164" s="22" t="s">
        <v>1633</v>
      </c>
      <c r="F164" s="22" t="s">
        <v>1634</v>
      </c>
      <c r="G164" s="22" t="s">
        <v>1635</v>
      </c>
      <c r="H164" s="22" t="s">
        <v>1636</v>
      </c>
      <c r="I164" s="22" t="s">
        <v>1637</v>
      </c>
      <c r="J164" s="22" t="s">
        <v>1638</v>
      </c>
    </row>
    <row r="165" spans="1:10" x14ac:dyDescent="0.25">
      <c r="A165" s="22" t="s">
        <v>28</v>
      </c>
      <c r="B165" s="24" t="s">
        <v>6</v>
      </c>
      <c r="C165" s="22" t="s">
        <v>1639</v>
      </c>
      <c r="D165" s="22" t="s">
        <v>1640</v>
      </c>
      <c r="E165" s="22" t="s">
        <v>1641</v>
      </c>
      <c r="F165" s="22" t="s">
        <v>1642</v>
      </c>
      <c r="G165" s="22" t="s">
        <v>1643</v>
      </c>
      <c r="H165" s="22" t="s">
        <v>1218</v>
      </c>
      <c r="I165" s="22" t="s">
        <v>1644</v>
      </c>
      <c r="J165" s="22" t="s">
        <v>201</v>
      </c>
    </row>
    <row r="166" spans="1:10" x14ac:dyDescent="0.25">
      <c r="A166" s="22" t="s">
        <v>28</v>
      </c>
      <c r="B166" s="24" t="s">
        <v>7</v>
      </c>
      <c r="C166" s="22" t="s">
        <v>1645</v>
      </c>
      <c r="D166" s="22" t="s">
        <v>1646</v>
      </c>
      <c r="E166" s="22" t="s">
        <v>1647</v>
      </c>
      <c r="F166" s="22" t="s">
        <v>1648</v>
      </c>
      <c r="G166" s="22" t="s">
        <v>1649</v>
      </c>
      <c r="H166" s="22" t="s">
        <v>342</v>
      </c>
      <c r="I166" s="22" t="s">
        <v>1650</v>
      </c>
      <c r="J166" s="22" t="s">
        <v>1651</v>
      </c>
    </row>
    <row r="167" spans="1:10" x14ac:dyDescent="0.25">
      <c r="A167" s="22" t="s">
        <v>28</v>
      </c>
      <c r="B167" s="24" t="s">
        <v>8</v>
      </c>
      <c r="C167" s="22" t="s">
        <v>1652</v>
      </c>
      <c r="D167" s="22" t="s">
        <v>851</v>
      </c>
      <c r="E167" s="22" t="s">
        <v>1653</v>
      </c>
      <c r="F167" s="22" t="s">
        <v>1654</v>
      </c>
      <c r="G167" s="22" t="s">
        <v>1655</v>
      </c>
      <c r="H167" s="22" t="s">
        <v>1656</v>
      </c>
      <c r="I167" s="22" t="s">
        <v>1657</v>
      </c>
      <c r="J167" s="22" t="s">
        <v>201</v>
      </c>
    </row>
    <row r="168" spans="1:10" x14ac:dyDescent="0.25">
      <c r="A168" s="22" t="s">
        <v>28</v>
      </c>
      <c r="B168" s="24" t="s">
        <v>9</v>
      </c>
      <c r="C168" s="22" t="s">
        <v>1658</v>
      </c>
      <c r="D168" s="22" t="s">
        <v>1659</v>
      </c>
      <c r="E168" s="22" t="s">
        <v>1660</v>
      </c>
      <c r="F168" s="22" t="s">
        <v>1661</v>
      </c>
      <c r="G168" s="22" t="s">
        <v>424</v>
      </c>
      <c r="H168" s="22" t="s">
        <v>1516</v>
      </c>
      <c r="I168" s="22" t="s">
        <v>1662</v>
      </c>
      <c r="J168" s="22" t="s">
        <v>1532</v>
      </c>
    </row>
    <row r="169" spans="1:10" x14ac:dyDescent="0.25">
      <c r="A169" s="22" t="s">
        <v>28</v>
      </c>
      <c r="B169" s="24" t="s">
        <v>10</v>
      </c>
      <c r="C169" s="22" t="s">
        <v>1663</v>
      </c>
      <c r="D169" s="22" t="s">
        <v>1664</v>
      </c>
      <c r="E169" s="22" t="s">
        <v>1665</v>
      </c>
      <c r="F169" s="22" t="s">
        <v>1666</v>
      </c>
      <c r="G169" s="22" t="s">
        <v>1354</v>
      </c>
      <c r="H169" s="22" t="s">
        <v>1667</v>
      </c>
      <c r="I169" s="22" t="s">
        <v>1668</v>
      </c>
      <c r="J169" s="22" t="s">
        <v>1669</v>
      </c>
    </row>
    <row r="170" spans="1:10" x14ac:dyDescent="0.25">
      <c r="A170" s="22" t="s">
        <v>28</v>
      </c>
      <c r="B170" s="24" t="s">
        <v>11</v>
      </c>
      <c r="C170" s="22" t="s">
        <v>1670</v>
      </c>
      <c r="D170" s="22" t="s">
        <v>1671</v>
      </c>
      <c r="E170" s="22" t="s">
        <v>1672</v>
      </c>
      <c r="F170" s="22" t="s">
        <v>1673</v>
      </c>
      <c r="G170" s="22" t="s">
        <v>1655</v>
      </c>
      <c r="H170" s="22" t="s">
        <v>517</v>
      </c>
      <c r="I170" s="22" t="s">
        <v>1674</v>
      </c>
      <c r="J170" s="22" t="s">
        <v>1675</v>
      </c>
    </row>
    <row r="171" spans="1:10" x14ac:dyDescent="0.25">
      <c r="A171" s="22" t="s">
        <v>28</v>
      </c>
      <c r="B171" s="24" t="s">
        <v>12</v>
      </c>
      <c r="C171" s="22" t="s">
        <v>1676</v>
      </c>
      <c r="D171" s="22" t="s">
        <v>1677</v>
      </c>
      <c r="E171" s="22" t="s">
        <v>1678</v>
      </c>
      <c r="F171" s="22" t="s">
        <v>1679</v>
      </c>
      <c r="G171" s="22" t="s">
        <v>1245</v>
      </c>
      <c r="H171" s="22" t="s">
        <v>245</v>
      </c>
      <c r="I171" s="22" t="s">
        <v>1680</v>
      </c>
      <c r="J171" s="22" t="s">
        <v>1629</v>
      </c>
    </row>
    <row r="172" spans="1:10" x14ac:dyDescent="0.25">
      <c r="A172" s="22" t="s">
        <v>28</v>
      </c>
      <c r="B172" s="24" t="s">
        <v>13</v>
      </c>
      <c r="C172" s="22" t="s">
        <v>1681</v>
      </c>
      <c r="D172" s="22" t="s">
        <v>1682</v>
      </c>
      <c r="E172" s="22" t="s">
        <v>1683</v>
      </c>
      <c r="F172" s="22" t="s">
        <v>1684</v>
      </c>
      <c r="G172" s="22" t="s">
        <v>1685</v>
      </c>
      <c r="H172" s="22" t="s">
        <v>467</v>
      </c>
      <c r="I172" s="22" t="s">
        <v>1686</v>
      </c>
      <c r="J172" s="22" t="s">
        <v>1687</v>
      </c>
    </row>
    <row r="173" spans="1:10" x14ac:dyDescent="0.25">
      <c r="A173" s="22" t="s">
        <v>28</v>
      </c>
      <c r="B173" s="24" t="s">
        <v>14</v>
      </c>
      <c r="C173" s="22" t="s">
        <v>1688</v>
      </c>
      <c r="D173" s="22" t="s">
        <v>1689</v>
      </c>
      <c r="E173" s="22" t="s">
        <v>1690</v>
      </c>
      <c r="F173" s="22" t="s">
        <v>1691</v>
      </c>
      <c r="G173" s="22" t="s">
        <v>1256</v>
      </c>
      <c r="H173" s="22" t="s">
        <v>1656</v>
      </c>
      <c r="I173" s="22" t="s">
        <v>1692</v>
      </c>
      <c r="J173" s="22" t="s">
        <v>537</v>
      </c>
    </row>
    <row r="174" spans="1:10" x14ac:dyDescent="0.25">
      <c r="A174" s="22" t="s">
        <v>28</v>
      </c>
      <c r="B174" s="24" t="s">
        <v>15</v>
      </c>
      <c r="C174" s="22" t="s">
        <v>1693</v>
      </c>
      <c r="D174" s="22" t="s">
        <v>1694</v>
      </c>
      <c r="E174" s="22" t="s">
        <v>1695</v>
      </c>
      <c r="F174" s="22" t="s">
        <v>1696</v>
      </c>
      <c r="G174" s="22" t="s">
        <v>1697</v>
      </c>
      <c r="H174" s="22" t="s">
        <v>1463</v>
      </c>
      <c r="I174" s="22" t="s">
        <v>1698</v>
      </c>
      <c r="J174" s="22" t="s">
        <v>1699</v>
      </c>
    </row>
    <row r="175" spans="1:10" x14ac:dyDescent="0.25">
      <c r="A175" s="22" t="s">
        <v>28</v>
      </c>
      <c r="B175" s="24" t="s">
        <v>16</v>
      </c>
      <c r="C175" s="22" t="s">
        <v>1700</v>
      </c>
      <c r="D175" s="22" t="s">
        <v>1701</v>
      </c>
      <c r="E175" s="22" t="s">
        <v>1702</v>
      </c>
      <c r="F175" s="22" t="s">
        <v>1703</v>
      </c>
      <c r="G175" s="22" t="s">
        <v>1655</v>
      </c>
      <c r="H175" s="22" t="s">
        <v>1474</v>
      </c>
      <c r="I175" s="22" t="s">
        <v>1704</v>
      </c>
      <c r="J175" s="22" t="s">
        <v>1705</v>
      </c>
    </row>
    <row r="176" spans="1:10" x14ac:dyDescent="0.25">
      <c r="A176" s="22" t="s">
        <v>28</v>
      </c>
      <c r="B176" s="24" t="s">
        <v>17</v>
      </c>
      <c r="C176" s="22" t="s">
        <v>1706</v>
      </c>
      <c r="D176" s="22" t="s">
        <v>1707</v>
      </c>
      <c r="E176" s="22" t="s">
        <v>1708</v>
      </c>
      <c r="F176" s="22" t="s">
        <v>1709</v>
      </c>
      <c r="G176" s="22" t="s">
        <v>268</v>
      </c>
      <c r="H176" s="22" t="s">
        <v>301</v>
      </c>
      <c r="I176" s="22" t="s">
        <v>1710</v>
      </c>
      <c r="J176" s="22" t="s">
        <v>348</v>
      </c>
    </row>
    <row r="177" spans="1:10" x14ac:dyDescent="0.25">
      <c r="A177" s="22" t="s">
        <v>28</v>
      </c>
      <c r="B177" s="24" t="s">
        <v>18</v>
      </c>
      <c r="C177" s="22" t="s">
        <v>1711</v>
      </c>
      <c r="D177" s="22" t="s">
        <v>1712</v>
      </c>
      <c r="E177" s="22" t="s">
        <v>1713</v>
      </c>
      <c r="F177" s="22" t="s">
        <v>1714</v>
      </c>
      <c r="G177" s="22" t="s">
        <v>1715</v>
      </c>
      <c r="H177" s="22" t="s">
        <v>859</v>
      </c>
      <c r="I177" s="22" t="s">
        <v>1716</v>
      </c>
      <c r="J177" s="22" t="s">
        <v>1675</v>
      </c>
    </row>
    <row r="178" spans="1:10" x14ac:dyDescent="0.25">
      <c r="A178" s="22" t="s">
        <v>28</v>
      </c>
      <c r="B178" s="24" t="s">
        <v>19</v>
      </c>
      <c r="C178" s="22" t="s">
        <v>1717</v>
      </c>
      <c r="D178" s="22" t="s">
        <v>1718</v>
      </c>
      <c r="E178" s="22" t="s">
        <v>1719</v>
      </c>
      <c r="F178" s="22" t="s">
        <v>1720</v>
      </c>
      <c r="G178" s="22" t="s">
        <v>1721</v>
      </c>
      <c r="H178" s="22" t="s">
        <v>1722</v>
      </c>
      <c r="I178" s="22" t="s">
        <v>1723</v>
      </c>
      <c r="J178" s="22" t="s">
        <v>201</v>
      </c>
    </row>
    <row r="179" spans="1:10" x14ac:dyDescent="0.25">
      <c r="A179" s="22" t="s">
        <v>28</v>
      </c>
      <c r="B179" s="24" t="s">
        <v>20</v>
      </c>
      <c r="C179" s="22" t="s">
        <v>1724</v>
      </c>
      <c r="D179" s="22" t="s">
        <v>1725</v>
      </c>
      <c r="E179" s="22" t="s">
        <v>1726</v>
      </c>
      <c r="F179" s="22" t="s">
        <v>1727</v>
      </c>
      <c r="G179" s="22" t="s">
        <v>197</v>
      </c>
      <c r="H179" s="22" t="s">
        <v>196</v>
      </c>
      <c r="I179" s="22" t="s">
        <v>1728</v>
      </c>
      <c r="J179" s="22" t="s">
        <v>195</v>
      </c>
    </row>
    <row r="180" spans="1:10" x14ac:dyDescent="0.25">
      <c r="A180" s="22" t="s">
        <v>28</v>
      </c>
      <c r="B180" s="24" t="s">
        <v>21</v>
      </c>
      <c r="C180" s="22" t="s">
        <v>1729</v>
      </c>
      <c r="D180" s="22" t="s">
        <v>200</v>
      </c>
      <c r="E180" s="22" t="s">
        <v>1730</v>
      </c>
      <c r="F180" s="22" t="s">
        <v>1731</v>
      </c>
      <c r="G180" s="22" t="s">
        <v>203</v>
      </c>
      <c r="H180" s="22" t="s">
        <v>202</v>
      </c>
      <c r="I180" s="22" t="s">
        <v>1732</v>
      </c>
      <c r="J180" s="22" t="s">
        <v>201</v>
      </c>
    </row>
    <row r="181" spans="1:10" x14ac:dyDescent="0.25">
      <c r="A181" s="22" t="s">
        <v>28</v>
      </c>
      <c r="B181" s="24" t="s">
        <v>22</v>
      </c>
      <c r="C181" s="22" t="s">
        <v>1733</v>
      </c>
      <c r="D181" s="22" t="s">
        <v>206</v>
      </c>
      <c r="E181" s="22" t="s">
        <v>1734</v>
      </c>
      <c r="F181" s="22" t="s">
        <v>1735</v>
      </c>
      <c r="G181" s="22" t="s">
        <v>209</v>
      </c>
      <c r="H181" s="22" t="s">
        <v>208</v>
      </c>
      <c r="I181" s="22" t="s">
        <v>1736</v>
      </c>
      <c r="J181" s="22" t="s">
        <v>207</v>
      </c>
    </row>
    <row r="182" spans="1:10" x14ac:dyDescent="0.25">
      <c r="A182" s="22" t="s">
        <v>28</v>
      </c>
      <c r="B182" s="24" t="s">
        <v>23</v>
      </c>
      <c r="C182" s="22" t="s">
        <v>1737</v>
      </c>
      <c r="D182" s="22" t="s">
        <v>1738</v>
      </c>
      <c r="E182" s="22" t="s">
        <v>1739</v>
      </c>
      <c r="F182" s="22" t="s">
        <v>1740</v>
      </c>
      <c r="G182" s="22" t="s">
        <v>1741</v>
      </c>
      <c r="H182" s="22" t="s">
        <v>795</v>
      </c>
      <c r="I182" s="22" t="s">
        <v>1742</v>
      </c>
      <c r="J182" s="22" t="s">
        <v>1743</v>
      </c>
    </row>
    <row r="183" spans="1:10" x14ac:dyDescent="0.25">
      <c r="A183" s="22" t="s">
        <v>30</v>
      </c>
      <c r="B183" s="24" t="s">
        <v>4</v>
      </c>
      <c r="C183" s="22" t="s">
        <v>1744</v>
      </c>
      <c r="D183" s="22" t="s">
        <v>1745</v>
      </c>
      <c r="E183" s="22" t="s">
        <v>1746</v>
      </c>
      <c r="F183" s="22" t="s">
        <v>1747</v>
      </c>
      <c r="G183" s="22" t="s">
        <v>1203</v>
      </c>
      <c r="H183" s="22" t="s">
        <v>1372</v>
      </c>
      <c r="I183" s="22" t="s">
        <v>1748</v>
      </c>
      <c r="J183" s="22" t="s">
        <v>936</v>
      </c>
    </row>
    <row r="184" spans="1:10" x14ac:dyDescent="0.25">
      <c r="A184" s="22" t="s">
        <v>30</v>
      </c>
      <c r="B184" s="24" t="s">
        <v>5</v>
      </c>
      <c r="C184" s="22" t="s">
        <v>1749</v>
      </c>
      <c r="D184" s="22" t="s">
        <v>1312</v>
      </c>
      <c r="E184" s="22" t="s">
        <v>1750</v>
      </c>
      <c r="F184" s="22" t="s">
        <v>1751</v>
      </c>
      <c r="G184" s="22" t="s">
        <v>1752</v>
      </c>
      <c r="H184" s="22" t="s">
        <v>1474</v>
      </c>
      <c r="I184" s="22" t="s">
        <v>1753</v>
      </c>
      <c r="J184" s="22" t="s">
        <v>1538</v>
      </c>
    </row>
    <row r="185" spans="1:10" x14ac:dyDescent="0.25">
      <c r="A185" s="22" t="s">
        <v>30</v>
      </c>
      <c r="B185" s="24" t="s">
        <v>6</v>
      </c>
      <c r="C185" s="22" t="s">
        <v>1754</v>
      </c>
      <c r="D185" s="22" t="s">
        <v>1755</v>
      </c>
      <c r="E185" s="22" t="s">
        <v>1756</v>
      </c>
      <c r="F185" s="22" t="s">
        <v>1757</v>
      </c>
      <c r="G185" s="22" t="s">
        <v>1758</v>
      </c>
      <c r="H185" s="22" t="s">
        <v>1759</v>
      </c>
      <c r="I185" s="22" t="s">
        <v>1760</v>
      </c>
      <c r="J185" s="22" t="s">
        <v>1761</v>
      </c>
    </row>
    <row r="186" spans="1:10" x14ac:dyDescent="0.25">
      <c r="A186" s="22" t="s">
        <v>30</v>
      </c>
      <c r="B186" s="24" t="s">
        <v>7</v>
      </c>
      <c r="C186" s="22" t="s">
        <v>1762</v>
      </c>
      <c r="D186" s="22" t="s">
        <v>1763</v>
      </c>
      <c r="E186" s="22" t="s">
        <v>1764</v>
      </c>
      <c r="F186" s="22" t="s">
        <v>1765</v>
      </c>
      <c r="G186" s="22" t="s">
        <v>1129</v>
      </c>
      <c r="H186" s="22" t="s">
        <v>1766</v>
      </c>
      <c r="I186" s="22" t="s">
        <v>1767</v>
      </c>
      <c r="J186" s="22" t="s">
        <v>1187</v>
      </c>
    </row>
    <row r="187" spans="1:10" x14ac:dyDescent="0.25">
      <c r="A187" s="22" t="s">
        <v>30</v>
      </c>
      <c r="B187" s="24" t="s">
        <v>8</v>
      </c>
      <c r="C187" s="22" t="s">
        <v>1768</v>
      </c>
      <c r="D187" s="22" t="s">
        <v>1769</v>
      </c>
      <c r="E187" s="22" t="s">
        <v>1770</v>
      </c>
      <c r="F187" s="22" t="s">
        <v>1771</v>
      </c>
      <c r="G187" s="22" t="s">
        <v>1772</v>
      </c>
      <c r="H187" s="22" t="s">
        <v>825</v>
      </c>
      <c r="I187" s="22" t="s">
        <v>1773</v>
      </c>
      <c r="J187" s="22" t="s">
        <v>553</v>
      </c>
    </row>
    <row r="188" spans="1:10" x14ac:dyDescent="0.25">
      <c r="A188" s="22" t="s">
        <v>30</v>
      </c>
      <c r="B188" s="24" t="s">
        <v>9</v>
      </c>
      <c r="C188" s="22" t="s">
        <v>1774</v>
      </c>
      <c r="D188" s="22" t="s">
        <v>1775</v>
      </c>
      <c r="E188" s="22" t="s">
        <v>1776</v>
      </c>
      <c r="F188" s="22" t="s">
        <v>1777</v>
      </c>
      <c r="G188" s="22" t="s">
        <v>1778</v>
      </c>
      <c r="H188" s="22" t="s">
        <v>1779</v>
      </c>
      <c r="I188" s="22" t="s">
        <v>1780</v>
      </c>
      <c r="J188" s="22" t="s">
        <v>201</v>
      </c>
    </row>
    <row r="189" spans="1:10" x14ac:dyDescent="0.25">
      <c r="A189" s="22" t="s">
        <v>30</v>
      </c>
      <c r="B189" s="24" t="s">
        <v>10</v>
      </c>
      <c r="C189" s="22" t="s">
        <v>1781</v>
      </c>
      <c r="D189" s="22" t="s">
        <v>1782</v>
      </c>
      <c r="E189" s="22" t="s">
        <v>1783</v>
      </c>
      <c r="F189" s="22" t="s">
        <v>1784</v>
      </c>
      <c r="G189" s="22" t="s">
        <v>1715</v>
      </c>
      <c r="H189" s="22" t="s">
        <v>1060</v>
      </c>
      <c r="I189" s="22" t="s">
        <v>1785</v>
      </c>
      <c r="J189" s="22" t="s">
        <v>1786</v>
      </c>
    </row>
    <row r="190" spans="1:10" x14ac:dyDescent="0.25">
      <c r="A190" s="22" t="s">
        <v>30</v>
      </c>
      <c r="B190" s="24" t="s">
        <v>11</v>
      </c>
      <c r="C190" s="22" t="s">
        <v>1787</v>
      </c>
      <c r="D190" s="22" t="s">
        <v>1788</v>
      </c>
      <c r="E190" s="22" t="s">
        <v>1789</v>
      </c>
      <c r="F190" s="22" t="s">
        <v>1790</v>
      </c>
      <c r="G190" s="22" t="s">
        <v>1791</v>
      </c>
      <c r="H190" s="22" t="s">
        <v>461</v>
      </c>
      <c r="I190" s="22" t="s">
        <v>1792</v>
      </c>
      <c r="J190" s="22" t="s">
        <v>1793</v>
      </c>
    </row>
    <row r="191" spans="1:10" x14ac:dyDescent="0.25">
      <c r="A191" s="22" t="s">
        <v>30</v>
      </c>
      <c r="B191" s="24" t="s">
        <v>12</v>
      </c>
      <c r="C191" s="22" t="s">
        <v>1794</v>
      </c>
      <c r="D191" s="22" t="s">
        <v>1795</v>
      </c>
      <c r="E191" s="22" t="s">
        <v>1796</v>
      </c>
      <c r="F191" s="22" t="s">
        <v>1797</v>
      </c>
      <c r="G191" s="22" t="s">
        <v>1171</v>
      </c>
      <c r="H191" s="22" t="s">
        <v>772</v>
      </c>
      <c r="I191" s="22" t="s">
        <v>1798</v>
      </c>
      <c r="J191" s="22" t="s">
        <v>553</v>
      </c>
    </row>
    <row r="192" spans="1:10" x14ac:dyDescent="0.25">
      <c r="A192" s="22" t="s">
        <v>30</v>
      </c>
      <c r="B192" s="24" t="s">
        <v>13</v>
      </c>
      <c r="C192" s="22" t="s">
        <v>1799</v>
      </c>
      <c r="D192" s="22" t="s">
        <v>466</v>
      </c>
      <c r="E192" s="22" t="s">
        <v>1800</v>
      </c>
      <c r="F192" s="22" t="s">
        <v>1801</v>
      </c>
      <c r="G192" s="22" t="s">
        <v>1802</v>
      </c>
      <c r="H192" s="22" t="s">
        <v>1803</v>
      </c>
      <c r="I192" s="22" t="s">
        <v>1804</v>
      </c>
      <c r="J192" s="22" t="s">
        <v>1805</v>
      </c>
    </row>
    <row r="193" spans="1:10" x14ac:dyDescent="0.25">
      <c r="A193" s="22" t="s">
        <v>30</v>
      </c>
      <c r="B193" s="24" t="s">
        <v>14</v>
      </c>
      <c r="C193" s="22" t="s">
        <v>1806</v>
      </c>
      <c r="D193" s="22" t="s">
        <v>1807</v>
      </c>
      <c r="E193" s="22" t="s">
        <v>1808</v>
      </c>
      <c r="F193" s="22" t="s">
        <v>1809</v>
      </c>
      <c r="G193" s="22" t="s">
        <v>1109</v>
      </c>
      <c r="H193" s="22" t="s">
        <v>1148</v>
      </c>
      <c r="I193" s="22" t="s">
        <v>1810</v>
      </c>
      <c r="J193" s="22" t="s">
        <v>1561</v>
      </c>
    </row>
    <row r="194" spans="1:10" x14ac:dyDescent="0.25">
      <c r="A194" s="22" t="s">
        <v>30</v>
      </c>
      <c r="B194" s="24" t="s">
        <v>15</v>
      </c>
      <c r="C194" s="22" t="s">
        <v>1811</v>
      </c>
      <c r="D194" s="22" t="s">
        <v>1812</v>
      </c>
      <c r="E194" s="22" t="s">
        <v>1813</v>
      </c>
      <c r="F194" s="22" t="s">
        <v>1814</v>
      </c>
      <c r="G194" s="22" t="s">
        <v>1715</v>
      </c>
      <c r="H194" s="22" t="s">
        <v>1805</v>
      </c>
      <c r="I194" s="22" t="s">
        <v>1815</v>
      </c>
      <c r="J194" s="22" t="s">
        <v>272</v>
      </c>
    </row>
    <row r="195" spans="1:10" x14ac:dyDescent="0.25">
      <c r="A195" s="22" t="s">
        <v>30</v>
      </c>
      <c r="B195" s="24" t="s">
        <v>16</v>
      </c>
      <c r="C195" s="22" t="s">
        <v>1816</v>
      </c>
      <c r="D195" s="22" t="s">
        <v>1817</v>
      </c>
      <c r="E195" s="22" t="s">
        <v>1818</v>
      </c>
      <c r="F195" s="22" t="s">
        <v>1819</v>
      </c>
      <c r="G195" s="22" t="s">
        <v>1820</v>
      </c>
      <c r="H195" s="22" t="s">
        <v>1821</v>
      </c>
      <c r="I195" s="22" t="s">
        <v>1822</v>
      </c>
      <c r="J195" s="22" t="s">
        <v>1187</v>
      </c>
    </row>
    <row r="196" spans="1:10" x14ac:dyDescent="0.25">
      <c r="A196" s="22" t="s">
        <v>30</v>
      </c>
      <c r="B196" s="24" t="s">
        <v>17</v>
      </c>
      <c r="C196" s="22" t="s">
        <v>1823</v>
      </c>
      <c r="D196" s="22" t="s">
        <v>1824</v>
      </c>
      <c r="E196" s="22" t="s">
        <v>1825</v>
      </c>
      <c r="F196" s="22" t="s">
        <v>1826</v>
      </c>
      <c r="G196" s="22" t="s">
        <v>1238</v>
      </c>
      <c r="H196" s="22" t="s">
        <v>1827</v>
      </c>
      <c r="I196" s="22" t="s">
        <v>1828</v>
      </c>
      <c r="J196" s="22" t="s">
        <v>1829</v>
      </c>
    </row>
    <row r="197" spans="1:10" x14ac:dyDescent="0.25">
      <c r="A197" s="22" t="s">
        <v>30</v>
      </c>
      <c r="B197" s="24" t="s">
        <v>18</v>
      </c>
      <c r="C197" s="22" t="s">
        <v>1830</v>
      </c>
      <c r="D197" s="22" t="s">
        <v>1831</v>
      </c>
      <c r="E197" s="22" t="s">
        <v>1832</v>
      </c>
      <c r="F197" s="22" t="s">
        <v>1833</v>
      </c>
      <c r="G197" s="22" t="s">
        <v>1834</v>
      </c>
      <c r="H197" s="22" t="s">
        <v>1070</v>
      </c>
      <c r="I197" s="22" t="s">
        <v>1835</v>
      </c>
      <c r="J197" s="22" t="s">
        <v>958</v>
      </c>
    </row>
    <row r="198" spans="1:10" x14ac:dyDescent="0.25">
      <c r="A198" s="22" t="s">
        <v>30</v>
      </c>
      <c r="B198" s="24" t="s">
        <v>19</v>
      </c>
      <c r="C198" s="22" t="s">
        <v>1836</v>
      </c>
      <c r="D198" s="22" t="s">
        <v>1837</v>
      </c>
      <c r="E198" s="22" t="s">
        <v>1838</v>
      </c>
      <c r="F198" s="22" t="s">
        <v>1839</v>
      </c>
      <c r="G198" s="22" t="s">
        <v>1840</v>
      </c>
      <c r="H198" s="22" t="s">
        <v>477</v>
      </c>
      <c r="I198" s="22" t="s">
        <v>1841</v>
      </c>
      <c r="J198" s="22" t="s">
        <v>1566</v>
      </c>
    </row>
    <row r="199" spans="1:10" x14ac:dyDescent="0.25">
      <c r="A199" s="22" t="s">
        <v>30</v>
      </c>
      <c r="B199" s="24" t="s">
        <v>20</v>
      </c>
      <c r="C199" s="22" t="s">
        <v>1842</v>
      </c>
      <c r="D199" s="22" t="s">
        <v>264</v>
      </c>
      <c r="E199" s="22" t="s">
        <v>1843</v>
      </c>
      <c r="F199" s="22" t="s">
        <v>1844</v>
      </c>
      <c r="G199" s="22" t="s">
        <v>268</v>
      </c>
      <c r="H199" s="22" t="s">
        <v>266</v>
      </c>
      <c r="I199" s="22" t="s">
        <v>1845</v>
      </c>
      <c r="J199" s="22" t="s">
        <v>265</v>
      </c>
    </row>
    <row r="200" spans="1:10" x14ac:dyDescent="0.25">
      <c r="A200" s="22" t="s">
        <v>30</v>
      </c>
      <c r="B200" s="24" t="s">
        <v>21</v>
      </c>
      <c r="C200" s="22" t="s">
        <v>1846</v>
      </c>
      <c r="D200" s="22" t="s">
        <v>271</v>
      </c>
      <c r="E200" s="22" t="s">
        <v>1847</v>
      </c>
      <c r="F200" s="22" t="s">
        <v>1848</v>
      </c>
      <c r="G200" s="22" t="s">
        <v>273</v>
      </c>
      <c r="H200" s="22" t="s">
        <v>272</v>
      </c>
      <c r="I200" s="22" t="s">
        <v>1849</v>
      </c>
      <c r="J200" s="22" t="s">
        <v>265</v>
      </c>
    </row>
    <row r="201" spans="1:10" x14ac:dyDescent="0.25">
      <c r="A201" s="22" t="s">
        <v>30</v>
      </c>
      <c r="B201" s="24" t="s">
        <v>22</v>
      </c>
      <c r="C201" s="22" t="s">
        <v>1850</v>
      </c>
      <c r="D201" s="22" t="s">
        <v>277</v>
      </c>
      <c r="E201" s="22" t="s">
        <v>1851</v>
      </c>
      <c r="F201" s="22" t="s">
        <v>1852</v>
      </c>
      <c r="G201" s="22" t="s">
        <v>280</v>
      </c>
      <c r="H201" s="22" t="s">
        <v>279</v>
      </c>
      <c r="I201" s="22" t="s">
        <v>1853</v>
      </c>
      <c r="J201" s="22" t="s">
        <v>278</v>
      </c>
    </row>
    <row r="202" spans="1:10" x14ac:dyDescent="0.25">
      <c r="A202" s="22" t="s">
        <v>30</v>
      </c>
      <c r="B202" s="24" t="s">
        <v>23</v>
      </c>
      <c r="C202" s="22" t="s">
        <v>1854</v>
      </c>
      <c r="D202" s="22" t="s">
        <v>1011</v>
      </c>
      <c r="E202" s="22" t="s">
        <v>1855</v>
      </c>
      <c r="F202" s="22" t="s">
        <v>1856</v>
      </c>
      <c r="G202" s="22" t="s">
        <v>232</v>
      </c>
      <c r="H202" s="22" t="s">
        <v>195</v>
      </c>
      <c r="I202" s="22" t="s">
        <v>1857</v>
      </c>
      <c r="J202" s="22" t="s">
        <v>1858</v>
      </c>
    </row>
    <row r="203" spans="1:10" x14ac:dyDescent="0.25">
      <c r="A203" s="22" t="s">
        <v>44</v>
      </c>
      <c r="B203" s="24" t="s">
        <v>4</v>
      </c>
      <c r="C203" s="22" t="s">
        <v>1859</v>
      </c>
      <c r="D203" s="22" t="s">
        <v>1860</v>
      </c>
      <c r="E203" s="22" t="s">
        <v>1169</v>
      </c>
      <c r="F203" s="22" t="s">
        <v>1861</v>
      </c>
      <c r="G203" s="22" t="s">
        <v>1862</v>
      </c>
      <c r="H203" s="22" t="s">
        <v>1251</v>
      </c>
      <c r="I203" s="22" t="s">
        <v>1863</v>
      </c>
      <c r="J203" s="22" t="s">
        <v>1864</v>
      </c>
    </row>
    <row r="204" spans="1:10" x14ac:dyDescent="0.25">
      <c r="A204" s="22" t="s">
        <v>44</v>
      </c>
      <c r="B204" s="24" t="s">
        <v>5</v>
      </c>
      <c r="C204" s="22" t="s">
        <v>1865</v>
      </c>
      <c r="D204" s="22" t="s">
        <v>1866</v>
      </c>
      <c r="E204" s="22" t="s">
        <v>1176</v>
      </c>
      <c r="F204" s="22" t="s">
        <v>1867</v>
      </c>
      <c r="G204" s="22" t="s">
        <v>707</v>
      </c>
      <c r="H204" s="22" t="s">
        <v>441</v>
      </c>
      <c r="I204" s="22" t="s">
        <v>1868</v>
      </c>
      <c r="J204" s="22" t="s">
        <v>1869</v>
      </c>
    </row>
    <row r="205" spans="1:10" x14ac:dyDescent="0.25">
      <c r="A205" s="22" t="s">
        <v>44</v>
      </c>
      <c r="B205" s="24" t="s">
        <v>6</v>
      </c>
      <c r="C205" s="22" t="s">
        <v>1870</v>
      </c>
      <c r="D205" s="22" t="s">
        <v>1871</v>
      </c>
      <c r="E205" s="22" t="s">
        <v>1183</v>
      </c>
      <c r="F205" s="22" t="s">
        <v>1872</v>
      </c>
      <c r="G205" s="22" t="s">
        <v>1873</v>
      </c>
      <c r="H205" s="22" t="s">
        <v>429</v>
      </c>
      <c r="I205" s="22" t="s">
        <v>1874</v>
      </c>
      <c r="J205" s="22" t="s">
        <v>1875</v>
      </c>
    </row>
    <row r="206" spans="1:10" x14ac:dyDescent="0.25">
      <c r="A206" s="22" t="s">
        <v>44</v>
      </c>
      <c r="B206" s="24" t="s">
        <v>7</v>
      </c>
      <c r="C206" s="22" t="s">
        <v>1876</v>
      </c>
      <c r="D206" s="22" t="s">
        <v>1877</v>
      </c>
      <c r="E206" s="22" t="s">
        <v>1190</v>
      </c>
      <c r="F206" s="22" t="s">
        <v>1878</v>
      </c>
      <c r="G206" s="22" t="s">
        <v>1879</v>
      </c>
      <c r="H206" s="22" t="s">
        <v>1880</v>
      </c>
      <c r="I206" s="22" t="s">
        <v>1881</v>
      </c>
      <c r="J206" s="22" t="s">
        <v>1882</v>
      </c>
    </row>
    <row r="207" spans="1:10" x14ac:dyDescent="0.25">
      <c r="A207" s="22" t="s">
        <v>44</v>
      </c>
      <c r="B207" s="24" t="s">
        <v>8</v>
      </c>
      <c r="C207" s="22" t="s">
        <v>1883</v>
      </c>
      <c r="D207" s="22" t="s">
        <v>1884</v>
      </c>
      <c r="E207" s="22" t="s">
        <v>1195</v>
      </c>
      <c r="F207" s="22" t="s">
        <v>1885</v>
      </c>
      <c r="G207" s="22" t="s">
        <v>1791</v>
      </c>
      <c r="H207" s="22" t="s">
        <v>1721</v>
      </c>
      <c r="I207" s="22" t="s">
        <v>1886</v>
      </c>
      <c r="J207" s="22" t="s">
        <v>1887</v>
      </c>
    </row>
    <row r="208" spans="1:10" x14ac:dyDescent="0.25">
      <c r="A208" s="22" t="s">
        <v>44</v>
      </c>
      <c r="B208" s="24" t="s">
        <v>9</v>
      </c>
      <c r="C208" s="22" t="s">
        <v>1888</v>
      </c>
      <c r="D208" s="22" t="s">
        <v>1889</v>
      </c>
      <c r="E208" s="22" t="s">
        <v>1201</v>
      </c>
      <c r="F208" s="22" t="s">
        <v>1890</v>
      </c>
      <c r="G208" s="22" t="s">
        <v>1523</v>
      </c>
      <c r="H208" s="22" t="s">
        <v>1268</v>
      </c>
      <c r="I208" s="22" t="s">
        <v>1891</v>
      </c>
      <c r="J208" s="22" t="s">
        <v>1892</v>
      </c>
    </row>
    <row r="209" spans="1:10" x14ac:dyDescent="0.25">
      <c r="A209" s="22" t="s">
        <v>44</v>
      </c>
      <c r="B209" s="24" t="s">
        <v>10</v>
      </c>
      <c r="C209" s="22" t="s">
        <v>1893</v>
      </c>
      <c r="D209" s="22" t="s">
        <v>1894</v>
      </c>
      <c r="E209" s="22" t="s">
        <v>1208</v>
      </c>
      <c r="F209" s="22" t="s">
        <v>1895</v>
      </c>
      <c r="G209" s="22" t="s">
        <v>1171</v>
      </c>
      <c r="H209" s="22" t="s">
        <v>1268</v>
      </c>
      <c r="I209" s="22" t="s">
        <v>1896</v>
      </c>
      <c r="J209" s="22" t="s">
        <v>1218</v>
      </c>
    </row>
    <row r="210" spans="1:10" x14ac:dyDescent="0.25">
      <c r="A210" s="22" t="s">
        <v>44</v>
      </c>
      <c r="B210" s="24" t="s">
        <v>11</v>
      </c>
      <c r="C210" s="22" t="s">
        <v>1897</v>
      </c>
      <c r="D210" s="22" t="s">
        <v>1898</v>
      </c>
      <c r="E210" s="22" t="s">
        <v>1215</v>
      </c>
      <c r="F210" s="22" t="s">
        <v>1899</v>
      </c>
      <c r="G210" s="22" t="s">
        <v>1900</v>
      </c>
      <c r="H210" s="22" t="s">
        <v>1649</v>
      </c>
      <c r="I210" s="22" t="s">
        <v>1901</v>
      </c>
      <c r="J210" s="22" t="s">
        <v>1902</v>
      </c>
    </row>
    <row r="211" spans="1:10" x14ac:dyDescent="0.25">
      <c r="A211" s="22" t="s">
        <v>44</v>
      </c>
      <c r="B211" s="24" t="s">
        <v>12</v>
      </c>
      <c r="C211" s="22" t="s">
        <v>1903</v>
      </c>
      <c r="D211" s="22" t="s">
        <v>1904</v>
      </c>
      <c r="E211" s="22" t="s">
        <v>1222</v>
      </c>
      <c r="F211" s="22" t="s">
        <v>1905</v>
      </c>
      <c r="G211" s="22" t="s">
        <v>944</v>
      </c>
      <c r="H211" s="22" t="s">
        <v>1251</v>
      </c>
      <c r="I211" s="22" t="s">
        <v>1906</v>
      </c>
      <c r="J211" s="22" t="s">
        <v>1907</v>
      </c>
    </row>
    <row r="212" spans="1:10" x14ac:dyDescent="0.25">
      <c r="A212" s="22" t="s">
        <v>44</v>
      </c>
      <c r="B212" s="24" t="s">
        <v>13</v>
      </c>
      <c r="C212" s="22" t="s">
        <v>1908</v>
      </c>
      <c r="D212" s="22" t="s">
        <v>1909</v>
      </c>
      <c r="E212" s="22" t="s">
        <v>1229</v>
      </c>
      <c r="F212" s="22" t="s">
        <v>1910</v>
      </c>
      <c r="G212" s="22" t="s">
        <v>1135</v>
      </c>
      <c r="H212" s="22" t="s">
        <v>607</v>
      </c>
      <c r="I212" s="22" t="s">
        <v>1911</v>
      </c>
      <c r="J212" s="22" t="s">
        <v>1827</v>
      </c>
    </row>
    <row r="213" spans="1:10" x14ac:dyDescent="0.25">
      <c r="A213" s="22" t="s">
        <v>44</v>
      </c>
      <c r="B213" s="24" t="s">
        <v>14</v>
      </c>
      <c r="C213" s="22" t="s">
        <v>1912</v>
      </c>
      <c r="D213" s="22" t="s">
        <v>1913</v>
      </c>
      <c r="E213" s="22" t="s">
        <v>1236</v>
      </c>
      <c r="F213" s="22" t="s">
        <v>1914</v>
      </c>
      <c r="G213" s="22" t="s">
        <v>1171</v>
      </c>
      <c r="H213" s="22" t="s">
        <v>1915</v>
      </c>
      <c r="I213" s="22" t="s">
        <v>1916</v>
      </c>
      <c r="J213" s="22" t="s">
        <v>526</v>
      </c>
    </row>
    <row r="214" spans="1:10" x14ac:dyDescent="0.25">
      <c r="A214" s="22" t="s">
        <v>44</v>
      </c>
      <c r="B214" s="24" t="s">
        <v>15</v>
      </c>
      <c r="C214" s="22" t="s">
        <v>1917</v>
      </c>
      <c r="D214" s="22" t="s">
        <v>1918</v>
      </c>
      <c r="E214" s="22" t="s">
        <v>1243</v>
      </c>
      <c r="F214" s="22" t="s">
        <v>1919</v>
      </c>
      <c r="G214" s="22" t="s">
        <v>1802</v>
      </c>
      <c r="H214" s="22" t="s">
        <v>1820</v>
      </c>
      <c r="I214" s="22" t="s">
        <v>1920</v>
      </c>
      <c r="J214" s="22" t="s">
        <v>1434</v>
      </c>
    </row>
    <row r="215" spans="1:10" x14ac:dyDescent="0.25">
      <c r="A215" s="22" t="s">
        <v>44</v>
      </c>
      <c r="B215" s="24" t="s">
        <v>16</v>
      </c>
      <c r="C215" s="22" t="s">
        <v>1921</v>
      </c>
      <c r="D215" s="22" t="s">
        <v>1922</v>
      </c>
      <c r="E215" s="22" t="s">
        <v>1249</v>
      </c>
      <c r="F215" s="22" t="s">
        <v>1923</v>
      </c>
      <c r="G215" s="22" t="s">
        <v>1089</v>
      </c>
      <c r="H215" s="22" t="s">
        <v>1924</v>
      </c>
      <c r="I215" s="22" t="s">
        <v>1925</v>
      </c>
      <c r="J215" s="22" t="s">
        <v>484</v>
      </c>
    </row>
    <row r="216" spans="1:10" x14ac:dyDescent="0.25">
      <c r="A216" s="22" t="s">
        <v>44</v>
      </c>
      <c r="B216" s="24" t="s">
        <v>17</v>
      </c>
      <c r="C216" s="22" t="s">
        <v>1926</v>
      </c>
      <c r="D216" s="22" t="s">
        <v>1927</v>
      </c>
      <c r="E216" s="22" t="s">
        <v>1254</v>
      </c>
      <c r="F216" s="22" t="s">
        <v>1928</v>
      </c>
      <c r="G216" s="22" t="s">
        <v>1879</v>
      </c>
      <c r="H216" s="22" t="s">
        <v>463</v>
      </c>
      <c r="I216" s="22" t="s">
        <v>1929</v>
      </c>
      <c r="J216" s="22" t="s">
        <v>352</v>
      </c>
    </row>
    <row r="217" spans="1:10" x14ac:dyDescent="0.25">
      <c r="A217" s="22" t="s">
        <v>44</v>
      </c>
      <c r="B217" s="24" t="s">
        <v>18</v>
      </c>
      <c r="C217" s="22" t="s">
        <v>1930</v>
      </c>
      <c r="D217" s="22" t="s">
        <v>1931</v>
      </c>
      <c r="E217" s="22" t="s">
        <v>1260</v>
      </c>
      <c r="F217" s="22" t="s">
        <v>1932</v>
      </c>
      <c r="G217" s="22" t="s">
        <v>1135</v>
      </c>
      <c r="H217" s="22" t="s">
        <v>1481</v>
      </c>
      <c r="I217" s="22" t="s">
        <v>1933</v>
      </c>
      <c r="J217" s="22" t="s">
        <v>1934</v>
      </c>
    </row>
    <row r="218" spans="1:10" x14ac:dyDescent="0.25">
      <c r="A218" s="22" t="s">
        <v>44</v>
      </c>
      <c r="B218" s="24" t="s">
        <v>19</v>
      </c>
      <c r="C218" s="22" t="s">
        <v>1935</v>
      </c>
      <c r="D218" s="22" t="s">
        <v>1936</v>
      </c>
      <c r="E218" s="22" t="s">
        <v>1266</v>
      </c>
      <c r="F218" s="22" t="s">
        <v>1937</v>
      </c>
      <c r="G218" s="22" t="s">
        <v>937</v>
      </c>
      <c r="H218" s="22" t="s">
        <v>1938</v>
      </c>
      <c r="I218" s="22" t="s">
        <v>1939</v>
      </c>
      <c r="J218" s="22" t="s">
        <v>1476</v>
      </c>
    </row>
    <row r="219" spans="1:10" x14ac:dyDescent="0.25">
      <c r="A219" s="22" t="s">
        <v>44</v>
      </c>
      <c r="B219" s="24" t="s">
        <v>20</v>
      </c>
      <c r="C219" s="22" t="s">
        <v>1940</v>
      </c>
      <c r="D219" s="22" t="s">
        <v>1941</v>
      </c>
      <c r="E219" s="22" t="s">
        <v>1273</v>
      </c>
      <c r="F219" s="22" t="s">
        <v>1942</v>
      </c>
      <c r="G219" s="22" t="s">
        <v>937</v>
      </c>
      <c r="H219" s="22" t="s">
        <v>1943</v>
      </c>
      <c r="I219" s="22" t="s">
        <v>1944</v>
      </c>
      <c r="J219" s="22" t="s">
        <v>1821</v>
      </c>
    </row>
    <row r="220" spans="1:10" x14ac:dyDescent="0.25">
      <c r="A220" s="22" t="s">
        <v>44</v>
      </c>
      <c r="B220" s="24" t="s">
        <v>21</v>
      </c>
      <c r="C220" s="22" t="s">
        <v>1945</v>
      </c>
      <c r="D220" s="22" t="s">
        <v>1946</v>
      </c>
      <c r="E220" s="22" t="s">
        <v>1278</v>
      </c>
      <c r="F220" s="22" t="s">
        <v>1947</v>
      </c>
      <c r="G220" s="22" t="s">
        <v>1948</v>
      </c>
      <c r="H220" s="22" t="s">
        <v>1589</v>
      </c>
      <c r="I220" s="22" t="s">
        <v>1949</v>
      </c>
      <c r="J220" s="22" t="s">
        <v>1950</v>
      </c>
    </row>
    <row r="221" spans="1:10" x14ac:dyDescent="0.25">
      <c r="A221" s="22" t="s">
        <v>44</v>
      </c>
      <c r="B221" s="24" t="s">
        <v>22</v>
      </c>
      <c r="C221" s="22" t="s">
        <v>1951</v>
      </c>
      <c r="D221" s="22" t="s">
        <v>1436</v>
      </c>
      <c r="E221" s="22" t="s">
        <v>1284</v>
      </c>
      <c r="F221" s="22" t="s">
        <v>1952</v>
      </c>
      <c r="G221" s="22" t="s">
        <v>370</v>
      </c>
      <c r="H221" s="22" t="s">
        <v>415</v>
      </c>
      <c r="I221" s="22" t="s">
        <v>1953</v>
      </c>
      <c r="J221" s="22" t="s">
        <v>1954</v>
      </c>
    </row>
    <row r="222" spans="1:10" x14ac:dyDescent="0.25">
      <c r="A222" s="22" t="s">
        <v>44</v>
      </c>
      <c r="B222" s="24" t="s">
        <v>23</v>
      </c>
      <c r="C222" s="22" t="s">
        <v>1955</v>
      </c>
      <c r="D222" s="22" t="s">
        <v>1956</v>
      </c>
      <c r="E222" s="22" t="s">
        <v>1290</v>
      </c>
      <c r="F222" s="22" t="s">
        <v>1957</v>
      </c>
      <c r="G222" s="22" t="s">
        <v>1958</v>
      </c>
      <c r="H222" s="22" t="s">
        <v>1943</v>
      </c>
      <c r="I222" s="22" t="s">
        <v>1959</v>
      </c>
      <c r="J222" s="22" t="s">
        <v>1270</v>
      </c>
    </row>
    <row r="223" spans="1:10" x14ac:dyDescent="0.25">
      <c r="A223" s="22" t="s">
        <v>33</v>
      </c>
      <c r="B223" s="24" t="s">
        <v>4</v>
      </c>
      <c r="C223" s="22" t="s">
        <v>1960</v>
      </c>
      <c r="D223" s="22" t="s">
        <v>355</v>
      </c>
      <c r="E223" s="22" t="s">
        <v>1961</v>
      </c>
      <c r="F223" s="22" t="s">
        <v>1962</v>
      </c>
      <c r="G223" s="22" t="s">
        <v>357</v>
      </c>
      <c r="H223" s="22" t="s">
        <v>353</v>
      </c>
      <c r="I223" s="22" t="s">
        <v>1963</v>
      </c>
      <c r="J223" s="22" t="s">
        <v>356</v>
      </c>
    </row>
    <row r="224" spans="1:10" x14ac:dyDescent="0.25">
      <c r="A224" s="22" t="s">
        <v>33</v>
      </c>
      <c r="B224" s="24" t="s">
        <v>5</v>
      </c>
      <c r="C224" s="22" t="s">
        <v>1964</v>
      </c>
      <c r="D224" s="22" t="s">
        <v>359</v>
      </c>
      <c r="E224" s="22" t="s">
        <v>1965</v>
      </c>
      <c r="F224" s="22" t="s">
        <v>1966</v>
      </c>
      <c r="G224" s="22" t="s">
        <v>316</v>
      </c>
      <c r="H224" s="22" t="s">
        <v>361</v>
      </c>
      <c r="I224" s="22" t="s">
        <v>1967</v>
      </c>
      <c r="J224" s="22" t="s">
        <v>360</v>
      </c>
    </row>
    <row r="225" spans="1:10" x14ac:dyDescent="0.25">
      <c r="A225" s="22" t="s">
        <v>33</v>
      </c>
      <c r="B225" s="24" t="s">
        <v>6</v>
      </c>
      <c r="C225" s="22" t="s">
        <v>1968</v>
      </c>
      <c r="D225" s="22" t="s">
        <v>363</v>
      </c>
      <c r="E225" s="22" t="s">
        <v>1969</v>
      </c>
      <c r="F225" s="22" t="s">
        <v>1970</v>
      </c>
      <c r="G225" s="22" t="s">
        <v>357</v>
      </c>
      <c r="H225" s="22" t="s">
        <v>365</v>
      </c>
      <c r="I225" s="22" t="s">
        <v>1971</v>
      </c>
      <c r="J225" s="22" t="s">
        <v>364</v>
      </c>
    </row>
    <row r="226" spans="1:10" x14ac:dyDescent="0.25">
      <c r="A226" s="22" t="s">
        <v>33</v>
      </c>
      <c r="B226" s="24" t="s">
        <v>7</v>
      </c>
      <c r="C226" s="22" t="s">
        <v>1972</v>
      </c>
      <c r="D226" s="22" t="s">
        <v>367</v>
      </c>
      <c r="E226" s="22" t="s">
        <v>1973</v>
      </c>
      <c r="F226" s="22" t="s">
        <v>1974</v>
      </c>
      <c r="G226" s="22" t="s">
        <v>370</v>
      </c>
      <c r="H226" s="22" t="s">
        <v>369</v>
      </c>
      <c r="I226" s="22" t="s">
        <v>1975</v>
      </c>
      <c r="J226" s="22" t="s">
        <v>368</v>
      </c>
    </row>
    <row r="227" spans="1:10" x14ac:dyDescent="0.25">
      <c r="A227" s="22" t="s">
        <v>33</v>
      </c>
      <c r="B227" s="24" t="s">
        <v>8</v>
      </c>
      <c r="C227" s="22" t="s">
        <v>1976</v>
      </c>
      <c r="D227" s="22" t="s">
        <v>372</v>
      </c>
      <c r="E227" s="22" t="s">
        <v>1977</v>
      </c>
      <c r="F227" s="22" t="s">
        <v>1978</v>
      </c>
      <c r="G227" s="22" t="s">
        <v>374</v>
      </c>
      <c r="H227" s="22" t="s">
        <v>302</v>
      </c>
      <c r="I227" s="22" t="s">
        <v>1979</v>
      </c>
      <c r="J227" s="22" t="s">
        <v>373</v>
      </c>
    </row>
    <row r="228" spans="1:10" x14ac:dyDescent="0.25">
      <c r="A228" s="22" t="s">
        <v>33</v>
      </c>
      <c r="B228" s="24" t="s">
        <v>9</v>
      </c>
      <c r="C228" s="22" t="s">
        <v>1980</v>
      </c>
      <c r="D228" s="22" t="s">
        <v>376</v>
      </c>
      <c r="E228" s="22" t="s">
        <v>1981</v>
      </c>
      <c r="F228" s="22" t="s">
        <v>1982</v>
      </c>
      <c r="G228" s="22" t="s">
        <v>379</v>
      </c>
      <c r="H228" s="22" t="s">
        <v>378</v>
      </c>
      <c r="I228" s="22" t="s">
        <v>1983</v>
      </c>
      <c r="J228" s="22" t="s">
        <v>377</v>
      </c>
    </row>
    <row r="229" spans="1:10" x14ac:dyDescent="0.25">
      <c r="A229" s="22" t="s">
        <v>33</v>
      </c>
      <c r="B229" s="24" t="s">
        <v>10</v>
      </c>
      <c r="C229" s="22" t="s">
        <v>1984</v>
      </c>
      <c r="D229" s="22" t="s">
        <v>382</v>
      </c>
      <c r="E229" s="22" t="s">
        <v>1985</v>
      </c>
      <c r="F229" s="22" t="s">
        <v>1986</v>
      </c>
      <c r="G229" s="22" t="s">
        <v>302</v>
      </c>
      <c r="H229" s="22" t="s">
        <v>384</v>
      </c>
      <c r="I229" s="22" t="s">
        <v>1987</v>
      </c>
      <c r="J229" s="22" t="s">
        <v>383</v>
      </c>
    </row>
    <row r="230" spans="1:10" x14ac:dyDescent="0.25">
      <c r="A230" s="22" t="s">
        <v>33</v>
      </c>
      <c r="B230" s="24" t="s">
        <v>11</v>
      </c>
      <c r="C230" s="22" t="s">
        <v>1988</v>
      </c>
      <c r="D230" s="22" t="s">
        <v>387</v>
      </c>
      <c r="E230" s="22" t="s">
        <v>1989</v>
      </c>
      <c r="F230" s="22" t="s">
        <v>1990</v>
      </c>
      <c r="G230" s="22" t="s">
        <v>302</v>
      </c>
      <c r="H230" s="22" t="s">
        <v>365</v>
      </c>
      <c r="I230" s="22" t="s">
        <v>1991</v>
      </c>
      <c r="J230" s="22" t="s">
        <v>377</v>
      </c>
    </row>
    <row r="231" spans="1:10" x14ac:dyDescent="0.25">
      <c r="A231" s="22" t="s">
        <v>33</v>
      </c>
      <c r="B231" s="24" t="s">
        <v>12</v>
      </c>
      <c r="C231" s="22" t="s">
        <v>1992</v>
      </c>
      <c r="D231" s="22" t="s">
        <v>389</v>
      </c>
      <c r="E231" s="22" t="s">
        <v>1993</v>
      </c>
      <c r="F231" s="22" t="s">
        <v>1994</v>
      </c>
      <c r="G231" s="22" t="s">
        <v>379</v>
      </c>
      <c r="H231" s="22" t="s">
        <v>369</v>
      </c>
      <c r="I231" s="22" t="s">
        <v>1995</v>
      </c>
      <c r="J231" s="22" t="s">
        <v>390</v>
      </c>
    </row>
    <row r="232" spans="1:10" x14ac:dyDescent="0.25">
      <c r="A232" s="22" t="s">
        <v>33</v>
      </c>
      <c r="B232" s="24" t="s">
        <v>13</v>
      </c>
      <c r="C232" s="22" t="s">
        <v>1996</v>
      </c>
      <c r="D232" s="22" t="s">
        <v>393</v>
      </c>
      <c r="E232" s="22" t="s">
        <v>1997</v>
      </c>
      <c r="F232" s="22" t="s">
        <v>1998</v>
      </c>
      <c r="G232" s="22" t="s">
        <v>369</v>
      </c>
      <c r="H232" s="22" t="s">
        <v>197</v>
      </c>
      <c r="I232" s="22" t="s">
        <v>1999</v>
      </c>
      <c r="J232" s="22" t="s">
        <v>394</v>
      </c>
    </row>
    <row r="233" spans="1:10" x14ac:dyDescent="0.25">
      <c r="A233" s="22" t="s">
        <v>33</v>
      </c>
      <c r="B233" s="24" t="s">
        <v>14</v>
      </c>
      <c r="C233" s="22" t="s">
        <v>2000</v>
      </c>
      <c r="D233" s="22" t="s">
        <v>397</v>
      </c>
      <c r="E233" s="22" t="s">
        <v>2001</v>
      </c>
      <c r="F233" s="22" t="s">
        <v>2002</v>
      </c>
      <c r="G233" s="22" t="s">
        <v>361</v>
      </c>
      <c r="H233" s="22" t="s">
        <v>399</v>
      </c>
      <c r="I233" s="22" t="s">
        <v>2003</v>
      </c>
      <c r="J233" s="22" t="s">
        <v>398</v>
      </c>
    </row>
    <row r="234" spans="1:10" x14ac:dyDescent="0.25">
      <c r="A234" s="22" t="s">
        <v>33</v>
      </c>
      <c r="B234" s="24" t="s">
        <v>15</v>
      </c>
      <c r="C234" s="22" t="s">
        <v>2004</v>
      </c>
      <c r="D234" s="22" t="s">
        <v>402</v>
      </c>
      <c r="E234" s="22" t="s">
        <v>2005</v>
      </c>
      <c r="F234" s="22" t="s">
        <v>2006</v>
      </c>
      <c r="G234" s="22" t="s">
        <v>405</v>
      </c>
      <c r="H234" s="22" t="s">
        <v>404</v>
      </c>
      <c r="I234" s="22" t="s">
        <v>2007</v>
      </c>
      <c r="J234" s="22" t="s">
        <v>403</v>
      </c>
    </row>
    <row r="235" spans="1:10" x14ac:dyDescent="0.25">
      <c r="A235" s="22" t="s">
        <v>33</v>
      </c>
      <c r="B235" s="24" t="s">
        <v>16</v>
      </c>
      <c r="C235" s="22" t="s">
        <v>2008</v>
      </c>
      <c r="D235" s="22" t="s">
        <v>408</v>
      </c>
      <c r="E235" s="22" t="s">
        <v>2009</v>
      </c>
      <c r="F235" s="22" t="s">
        <v>2010</v>
      </c>
      <c r="G235" s="22" t="s">
        <v>410</v>
      </c>
      <c r="H235" s="22" t="s">
        <v>404</v>
      </c>
      <c r="I235" s="22" t="s">
        <v>2011</v>
      </c>
      <c r="J235" s="22" t="s">
        <v>409</v>
      </c>
    </row>
    <row r="236" spans="1:10" x14ac:dyDescent="0.25">
      <c r="A236" s="22" t="s">
        <v>33</v>
      </c>
      <c r="B236" s="24" t="s">
        <v>17</v>
      </c>
      <c r="C236" s="22" t="s">
        <v>2012</v>
      </c>
      <c r="D236" s="22" t="s">
        <v>413</v>
      </c>
      <c r="E236" s="22" t="s">
        <v>2013</v>
      </c>
      <c r="F236" s="22" t="s">
        <v>2014</v>
      </c>
      <c r="G236" s="22" t="s">
        <v>361</v>
      </c>
      <c r="H236" s="22" t="s">
        <v>415</v>
      </c>
      <c r="I236" s="22" t="s">
        <v>2015</v>
      </c>
      <c r="J236" s="22" t="s">
        <v>414</v>
      </c>
    </row>
    <row r="237" spans="1:10" x14ac:dyDescent="0.25">
      <c r="A237" s="22" t="s">
        <v>33</v>
      </c>
      <c r="B237" s="24" t="s">
        <v>18</v>
      </c>
      <c r="C237" s="22" t="s">
        <v>2016</v>
      </c>
      <c r="D237" s="22" t="s">
        <v>387</v>
      </c>
      <c r="E237" s="22" t="s">
        <v>2017</v>
      </c>
      <c r="F237" s="22" t="s">
        <v>2018</v>
      </c>
      <c r="G237" s="22" t="s">
        <v>209</v>
      </c>
      <c r="H237" s="22" t="s">
        <v>419</v>
      </c>
      <c r="I237" s="22" t="s">
        <v>2019</v>
      </c>
      <c r="J237" s="22" t="s">
        <v>418</v>
      </c>
    </row>
    <row r="238" spans="1:10" x14ac:dyDescent="0.25">
      <c r="A238" s="22" t="s">
        <v>33</v>
      </c>
      <c r="B238" s="24" t="s">
        <v>19</v>
      </c>
      <c r="C238" s="22" t="s">
        <v>2020</v>
      </c>
      <c r="D238" s="22" t="s">
        <v>422</v>
      </c>
      <c r="E238" s="22" t="s">
        <v>2021</v>
      </c>
      <c r="F238" s="22" t="s">
        <v>2022</v>
      </c>
      <c r="G238" s="22" t="s">
        <v>425</v>
      </c>
      <c r="H238" s="22" t="s">
        <v>424</v>
      </c>
      <c r="I238" s="22" t="s">
        <v>2023</v>
      </c>
      <c r="J238" s="22" t="s">
        <v>423</v>
      </c>
    </row>
    <row r="239" spans="1:10" x14ac:dyDescent="0.25">
      <c r="A239" s="22" t="s">
        <v>33</v>
      </c>
      <c r="B239" s="24" t="s">
        <v>20</v>
      </c>
      <c r="C239" s="22" t="s">
        <v>2024</v>
      </c>
      <c r="D239" s="22" t="s">
        <v>428</v>
      </c>
      <c r="E239" s="22" t="s">
        <v>2025</v>
      </c>
      <c r="F239" s="22" t="s">
        <v>2026</v>
      </c>
      <c r="G239" s="22" t="s">
        <v>430</v>
      </c>
      <c r="H239" s="22" t="s">
        <v>429</v>
      </c>
      <c r="I239" s="22" t="s">
        <v>2027</v>
      </c>
      <c r="J239" s="22" t="s">
        <v>377</v>
      </c>
    </row>
    <row r="240" spans="1:10" x14ac:dyDescent="0.25">
      <c r="A240" s="22" t="s">
        <v>33</v>
      </c>
      <c r="B240" s="24" t="s">
        <v>21</v>
      </c>
      <c r="C240" s="22" t="s">
        <v>2028</v>
      </c>
      <c r="D240" s="22" t="s">
        <v>433</v>
      </c>
      <c r="E240" s="22" t="s">
        <v>2029</v>
      </c>
      <c r="F240" s="22" t="s">
        <v>2030</v>
      </c>
      <c r="G240" s="22" t="s">
        <v>436</v>
      </c>
      <c r="H240" s="22" t="s">
        <v>435</v>
      </c>
      <c r="I240" s="22" t="s">
        <v>2031</v>
      </c>
      <c r="J240" s="22" t="s">
        <v>434</v>
      </c>
    </row>
    <row r="241" spans="1:10" x14ac:dyDescent="0.25">
      <c r="A241" s="22" t="s">
        <v>33</v>
      </c>
      <c r="B241" s="24" t="s">
        <v>22</v>
      </c>
      <c r="C241" s="22" t="s">
        <v>2032</v>
      </c>
      <c r="D241" s="22" t="s">
        <v>439</v>
      </c>
      <c r="E241" s="22" t="s">
        <v>2033</v>
      </c>
      <c r="F241" s="22" t="s">
        <v>2034</v>
      </c>
      <c r="G241" s="22" t="s">
        <v>436</v>
      </c>
      <c r="H241" s="22" t="s">
        <v>441</v>
      </c>
      <c r="I241" s="22" t="s">
        <v>2035</v>
      </c>
      <c r="J241" s="22" t="s">
        <v>440</v>
      </c>
    </row>
    <row r="242" spans="1:10" x14ac:dyDescent="0.25">
      <c r="A242" s="22" t="s">
        <v>33</v>
      </c>
      <c r="B242" s="24" t="s">
        <v>23</v>
      </c>
      <c r="C242" s="22" t="s">
        <v>2036</v>
      </c>
      <c r="D242" s="22" t="s">
        <v>1640</v>
      </c>
      <c r="E242" s="22" t="s">
        <v>2037</v>
      </c>
      <c r="F242" s="22" t="s">
        <v>2038</v>
      </c>
      <c r="G242" s="22" t="s">
        <v>384</v>
      </c>
      <c r="H242" s="22" t="s">
        <v>2039</v>
      </c>
      <c r="I242" s="22" t="s">
        <v>2040</v>
      </c>
      <c r="J242" s="22" t="s">
        <v>2041</v>
      </c>
    </row>
    <row r="243" spans="1:10" x14ac:dyDescent="0.25">
      <c r="A243" s="22" t="s">
        <v>39</v>
      </c>
      <c r="B243" s="24" t="s">
        <v>4</v>
      </c>
      <c r="C243" s="22" t="s">
        <v>2042</v>
      </c>
      <c r="D243" s="22" t="s">
        <v>2043</v>
      </c>
      <c r="E243" s="22" t="s">
        <v>2044</v>
      </c>
      <c r="F243" s="22" t="s">
        <v>2045</v>
      </c>
      <c r="G243" s="22" t="s">
        <v>344</v>
      </c>
      <c r="H243" s="22" t="s">
        <v>1873</v>
      </c>
      <c r="I243" s="22" t="s">
        <v>2046</v>
      </c>
      <c r="J243" s="22" t="s">
        <v>888</v>
      </c>
    </row>
    <row r="244" spans="1:10" x14ac:dyDescent="0.25">
      <c r="A244" s="22" t="s">
        <v>39</v>
      </c>
      <c r="B244" s="24" t="s">
        <v>5</v>
      </c>
      <c r="C244" s="22" t="s">
        <v>2047</v>
      </c>
      <c r="D244" s="22" t="s">
        <v>2048</v>
      </c>
      <c r="E244" s="22" t="s">
        <v>2049</v>
      </c>
      <c r="F244" s="22" t="s">
        <v>2050</v>
      </c>
      <c r="G244" s="22" t="s">
        <v>350</v>
      </c>
      <c r="H244" s="22" t="s">
        <v>2051</v>
      </c>
      <c r="I244" s="22" t="s">
        <v>2052</v>
      </c>
      <c r="J244" s="22" t="s">
        <v>2053</v>
      </c>
    </row>
    <row r="245" spans="1:10" x14ac:dyDescent="0.25">
      <c r="A245" s="22" t="s">
        <v>39</v>
      </c>
      <c r="B245" s="24" t="s">
        <v>6</v>
      </c>
      <c r="C245" s="22" t="s">
        <v>2054</v>
      </c>
      <c r="D245" s="22" t="s">
        <v>2055</v>
      </c>
      <c r="E245" s="22" t="s">
        <v>2056</v>
      </c>
      <c r="F245" s="22" t="s">
        <v>2057</v>
      </c>
      <c r="G245" s="22" t="s">
        <v>1146</v>
      </c>
      <c r="H245" s="22" t="s">
        <v>2058</v>
      </c>
      <c r="I245" s="22" t="s">
        <v>2059</v>
      </c>
      <c r="J245" s="22" t="s">
        <v>2060</v>
      </c>
    </row>
    <row r="246" spans="1:10" x14ac:dyDescent="0.25">
      <c r="A246" s="22" t="s">
        <v>39</v>
      </c>
      <c r="B246" s="24" t="s">
        <v>7</v>
      </c>
      <c r="C246" s="22" t="s">
        <v>2061</v>
      </c>
      <c r="D246" s="22" t="s">
        <v>2062</v>
      </c>
      <c r="E246" s="22" t="s">
        <v>2063</v>
      </c>
      <c r="F246" s="22" t="s">
        <v>2064</v>
      </c>
      <c r="G246" s="22" t="s">
        <v>893</v>
      </c>
      <c r="H246" s="22" t="s">
        <v>969</v>
      </c>
      <c r="I246" s="22" t="s">
        <v>2065</v>
      </c>
      <c r="J246" s="22" t="s">
        <v>2066</v>
      </c>
    </row>
    <row r="247" spans="1:10" x14ac:dyDescent="0.25">
      <c r="A247" s="22" t="s">
        <v>39</v>
      </c>
      <c r="B247" s="24" t="s">
        <v>8</v>
      </c>
      <c r="C247" s="22" t="s">
        <v>2067</v>
      </c>
      <c r="D247" s="22" t="s">
        <v>1812</v>
      </c>
      <c r="E247" s="22" t="s">
        <v>2068</v>
      </c>
      <c r="F247" s="22" t="s">
        <v>2069</v>
      </c>
      <c r="G247" s="22" t="s">
        <v>686</v>
      </c>
      <c r="H247" s="22" t="s">
        <v>384</v>
      </c>
      <c r="I247" s="22" t="s">
        <v>2070</v>
      </c>
      <c r="J247" s="22" t="s">
        <v>838</v>
      </c>
    </row>
    <row r="248" spans="1:10" x14ac:dyDescent="0.25">
      <c r="A248" s="22" t="s">
        <v>39</v>
      </c>
      <c r="B248" s="24" t="s">
        <v>9</v>
      </c>
      <c r="C248" s="22" t="s">
        <v>2071</v>
      </c>
      <c r="D248" s="22" t="s">
        <v>2072</v>
      </c>
      <c r="E248" s="22" t="s">
        <v>2073</v>
      </c>
      <c r="F248" s="22" t="s">
        <v>2074</v>
      </c>
      <c r="G248" s="22" t="s">
        <v>2075</v>
      </c>
      <c r="H248" s="22" t="s">
        <v>369</v>
      </c>
      <c r="I248" s="22" t="s">
        <v>2076</v>
      </c>
      <c r="J248" s="22" t="s">
        <v>1518</v>
      </c>
    </row>
    <row r="249" spans="1:10" x14ac:dyDescent="0.25">
      <c r="A249" s="22" t="s">
        <v>39</v>
      </c>
      <c r="B249" s="24" t="s">
        <v>10</v>
      </c>
      <c r="C249" s="22" t="s">
        <v>2077</v>
      </c>
      <c r="D249" s="22" t="s">
        <v>2078</v>
      </c>
      <c r="E249" s="22" t="s">
        <v>2079</v>
      </c>
      <c r="F249" s="22" t="s">
        <v>2080</v>
      </c>
      <c r="G249" s="22" t="s">
        <v>2081</v>
      </c>
      <c r="H249" s="22" t="s">
        <v>1171</v>
      </c>
      <c r="I249" s="22" t="s">
        <v>2082</v>
      </c>
      <c r="J249" s="22" t="s">
        <v>557</v>
      </c>
    </row>
    <row r="250" spans="1:10" x14ac:dyDescent="0.25">
      <c r="A250" s="22" t="s">
        <v>39</v>
      </c>
      <c r="B250" s="24" t="s">
        <v>11</v>
      </c>
      <c r="C250" s="22" t="s">
        <v>2083</v>
      </c>
      <c r="D250" s="22" t="s">
        <v>2084</v>
      </c>
      <c r="E250" s="22" t="s">
        <v>2085</v>
      </c>
      <c r="F250" s="22" t="s">
        <v>2086</v>
      </c>
      <c r="G250" s="22" t="s">
        <v>1463</v>
      </c>
      <c r="H250" s="22" t="s">
        <v>661</v>
      </c>
      <c r="I250" s="22" t="s">
        <v>2087</v>
      </c>
      <c r="J250" s="22" t="s">
        <v>1124</v>
      </c>
    </row>
    <row r="251" spans="1:10" x14ac:dyDescent="0.25">
      <c r="A251" s="22" t="s">
        <v>39</v>
      </c>
      <c r="B251" s="24" t="s">
        <v>12</v>
      </c>
      <c r="C251" s="22" t="s">
        <v>2088</v>
      </c>
      <c r="D251" s="22" t="s">
        <v>2089</v>
      </c>
      <c r="E251" s="22" t="s">
        <v>2090</v>
      </c>
      <c r="F251" s="22" t="s">
        <v>2091</v>
      </c>
      <c r="G251" s="22" t="s">
        <v>743</v>
      </c>
      <c r="H251" s="22" t="s">
        <v>1607</v>
      </c>
      <c r="I251" s="22" t="s">
        <v>2092</v>
      </c>
      <c r="J251" s="22" t="s">
        <v>491</v>
      </c>
    </row>
    <row r="252" spans="1:10" x14ac:dyDescent="0.25">
      <c r="A252" s="22" t="s">
        <v>39</v>
      </c>
      <c r="B252" s="24" t="s">
        <v>13</v>
      </c>
      <c r="C252" s="22" t="s">
        <v>2093</v>
      </c>
      <c r="D252" s="22" t="s">
        <v>2094</v>
      </c>
      <c r="E252" s="22" t="s">
        <v>2095</v>
      </c>
      <c r="F252" s="22" t="s">
        <v>2096</v>
      </c>
      <c r="G252" s="22" t="s">
        <v>1474</v>
      </c>
      <c r="H252" s="22" t="s">
        <v>2097</v>
      </c>
      <c r="I252" s="22" t="s">
        <v>2098</v>
      </c>
      <c r="J252" s="22" t="s">
        <v>861</v>
      </c>
    </row>
    <row r="253" spans="1:10" x14ac:dyDescent="0.25">
      <c r="A253" s="22" t="s">
        <v>39</v>
      </c>
      <c r="B253" s="24" t="s">
        <v>14</v>
      </c>
      <c r="C253" s="22" t="s">
        <v>2099</v>
      </c>
      <c r="D253" s="22" t="s">
        <v>1831</v>
      </c>
      <c r="E253" s="22" t="s">
        <v>2100</v>
      </c>
      <c r="F253" s="22" t="s">
        <v>2101</v>
      </c>
      <c r="G253" s="22" t="s">
        <v>1197</v>
      </c>
      <c r="H253" s="22" t="s">
        <v>1178</v>
      </c>
      <c r="I253" s="22" t="s">
        <v>2102</v>
      </c>
      <c r="J253" s="22" t="s">
        <v>1934</v>
      </c>
    </row>
    <row r="254" spans="1:10" x14ac:dyDescent="0.25">
      <c r="A254" s="22" t="s">
        <v>39</v>
      </c>
      <c r="B254" s="24" t="s">
        <v>15</v>
      </c>
      <c r="C254" s="22" t="s">
        <v>2103</v>
      </c>
      <c r="D254" s="22" t="s">
        <v>2104</v>
      </c>
      <c r="E254" s="22" t="s">
        <v>2105</v>
      </c>
      <c r="F254" s="22" t="s">
        <v>2106</v>
      </c>
      <c r="G254" s="22" t="s">
        <v>2107</v>
      </c>
      <c r="H254" s="22" t="s">
        <v>463</v>
      </c>
      <c r="I254" s="22" t="s">
        <v>2108</v>
      </c>
      <c r="J254" s="22" t="s">
        <v>537</v>
      </c>
    </row>
    <row r="255" spans="1:10" x14ac:dyDescent="0.25">
      <c r="A255" s="22" t="s">
        <v>39</v>
      </c>
      <c r="B255" s="24" t="s">
        <v>16</v>
      </c>
      <c r="C255" s="22" t="s">
        <v>2109</v>
      </c>
      <c r="D255" s="22" t="s">
        <v>2110</v>
      </c>
      <c r="E255" s="22" t="s">
        <v>2111</v>
      </c>
      <c r="F255" s="22" t="s">
        <v>2112</v>
      </c>
      <c r="G255" s="22" t="s">
        <v>520</v>
      </c>
      <c r="H255" s="22" t="s">
        <v>1655</v>
      </c>
      <c r="I255" s="22" t="s">
        <v>2113</v>
      </c>
      <c r="J255" s="22" t="s">
        <v>1907</v>
      </c>
    </row>
    <row r="256" spans="1:10" x14ac:dyDescent="0.25">
      <c r="A256" s="22" t="s">
        <v>39</v>
      </c>
      <c r="B256" s="24" t="s">
        <v>17</v>
      </c>
      <c r="C256" s="22" t="s">
        <v>2114</v>
      </c>
      <c r="D256" s="22" t="s">
        <v>2115</v>
      </c>
      <c r="E256" s="22" t="s">
        <v>2116</v>
      </c>
      <c r="F256" s="22" t="s">
        <v>2117</v>
      </c>
      <c r="G256" s="22" t="s">
        <v>1286</v>
      </c>
      <c r="H256" s="22" t="s">
        <v>419</v>
      </c>
      <c r="I256" s="22" t="s">
        <v>2118</v>
      </c>
      <c r="J256" s="22" t="s">
        <v>2119</v>
      </c>
    </row>
    <row r="257" spans="1:10" x14ac:dyDescent="0.25">
      <c r="A257" s="22" t="s">
        <v>39</v>
      </c>
      <c r="B257" s="24" t="s">
        <v>18</v>
      </c>
      <c r="C257" s="22" t="s">
        <v>2120</v>
      </c>
      <c r="D257" s="22" t="s">
        <v>2121</v>
      </c>
      <c r="E257" s="22" t="s">
        <v>2122</v>
      </c>
      <c r="F257" s="22" t="s">
        <v>2123</v>
      </c>
      <c r="G257" s="22" t="s">
        <v>2124</v>
      </c>
      <c r="H257" s="22" t="s">
        <v>1589</v>
      </c>
      <c r="I257" s="22" t="s">
        <v>2125</v>
      </c>
      <c r="J257" s="22" t="s">
        <v>210</v>
      </c>
    </row>
    <row r="258" spans="1:10" x14ac:dyDescent="0.25">
      <c r="A258" s="22" t="s">
        <v>39</v>
      </c>
      <c r="B258" s="24" t="s">
        <v>19</v>
      </c>
      <c r="C258" s="22" t="s">
        <v>2126</v>
      </c>
      <c r="D258" s="22" t="s">
        <v>2127</v>
      </c>
      <c r="E258" s="22" t="s">
        <v>2128</v>
      </c>
      <c r="F258" s="22" t="s">
        <v>2129</v>
      </c>
      <c r="G258" s="22" t="s">
        <v>2130</v>
      </c>
      <c r="H258" s="22" t="s">
        <v>2131</v>
      </c>
      <c r="I258" s="22" t="s">
        <v>2132</v>
      </c>
      <c r="J258" s="22" t="s">
        <v>2133</v>
      </c>
    </row>
    <row r="259" spans="1:10" x14ac:dyDescent="0.25">
      <c r="A259" s="22" t="s">
        <v>39</v>
      </c>
      <c r="B259" s="24" t="s">
        <v>20</v>
      </c>
      <c r="C259" s="22" t="s">
        <v>2134</v>
      </c>
      <c r="D259" s="22" t="s">
        <v>972</v>
      </c>
      <c r="E259" s="22" t="s">
        <v>2135</v>
      </c>
      <c r="F259" s="22" t="s">
        <v>2136</v>
      </c>
      <c r="G259" s="22" t="s">
        <v>1759</v>
      </c>
      <c r="H259" s="22" t="s">
        <v>2137</v>
      </c>
      <c r="I259" s="22" t="s">
        <v>2138</v>
      </c>
      <c r="J259" s="22" t="s">
        <v>1070</v>
      </c>
    </row>
    <row r="260" spans="1:10" x14ac:dyDescent="0.25">
      <c r="A260" s="22" t="s">
        <v>39</v>
      </c>
      <c r="B260" s="24" t="s">
        <v>21</v>
      </c>
      <c r="C260" s="22" t="s">
        <v>2139</v>
      </c>
      <c r="D260" s="22" t="s">
        <v>2140</v>
      </c>
      <c r="E260" s="22" t="s">
        <v>2141</v>
      </c>
      <c r="F260" s="22" t="s">
        <v>2142</v>
      </c>
      <c r="G260" s="22" t="s">
        <v>233</v>
      </c>
      <c r="H260" s="22" t="s">
        <v>2039</v>
      </c>
      <c r="I260" s="22" t="s">
        <v>2143</v>
      </c>
      <c r="J260" s="22" t="s">
        <v>2144</v>
      </c>
    </row>
    <row r="261" spans="1:10" x14ac:dyDescent="0.25">
      <c r="A261" s="22" t="s">
        <v>39</v>
      </c>
      <c r="B261" s="24" t="s">
        <v>22</v>
      </c>
      <c r="C261" s="22" t="s">
        <v>2145</v>
      </c>
      <c r="D261" s="22" t="s">
        <v>2146</v>
      </c>
      <c r="E261" s="22" t="s">
        <v>2147</v>
      </c>
      <c r="F261" s="22" t="s">
        <v>2148</v>
      </c>
      <c r="G261" s="22" t="s">
        <v>1516</v>
      </c>
      <c r="H261" s="22" t="s">
        <v>2149</v>
      </c>
      <c r="I261" s="22" t="s">
        <v>2150</v>
      </c>
      <c r="J261" s="22" t="s">
        <v>2151</v>
      </c>
    </row>
    <row r="262" spans="1:10" x14ac:dyDescent="0.25">
      <c r="A262" s="22" t="s">
        <v>39</v>
      </c>
      <c r="B262" s="24" t="s">
        <v>23</v>
      </c>
      <c r="C262" s="22" t="s">
        <v>2152</v>
      </c>
      <c r="D262" s="22" t="s">
        <v>1824</v>
      </c>
      <c r="E262" s="22" t="s">
        <v>2153</v>
      </c>
      <c r="F262" s="22" t="s">
        <v>2154</v>
      </c>
      <c r="G262" s="22" t="s">
        <v>1554</v>
      </c>
      <c r="H262" s="22" t="s">
        <v>1752</v>
      </c>
      <c r="I262" s="22" t="s">
        <v>2155</v>
      </c>
      <c r="J262" s="22" t="s">
        <v>2156</v>
      </c>
    </row>
    <row r="263" spans="1:10" x14ac:dyDescent="0.25">
      <c r="A263" s="22" t="s">
        <v>36</v>
      </c>
      <c r="B263" s="24" t="s">
        <v>4</v>
      </c>
      <c r="C263" s="22" t="s">
        <v>2157</v>
      </c>
      <c r="D263" s="22" t="s">
        <v>1604</v>
      </c>
      <c r="E263" s="22" t="s">
        <v>2158</v>
      </c>
      <c r="F263" s="22" t="s">
        <v>2159</v>
      </c>
      <c r="G263" s="22" t="s">
        <v>494</v>
      </c>
      <c r="H263" s="22" t="s">
        <v>491</v>
      </c>
      <c r="I263" s="22" t="s">
        <v>2160</v>
      </c>
      <c r="J263" s="22" t="s">
        <v>2161</v>
      </c>
    </row>
    <row r="264" spans="1:10" x14ac:dyDescent="0.25">
      <c r="A264" s="22" t="s">
        <v>36</v>
      </c>
      <c r="B264" s="24" t="s">
        <v>5</v>
      </c>
      <c r="C264" s="22" t="s">
        <v>2162</v>
      </c>
      <c r="D264" s="22" t="s">
        <v>2163</v>
      </c>
      <c r="E264" s="22" t="s">
        <v>2164</v>
      </c>
      <c r="F264" s="22" t="s">
        <v>2165</v>
      </c>
      <c r="G264" s="22" t="s">
        <v>499</v>
      </c>
      <c r="H264" s="22" t="s">
        <v>498</v>
      </c>
      <c r="I264" s="22" t="s">
        <v>2166</v>
      </c>
      <c r="J264" s="22" t="s">
        <v>2167</v>
      </c>
    </row>
    <row r="265" spans="1:10" x14ac:dyDescent="0.25">
      <c r="A265" s="22" t="s">
        <v>36</v>
      </c>
      <c r="B265" s="24" t="s">
        <v>6</v>
      </c>
      <c r="C265" s="22" t="s">
        <v>2168</v>
      </c>
      <c r="D265" s="22" t="s">
        <v>2169</v>
      </c>
      <c r="E265" s="22" t="s">
        <v>2170</v>
      </c>
      <c r="F265" s="22" t="s">
        <v>2171</v>
      </c>
      <c r="G265" s="22" t="s">
        <v>502</v>
      </c>
      <c r="H265" s="22" t="s">
        <v>207</v>
      </c>
      <c r="I265" s="22" t="s">
        <v>2172</v>
      </c>
      <c r="J265" s="22" t="s">
        <v>2173</v>
      </c>
    </row>
    <row r="266" spans="1:10" x14ac:dyDescent="0.25">
      <c r="A266" s="22" t="s">
        <v>36</v>
      </c>
      <c r="B266" s="24" t="s">
        <v>7</v>
      </c>
      <c r="C266" s="22" t="s">
        <v>2174</v>
      </c>
      <c r="D266" s="22" t="s">
        <v>2175</v>
      </c>
      <c r="E266" s="22" t="s">
        <v>2176</v>
      </c>
      <c r="F266" s="22" t="s">
        <v>2177</v>
      </c>
      <c r="G266" s="22" t="s">
        <v>492</v>
      </c>
      <c r="H266" s="22" t="s">
        <v>265</v>
      </c>
      <c r="I266" s="22" t="s">
        <v>2178</v>
      </c>
      <c r="J266" s="22" t="s">
        <v>368</v>
      </c>
    </row>
    <row r="267" spans="1:10" x14ac:dyDescent="0.25">
      <c r="A267" s="22" t="s">
        <v>36</v>
      </c>
      <c r="B267" s="24" t="s">
        <v>8</v>
      </c>
      <c r="C267" s="22" t="s">
        <v>2179</v>
      </c>
      <c r="D267" s="22" t="s">
        <v>2180</v>
      </c>
      <c r="E267" s="22" t="s">
        <v>2181</v>
      </c>
      <c r="F267" s="22" t="s">
        <v>2182</v>
      </c>
      <c r="G267" s="22" t="s">
        <v>509</v>
      </c>
      <c r="H267" s="22" t="s">
        <v>508</v>
      </c>
      <c r="I267" s="22" t="s">
        <v>2183</v>
      </c>
      <c r="J267" s="22" t="s">
        <v>364</v>
      </c>
    </row>
    <row r="268" spans="1:10" x14ac:dyDescent="0.25">
      <c r="A268" s="22" t="s">
        <v>36</v>
      </c>
      <c r="B268" s="24" t="s">
        <v>9</v>
      </c>
      <c r="C268" s="22" t="s">
        <v>2184</v>
      </c>
      <c r="D268" s="22" t="s">
        <v>2185</v>
      </c>
      <c r="E268" s="22" t="s">
        <v>2186</v>
      </c>
      <c r="F268" s="22" t="s">
        <v>2187</v>
      </c>
      <c r="G268" s="22" t="s">
        <v>310</v>
      </c>
      <c r="H268" s="22" t="s">
        <v>512</v>
      </c>
      <c r="I268" s="22" t="s">
        <v>2188</v>
      </c>
      <c r="J268" s="22" t="s">
        <v>2189</v>
      </c>
    </row>
    <row r="269" spans="1:10" x14ac:dyDescent="0.25">
      <c r="A269" s="22" t="s">
        <v>36</v>
      </c>
      <c r="B269" s="24" t="s">
        <v>10</v>
      </c>
      <c r="C269" s="22" t="s">
        <v>2190</v>
      </c>
      <c r="D269" s="22" t="s">
        <v>2191</v>
      </c>
      <c r="E269" s="22" t="s">
        <v>2192</v>
      </c>
      <c r="F269" s="22" t="s">
        <v>2193</v>
      </c>
      <c r="G269" s="22" t="s">
        <v>245</v>
      </c>
      <c r="H269" s="22" t="s">
        <v>495</v>
      </c>
      <c r="I269" s="22" t="s">
        <v>2194</v>
      </c>
      <c r="J269" s="22" t="s">
        <v>2195</v>
      </c>
    </row>
    <row r="270" spans="1:10" x14ac:dyDescent="0.25">
      <c r="A270" s="22" t="s">
        <v>36</v>
      </c>
      <c r="B270" s="24" t="s">
        <v>11</v>
      </c>
      <c r="C270" s="22" t="s">
        <v>2196</v>
      </c>
      <c r="D270" s="22" t="s">
        <v>2197</v>
      </c>
      <c r="E270" s="22" t="s">
        <v>2198</v>
      </c>
      <c r="F270" s="22" t="s">
        <v>2199</v>
      </c>
      <c r="G270" s="22" t="s">
        <v>518</v>
      </c>
      <c r="H270" s="22" t="s">
        <v>517</v>
      </c>
      <c r="I270" s="22" t="s">
        <v>2200</v>
      </c>
      <c r="J270" s="22" t="s">
        <v>2201</v>
      </c>
    </row>
    <row r="271" spans="1:10" x14ac:dyDescent="0.25">
      <c r="A271" s="22" t="s">
        <v>36</v>
      </c>
      <c r="B271" s="24" t="s">
        <v>12</v>
      </c>
      <c r="C271" s="22" t="s">
        <v>2202</v>
      </c>
      <c r="D271" s="22" t="s">
        <v>2203</v>
      </c>
      <c r="E271" s="22" t="s">
        <v>2204</v>
      </c>
      <c r="F271" s="22" t="s">
        <v>2205</v>
      </c>
      <c r="G271" s="22" t="s">
        <v>478</v>
      </c>
      <c r="H271" s="22" t="s">
        <v>520</v>
      </c>
      <c r="I271" s="22" t="s">
        <v>2206</v>
      </c>
      <c r="J271" s="22" t="s">
        <v>923</v>
      </c>
    </row>
    <row r="272" spans="1:10" x14ac:dyDescent="0.25">
      <c r="A272" s="22" t="s">
        <v>36</v>
      </c>
      <c r="B272" s="24" t="s">
        <v>13</v>
      </c>
      <c r="C272" s="22" t="s">
        <v>2207</v>
      </c>
      <c r="D272" s="22" t="s">
        <v>2208</v>
      </c>
      <c r="E272" s="22" t="s">
        <v>2209</v>
      </c>
      <c r="F272" s="22" t="s">
        <v>2210</v>
      </c>
      <c r="G272" s="22" t="s">
        <v>518</v>
      </c>
      <c r="H272" s="22" t="s">
        <v>523</v>
      </c>
      <c r="I272" s="22" t="s">
        <v>2211</v>
      </c>
      <c r="J272" s="22" t="s">
        <v>2212</v>
      </c>
    </row>
    <row r="273" spans="1:10" x14ac:dyDescent="0.25">
      <c r="A273" s="22" t="s">
        <v>36</v>
      </c>
      <c r="B273" s="24" t="s">
        <v>14</v>
      </c>
      <c r="C273" s="22" t="s">
        <v>2213</v>
      </c>
      <c r="D273" s="22" t="s">
        <v>2214</v>
      </c>
      <c r="E273" s="22" t="s">
        <v>2215</v>
      </c>
      <c r="F273" s="22" t="s">
        <v>2216</v>
      </c>
      <c r="G273" s="22" t="s">
        <v>527</v>
      </c>
      <c r="H273" s="22" t="s">
        <v>526</v>
      </c>
      <c r="I273" s="22" t="s">
        <v>2217</v>
      </c>
      <c r="J273" s="22" t="s">
        <v>988</v>
      </c>
    </row>
    <row r="274" spans="1:10" x14ac:dyDescent="0.25">
      <c r="A274" s="22" t="s">
        <v>36</v>
      </c>
      <c r="B274" s="24" t="s">
        <v>15</v>
      </c>
      <c r="C274" s="22" t="s">
        <v>2218</v>
      </c>
      <c r="D274" s="22" t="s">
        <v>2219</v>
      </c>
      <c r="E274" s="22" t="s">
        <v>2220</v>
      </c>
      <c r="F274" s="22" t="s">
        <v>2221</v>
      </c>
      <c r="G274" s="22" t="s">
        <v>530</v>
      </c>
      <c r="H274" s="22" t="s">
        <v>1554</v>
      </c>
      <c r="I274" s="22" t="s">
        <v>2222</v>
      </c>
      <c r="J274" s="22" t="s">
        <v>814</v>
      </c>
    </row>
    <row r="275" spans="1:10" x14ac:dyDescent="0.25">
      <c r="A275" s="22" t="s">
        <v>36</v>
      </c>
      <c r="B275" s="24" t="s">
        <v>16</v>
      </c>
      <c r="C275" s="22" t="s">
        <v>2223</v>
      </c>
      <c r="D275" s="22" t="s">
        <v>2224</v>
      </c>
      <c r="E275" s="22" t="s">
        <v>2225</v>
      </c>
      <c r="F275" s="22" t="s">
        <v>2226</v>
      </c>
      <c r="G275" s="22" t="s">
        <v>534</v>
      </c>
      <c r="H275" s="22" t="s">
        <v>533</v>
      </c>
      <c r="I275" s="22" t="s">
        <v>2227</v>
      </c>
      <c r="J275" s="22" t="s">
        <v>1349</v>
      </c>
    </row>
    <row r="276" spans="1:10" x14ac:dyDescent="0.25">
      <c r="A276" s="22" t="s">
        <v>36</v>
      </c>
      <c r="B276" s="24" t="s">
        <v>17</v>
      </c>
      <c r="C276" s="22" t="s">
        <v>2228</v>
      </c>
      <c r="D276" s="22" t="s">
        <v>2229</v>
      </c>
      <c r="E276" s="22" t="s">
        <v>2230</v>
      </c>
      <c r="F276" s="22" t="s">
        <v>2231</v>
      </c>
      <c r="G276" s="22" t="s">
        <v>538</v>
      </c>
      <c r="H276" s="22" t="s">
        <v>537</v>
      </c>
      <c r="I276" s="22" t="s">
        <v>2232</v>
      </c>
      <c r="J276" s="22" t="s">
        <v>895</v>
      </c>
    </row>
    <row r="277" spans="1:10" x14ac:dyDescent="0.25">
      <c r="A277" s="22" t="s">
        <v>36</v>
      </c>
      <c r="B277" s="24" t="s">
        <v>18</v>
      </c>
      <c r="C277" s="22" t="s">
        <v>2233</v>
      </c>
      <c r="D277" s="22" t="s">
        <v>2234</v>
      </c>
      <c r="E277" s="22" t="s">
        <v>2235</v>
      </c>
      <c r="F277" s="22" t="s">
        <v>2236</v>
      </c>
      <c r="G277" s="22" t="s">
        <v>542</v>
      </c>
      <c r="H277" s="22" t="s">
        <v>541</v>
      </c>
      <c r="I277" s="22" t="s">
        <v>2237</v>
      </c>
      <c r="J277" s="22" t="s">
        <v>2238</v>
      </c>
    </row>
    <row r="278" spans="1:10" x14ac:dyDescent="0.25">
      <c r="A278" s="22" t="s">
        <v>36</v>
      </c>
      <c r="B278" s="24" t="s">
        <v>19</v>
      </c>
      <c r="C278" s="22" t="s">
        <v>2239</v>
      </c>
      <c r="D278" s="22" t="s">
        <v>2240</v>
      </c>
      <c r="E278" s="22" t="s">
        <v>2241</v>
      </c>
      <c r="F278" s="22" t="s">
        <v>2242</v>
      </c>
      <c r="G278" s="22" t="s">
        <v>344</v>
      </c>
      <c r="H278" s="22" t="s">
        <v>545</v>
      </c>
      <c r="I278" s="22" t="s">
        <v>2243</v>
      </c>
      <c r="J278" s="22" t="s">
        <v>2244</v>
      </c>
    </row>
    <row r="279" spans="1:10" x14ac:dyDescent="0.25">
      <c r="A279" s="22" t="s">
        <v>36</v>
      </c>
      <c r="B279" s="24" t="s">
        <v>20</v>
      </c>
      <c r="C279" s="22" t="s">
        <v>2245</v>
      </c>
      <c r="D279" s="22" t="s">
        <v>548</v>
      </c>
      <c r="E279" s="22" t="s">
        <v>2246</v>
      </c>
      <c r="F279" s="22" t="s">
        <v>2247</v>
      </c>
      <c r="G279" s="22" t="s">
        <v>538</v>
      </c>
      <c r="H279" s="22" t="s">
        <v>484</v>
      </c>
      <c r="I279" s="22" t="s">
        <v>2248</v>
      </c>
      <c r="J279" s="22" t="s">
        <v>549</v>
      </c>
    </row>
    <row r="280" spans="1:10" x14ac:dyDescent="0.25">
      <c r="A280" s="22" t="s">
        <v>36</v>
      </c>
      <c r="B280" s="24" t="s">
        <v>21</v>
      </c>
      <c r="C280" s="22" t="s">
        <v>2249</v>
      </c>
      <c r="D280" s="22" t="s">
        <v>552</v>
      </c>
      <c r="E280" s="22" t="s">
        <v>2250</v>
      </c>
      <c r="F280" s="22" t="s">
        <v>2251</v>
      </c>
      <c r="G280" s="22" t="s">
        <v>344</v>
      </c>
      <c r="H280" s="22" t="s">
        <v>553</v>
      </c>
      <c r="I280" s="22" t="s">
        <v>2252</v>
      </c>
      <c r="J280" s="22" t="s">
        <v>230</v>
      </c>
    </row>
    <row r="281" spans="1:10" x14ac:dyDescent="0.25">
      <c r="A281" s="22" t="s">
        <v>36</v>
      </c>
      <c r="B281" s="24" t="s">
        <v>22</v>
      </c>
      <c r="C281" s="22" t="s">
        <v>2253</v>
      </c>
      <c r="D281" s="22" t="s">
        <v>556</v>
      </c>
      <c r="E281" s="22" t="s">
        <v>2254</v>
      </c>
      <c r="F281" s="22" t="s">
        <v>2255</v>
      </c>
      <c r="G281" s="22" t="s">
        <v>559</v>
      </c>
      <c r="H281" s="22" t="s">
        <v>558</v>
      </c>
      <c r="I281" s="22" t="s">
        <v>2256</v>
      </c>
      <c r="J281" s="22" t="s">
        <v>557</v>
      </c>
    </row>
    <row r="282" spans="1:10" x14ac:dyDescent="0.25">
      <c r="A282" s="22" t="s">
        <v>36</v>
      </c>
      <c r="B282" s="24" t="s">
        <v>23</v>
      </c>
      <c r="C282" s="22" t="s">
        <v>2257</v>
      </c>
      <c r="D282" s="22" t="s">
        <v>1817</v>
      </c>
      <c r="E282" s="22" t="s">
        <v>2258</v>
      </c>
      <c r="F282" s="22" t="s">
        <v>2259</v>
      </c>
      <c r="G282" s="22" t="s">
        <v>530</v>
      </c>
      <c r="H282" s="22" t="s">
        <v>1759</v>
      </c>
      <c r="I282" s="22" t="s">
        <v>2260</v>
      </c>
      <c r="J282" s="22" t="s">
        <v>2244</v>
      </c>
    </row>
    <row r="283" spans="1:10" x14ac:dyDescent="0.25">
      <c r="A283" s="22" t="s">
        <v>38</v>
      </c>
      <c r="B283" s="24" t="s">
        <v>4</v>
      </c>
      <c r="C283" s="22" t="s">
        <v>2261</v>
      </c>
      <c r="D283" s="22" t="s">
        <v>1453</v>
      </c>
      <c r="E283" s="22" t="s">
        <v>2262</v>
      </c>
      <c r="F283" s="22" t="s">
        <v>2263</v>
      </c>
      <c r="G283" s="22" t="s">
        <v>807</v>
      </c>
      <c r="H283" s="22" t="s">
        <v>1938</v>
      </c>
      <c r="I283" s="22" t="s">
        <v>2264</v>
      </c>
      <c r="J283" s="22" t="s">
        <v>2265</v>
      </c>
    </row>
    <row r="284" spans="1:10" x14ac:dyDescent="0.25">
      <c r="A284" s="22" t="s">
        <v>38</v>
      </c>
      <c r="B284" s="24" t="s">
        <v>5</v>
      </c>
      <c r="C284" s="22" t="s">
        <v>2266</v>
      </c>
      <c r="D284" s="22" t="s">
        <v>2267</v>
      </c>
      <c r="E284" s="22" t="s">
        <v>2268</v>
      </c>
      <c r="F284" s="22" t="s">
        <v>2269</v>
      </c>
      <c r="G284" s="22" t="s">
        <v>495</v>
      </c>
      <c r="H284" s="22" t="s">
        <v>2270</v>
      </c>
      <c r="I284" s="22" t="s">
        <v>2271</v>
      </c>
      <c r="J284" s="22" t="s">
        <v>903</v>
      </c>
    </row>
    <row r="285" spans="1:10" x14ac:dyDescent="0.25">
      <c r="A285" s="22" t="s">
        <v>38</v>
      </c>
      <c r="B285" s="24" t="s">
        <v>6</v>
      </c>
      <c r="C285" s="22" t="s">
        <v>2272</v>
      </c>
      <c r="D285" s="22" t="s">
        <v>2273</v>
      </c>
      <c r="E285" s="22" t="s">
        <v>2274</v>
      </c>
      <c r="F285" s="22" t="s">
        <v>2275</v>
      </c>
      <c r="G285" s="22" t="s">
        <v>2276</v>
      </c>
      <c r="H285" s="22" t="s">
        <v>527</v>
      </c>
      <c r="I285" s="22" t="s">
        <v>2277</v>
      </c>
      <c r="J285" s="22" t="s">
        <v>2053</v>
      </c>
    </row>
    <row r="286" spans="1:10" x14ac:dyDescent="0.25">
      <c r="A286" s="22" t="s">
        <v>38</v>
      </c>
      <c r="B286" s="24" t="s">
        <v>7</v>
      </c>
      <c r="C286" s="22" t="s">
        <v>2278</v>
      </c>
      <c r="D286" s="22" t="s">
        <v>1416</v>
      </c>
      <c r="E286" s="22" t="s">
        <v>2279</v>
      </c>
      <c r="F286" s="22" t="s">
        <v>2280</v>
      </c>
      <c r="G286" s="22" t="s">
        <v>2281</v>
      </c>
      <c r="H286" s="22" t="s">
        <v>1524</v>
      </c>
      <c r="I286" s="22" t="s">
        <v>2282</v>
      </c>
      <c r="J286" s="22" t="s">
        <v>2283</v>
      </c>
    </row>
    <row r="287" spans="1:10" x14ac:dyDescent="0.25">
      <c r="A287" s="22" t="s">
        <v>38</v>
      </c>
      <c r="B287" s="24" t="s">
        <v>8</v>
      </c>
      <c r="C287" s="22" t="s">
        <v>2284</v>
      </c>
      <c r="D287" s="22" t="s">
        <v>2285</v>
      </c>
      <c r="E287" s="22" t="s">
        <v>2286</v>
      </c>
      <c r="F287" s="22" t="s">
        <v>2287</v>
      </c>
      <c r="G287" s="22" t="s">
        <v>2276</v>
      </c>
      <c r="H287" s="22" t="s">
        <v>370</v>
      </c>
      <c r="I287" s="22" t="s">
        <v>2288</v>
      </c>
      <c r="J287" s="22" t="s">
        <v>1476</v>
      </c>
    </row>
    <row r="288" spans="1:10" x14ac:dyDescent="0.25">
      <c r="A288" s="22" t="s">
        <v>38</v>
      </c>
      <c r="B288" s="24" t="s">
        <v>9</v>
      </c>
      <c r="C288" s="22" t="s">
        <v>2289</v>
      </c>
      <c r="D288" s="22" t="s">
        <v>2290</v>
      </c>
      <c r="E288" s="22" t="s">
        <v>2291</v>
      </c>
      <c r="F288" s="22" t="s">
        <v>2292</v>
      </c>
      <c r="G288" s="22" t="s">
        <v>2293</v>
      </c>
      <c r="H288" s="22" t="s">
        <v>436</v>
      </c>
      <c r="I288" s="22" t="s">
        <v>2294</v>
      </c>
      <c r="J288" s="22" t="s">
        <v>1954</v>
      </c>
    </row>
    <row r="289" spans="1:10" x14ac:dyDescent="0.25">
      <c r="A289" s="22" t="s">
        <v>38</v>
      </c>
      <c r="B289" s="24" t="s">
        <v>10</v>
      </c>
      <c r="C289" s="22" t="s">
        <v>2295</v>
      </c>
      <c r="D289" s="22" t="s">
        <v>2296</v>
      </c>
      <c r="E289" s="22" t="s">
        <v>2297</v>
      </c>
      <c r="F289" s="22" t="s">
        <v>2298</v>
      </c>
      <c r="G289" s="22" t="s">
        <v>2299</v>
      </c>
      <c r="H289" s="22" t="s">
        <v>374</v>
      </c>
      <c r="I289" s="22" t="s">
        <v>2300</v>
      </c>
      <c r="J289" s="22" t="s">
        <v>461</v>
      </c>
    </row>
    <row r="290" spans="1:10" x14ac:dyDescent="0.25">
      <c r="A290" s="22" t="s">
        <v>38</v>
      </c>
      <c r="B290" s="24" t="s">
        <v>11</v>
      </c>
      <c r="C290" s="22" t="s">
        <v>2301</v>
      </c>
      <c r="D290" s="22" t="s">
        <v>2302</v>
      </c>
      <c r="E290" s="22" t="s">
        <v>2303</v>
      </c>
      <c r="F290" s="22" t="s">
        <v>2304</v>
      </c>
      <c r="G290" s="22" t="s">
        <v>436</v>
      </c>
      <c r="H290" s="22" t="s">
        <v>209</v>
      </c>
      <c r="I290" s="22" t="s">
        <v>2305</v>
      </c>
      <c r="J290" s="22" t="s">
        <v>900</v>
      </c>
    </row>
    <row r="291" spans="1:10" x14ac:dyDescent="0.25">
      <c r="A291" s="22" t="s">
        <v>38</v>
      </c>
      <c r="B291" s="24" t="s">
        <v>12</v>
      </c>
      <c r="C291" s="22" t="s">
        <v>2306</v>
      </c>
      <c r="D291" s="22" t="s">
        <v>2307</v>
      </c>
      <c r="E291" s="22" t="s">
        <v>2308</v>
      </c>
      <c r="F291" s="22" t="s">
        <v>2309</v>
      </c>
      <c r="G291" s="22" t="s">
        <v>994</v>
      </c>
      <c r="H291" s="22" t="s">
        <v>1524</v>
      </c>
      <c r="I291" s="22" t="s">
        <v>2310</v>
      </c>
      <c r="J291" s="22" t="s">
        <v>715</v>
      </c>
    </row>
    <row r="292" spans="1:10" x14ac:dyDescent="0.25">
      <c r="A292" s="22" t="s">
        <v>38</v>
      </c>
      <c r="B292" s="24" t="s">
        <v>13</v>
      </c>
      <c r="C292" s="22" t="s">
        <v>2311</v>
      </c>
      <c r="D292" s="22" t="s">
        <v>1265</v>
      </c>
      <c r="E292" s="22" t="s">
        <v>2312</v>
      </c>
      <c r="F292" s="22" t="s">
        <v>2313</v>
      </c>
      <c r="G292" s="22" t="s">
        <v>986</v>
      </c>
      <c r="H292" s="22" t="s">
        <v>2314</v>
      </c>
      <c r="I292" s="22" t="s">
        <v>2315</v>
      </c>
      <c r="J292" s="22" t="s">
        <v>2316</v>
      </c>
    </row>
    <row r="293" spans="1:10" x14ac:dyDescent="0.25">
      <c r="A293" s="22" t="s">
        <v>38</v>
      </c>
      <c r="B293" s="24" t="s">
        <v>14</v>
      </c>
      <c r="C293" s="22" t="s">
        <v>2317</v>
      </c>
      <c r="D293" s="22" t="s">
        <v>1775</v>
      </c>
      <c r="E293" s="22" t="s">
        <v>2318</v>
      </c>
      <c r="F293" s="22" t="s">
        <v>2319</v>
      </c>
      <c r="G293" s="22" t="s">
        <v>1432</v>
      </c>
      <c r="H293" s="22" t="s">
        <v>1943</v>
      </c>
      <c r="I293" s="22" t="s">
        <v>2320</v>
      </c>
      <c r="J293" s="22" t="s">
        <v>900</v>
      </c>
    </row>
    <row r="294" spans="1:10" x14ac:dyDescent="0.25">
      <c r="A294" s="22" t="s">
        <v>38</v>
      </c>
      <c r="B294" s="24" t="s">
        <v>15</v>
      </c>
      <c r="C294" s="22" t="s">
        <v>2321</v>
      </c>
      <c r="D294" s="22" t="s">
        <v>2322</v>
      </c>
      <c r="E294" s="22" t="s">
        <v>2323</v>
      </c>
      <c r="F294" s="22" t="s">
        <v>2324</v>
      </c>
      <c r="G294" s="22" t="s">
        <v>1330</v>
      </c>
      <c r="H294" s="22" t="s">
        <v>2131</v>
      </c>
      <c r="I294" s="22" t="s">
        <v>2325</v>
      </c>
      <c r="J294" s="22" t="s">
        <v>278</v>
      </c>
    </row>
    <row r="295" spans="1:10" x14ac:dyDescent="0.25">
      <c r="A295" s="22" t="s">
        <v>38</v>
      </c>
      <c r="B295" s="24" t="s">
        <v>16</v>
      </c>
      <c r="C295" s="22" t="s">
        <v>2326</v>
      </c>
      <c r="D295" s="22" t="s">
        <v>2327</v>
      </c>
      <c r="E295" s="22" t="s">
        <v>2328</v>
      </c>
      <c r="F295" s="22" t="s">
        <v>2329</v>
      </c>
      <c r="G295" s="22" t="s">
        <v>2330</v>
      </c>
      <c r="H295" s="22" t="s">
        <v>1361</v>
      </c>
      <c r="I295" s="22" t="s">
        <v>2331</v>
      </c>
      <c r="J295" s="22" t="s">
        <v>1257</v>
      </c>
    </row>
    <row r="296" spans="1:10" x14ac:dyDescent="0.25">
      <c r="A296" s="22" t="s">
        <v>38</v>
      </c>
      <c r="B296" s="24" t="s">
        <v>17</v>
      </c>
      <c r="C296" s="22" t="s">
        <v>2332</v>
      </c>
      <c r="D296" s="22" t="s">
        <v>2333</v>
      </c>
      <c r="E296" s="22" t="s">
        <v>2334</v>
      </c>
      <c r="F296" s="22" t="s">
        <v>2335</v>
      </c>
      <c r="G296" s="22" t="s">
        <v>2336</v>
      </c>
      <c r="H296" s="22" t="s">
        <v>2337</v>
      </c>
      <c r="I296" s="22" t="s">
        <v>2338</v>
      </c>
      <c r="J296" s="22" t="s">
        <v>553</v>
      </c>
    </row>
    <row r="297" spans="1:10" x14ac:dyDescent="0.25">
      <c r="A297" s="22" t="s">
        <v>38</v>
      </c>
      <c r="B297" s="24" t="s">
        <v>18</v>
      </c>
      <c r="C297" s="22" t="s">
        <v>2339</v>
      </c>
      <c r="D297" s="22" t="s">
        <v>2340</v>
      </c>
      <c r="E297" s="22" t="s">
        <v>2341</v>
      </c>
      <c r="F297" s="22" t="s">
        <v>2342</v>
      </c>
      <c r="G297" s="22" t="s">
        <v>1061</v>
      </c>
      <c r="H297" s="22" t="s">
        <v>1840</v>
      </c>
      <c r="I297" s="22" t="s">
        <v>2343</v>
      </c>
      <c r="J297" s="22" t="s">
        <v>1257</v>
      </c>
    </row>
    <row r="298" spans="1:10" x14ac:dyDescent="0.25">
      <c r="A298" s="22" t="s">
        <v>38</v>
      </c>
      <c r="B298" s="24" t="s">
        <v>19</v>
      </c>
      <c r="C298" s="22" t="s">
        <v>2344</v>
      </c>
      <c r="D298" s="22" t="s">
        <v>1453</v>
      </c>
      <c r="E298" s="22" t="s">
        <v>2345</v>
      </c>
      <c r="F298" s="22" t="s">
        <v>2346</v>
      </c>
      <c r="G298" s="22" t="s">
        <v>1456</v>
      </c>
      <c r="H298" s="22" t="s">
        <v>1685</v>
      </c>
      <c r="I298" s="22" t="s">
        <v>2347</v>
      </c>
      <c r="J298" s="22" t="s">
        <v>1821</v>
      </c>
    </row>
    <row r="299" spans="1:10" x14ac:dyDescent="0.25">
      <c r="A299" s="22" t="s">
        <v>38</v>
      </c>
      <c r="B299" s="24" t="s">
        <v>20</v>
      </c>
      <c r="C299" s="22" t="s">
        <v>2348</v>
      </c>
      <c r="D299" s="22" t="s">
        <v>605</v>
      </c>
      <c r="E299" s="22" t="s">
        <v>2349</v>
      </c>
      <c r="F299" s="22" t="s">
        <v>2350</v>
      </c>
      <c r="G299" s="22" t="s">
        <v>608</v>
      </c>
      <c r="H299" s="22" t="s">
        <v>607</v>
      </c>
      <c r="I299" s="22" t="s">
        <v>2351</v>
      </c>
      <c r="J299" s="22" t="s">
        <v>606</v>
      </c>
    </row>
    <row r="300" spans="1:10" x14ac:dyDescent="0.25">
      <c r="A300" s="22" t="s">
        <v>38</v>
      </c>
      <c r="B300" s="24" t="s">
        <v>21</v>
      </c>
      <c r="C300" s="22" t="s">
        <v>2352</v>
      </c>
      <c r="D300" s="22" t="s">
        <v>1884</v>
      </c>
      <c r="E300" s="22" t="s">
        <v>2353</v>
      </c>
      <c r="F300" s="22" t="s">
        <v>2354</v>
      </c>
      <c r="G300" s="22" t="s">
        <v>1159</v>
      </c>
      <c r="H300" s="22" t="s">
        <v>441</v>
      </c>
      <c r="I300" s="22" t="s">
        <v>2355</v>
      </c>
      <c r="J300" s="22" t="s">
        <v>1761</v>
      </c>
    </row>
    <row r="301" spans="1:10" x14ac:dyDescent="0.25">
      <c r="A301" s="22" t="s">
        <v>38</v>
      </c>
      <c r="B301" s="24" t="s">
        <v>22</v>
      </c>
      <c r="C301" s="22" t="s">
        <v>2356</v>
      </c>
      <c r="D301" s="22" t="s">
        <v>2357</v>
      </c>
      <c r="E301" s="22" t="s">
        <v>2358</v>
      </c>
      <c r="F301" s="22" t="s">
        <v>2359</v>
      </c>
      <c r="G301" s="22" t="s">
        <v>653</v>
      </c>
      <c r="H301" s="22" t="s">
        <v>441</v>
      </c>
      <c r="I301" s="22" t="s">
        <v>2360</v>
      </c>
      <c r="J301" s="22" t="s">
        <v>526</v>
      </c>
    </row>
    <row r="302" spans="1:10" x14ac:dyDescent="0.25">
      <c r="A302" s="22" t="s">
        <v>38</v>
      </c>
      <c r="B302" s="24" t="s">
        <v>23</v>
      </c>
      <c r="C302" s="22" t="s">
        <v>2361</v>
      </c>
      <c r="D302" s="22" t="s">
        <v>2362</v>
      </c>
      <c r="E302" s="22" t="s">
        <v>2363</v>
      </c>
      <c r="F302" s="22" t="s">
        <v>2364</v>
      </c>
      <c r="G302" s="22" t="s">
        <v>653</v>
      </c>
      <c r="H302" s="22" t="s">
        <v>1915</v>
      </c>
      <c r="I302" s="22" t="s">
        <v>2365</v>
      </c>
      <c r="J302" s="22" t="s">
        <v>2366</v>
      </c>
    </row>
    <row r="303" spans="1:10" x14ac:dyDescent="0.25">
      <c r="A303" s="22" t="s">
        <v>41</v>
      </c>
      <c r="B303" s="24" t="s">
        <v>4</v>
      </c>
      <c r="C303" s="22" t="s">
        <v>2367</v>
      </c>
      <c r="D303" s="22" t="s">
        <v>2368</v>
      </c>
      <c r="E303" s="22" t="s">
        <v>2369</v>
      </c>
      <c r="F303" s="22" t="s">
        <v>2370</v>
      </c>
      <c r="G303" s="22" t="s">
        <v>2330</v>
      </c>
      <c r="H303" s="22" t="s">
        <v>1559</v>
      </c>
      <c r="I303" s="22" t="s">
        <v>2371</v>
      </c>
      <c r="J303" s="22" t="s">
        <v>238</v>
      </c>
    </row>
    <row r="304" spans="1:10" x14ac:dyDescent="0.25">
      <c r="A304" s="22" t="s">
        <v>41</v>
      </c>
      <c r="B304" s="24" t="s">
        <v>5</v>
      </c>
      <c r="C304" s="22" t="s">
        <v>2372</v>
      </c>
      <c r="D304" s="22" t="s">
        <v>2373</v>
      </c>
      <c r="E304" s="22" t="s">
        <v>2374</v>
      </c>
      <c r="F304" s="22" t="s">
        <v>2375</v>
      </c>
      <c r="G304" s="22" t="s">
        <v>309</v>
      </c>
      <c r="H304" s="22" t="s">
        <v>2299</v>
      </c>
      <c r="I304" s="22" t="s">
        <v>2376</v>
      </c>
      <c r="J304" s="22" t="s">
        <v>315</v>
      </c>
    </row>
    <row r="305" spans="1:10" x14ac:dyDescent="0.25">
      <c r="A305" s="22" t="s">
        <v>41</v>
      </c>
      <c r="B305" s="24" t="s">
        <v>6</v>
      </c>
      <c r="C305" s="22" t="s">
        <v>2377</v>
      </c>
      <c r="D305" s="22" t="s">
        <v>2378</v>
      </c>
      <c r="E305" s="22" t="s">
        <v>2379</v>
      </c>
      <c r="F305" s="22" t="s">
        <v>2380</v>
      </c>
      <c r="G305" s="22" t="s">
        <v>369</v>
      </c>
      <c r="H305" s="22" t="s">
        <v>492</v>
      </c>
      <c r="I305" s="22" t="s">
        <v>2381</v>
      </c>
      <c r="J305" s="22" t="s">
        <v>315</v>
      </c>
    </row>
    <row r="306" spans="1:10" x14ac:dyDescent="0.25">
      <c r="A306" s="22" t="s">
        <v>41</v>
      </c>
      <c r="B306" s="24" t="s">
        <v>7</v>
      </c>
      <c r="C306" s="22" t="s">
        <v>2382</v>
      </c>
      <c r="D306" s="22" t="s">
        <v>2383</v>
      </c>
      <c r="E306" s="22" t="s">
        <v>2384</v>
      </c>
      <c r="F306" s="22" t="s">
        <v>2385</v>
      </c>
      <c r="G306" s="22" t="s">
        <v>203</v>
      </c>
      <c r="H306" s="22" t="s">
        <v>2386</v>
      </c>
      <c r="I306" s="22" t="s">
        <v>2387</v>
      </c>
      <c r="J306" s="22" t="s">
        <v>692</v>
      </c>
    </row>
    <row r="307" spans="1:10" x14ac:dyDescent="0.25">
      <c r="A307" s="22" t="s">
        <v>41</v>
      </c>
      <c r="B307" s="24" t="s">
        <v>8</v>
      </c>
      <c r="C307" s="22" t="s">
        <v>2388</v>
      </c>
      <c r="D307" s="22" t="s">
        <v>2389</v>
      </c>
      <c r="E307" s="22" t="s">
        <v>2390</v>
      </c>
      <c r="F307" s="22" t="s">
        <v>2391</v>
      </c>
      <c r="G307" s="22" t="s">
        <v>1122</v>
      </c>
      <c r="H307" s="22" t="s">
        <v>1325</v>
      </c>
      <c r="I307" s="22" t="s">
        <v>2392</v>
      </c>
      <c r="J307" s="22" t="s">
        <v>233</v>
      </c>
    </row>
    <row r="308" spans="1:10" x14ac:dyDescent="0.25">
      <c r="A308" s="22" t="s">
        <v>41</v>
      </c>
      <c r="B308" s="24" t="s">
        <v>9</v>
      </c>
      <c r="C308" s="22" t="s">
        <v>2393</v>
      </c>
      <c r="D308" s="22" t="s">
        <v>1824</v>
      </c>
      <c r="E308" s="22" t="s">
        <v>2394</v>
      </c>
      <c r="F308" s="22" t="s">
        <v>2395</v>
      </c>
      <c r="G308" s="22" t="s">
        <v>534</v>
      </c>
      <c r="H308" s="22" t="s">
        <v>1705</v>
      </c>
      <c r="I308" s="22" t="s">
        <v>2396</v>
      </c>
      <c r="J308" s="22" t="s">
        <v>233</v>
      </c>
    </row>
    <row r="309" spans="1:10" x14ac:dyDescent="0.25">
      <c r="A309" s="22" t="s">
        <v>41</v>
      </c>
      <c r="B309" s="24" t="s">
        <v>10</v>
      </c>
      <c r="C309" s="22" t="s">
        <v>2397</v>
      </c>
      <c r="D309" s="22" t="s">
        <v>2398</v>
      </c>
      <c r="E309" s="22" t="s">
        <v>2399</v>
      </c>
      <c r="F309" s="22" t="s">
        <v>2400</v>
      </c>
      <c r="G309" s="22" t="s">
        <v>2401</v>
      </c>
      <c r="H309" s="22" t="s">
        <v>2402</v>
      </c>
      <c r="I309" s="22" t="s">
        <v>2403</v>
      </c>
      <c r="J309" s="22" t="s">
        <v>233</v>
      </c>
    </row>
    <row r="310" spans="1:10" x14ac:dyDescent="0.25">
      <c r="A310" s="22" t="s">
        <v>41</v>
      </c>
      <c r="B310" s="24" t="s">
        <v>11</v>
      </c>
      <c r="C310" s="22" t="s">
        <v>2404</v>
      </c>
      <c r="D310" s="22" t="s">
        <v>2405</v>
      </c>
      <c r="E310" s="22" t="s">
        <v>2406</v>
      </c>
      <c r="F310" s="22" t="s">
        <v>2407</v>
      </c>
      <c r="G310" s="22" t="s">
        <v>2408</v>
      </c>
      <c r="H310" s="22" t="s">
        <v>2409</v>
      </c>
      <c r="I310" s="22" t="s">
        <v>2410</v>
      </c>
      <c r="J310" s="22" t="s">
        <v>825</v>
      </c>
    </row>
    <row r="311" spans="1:10" x14ac:dyDescent="0.25">
      <c r="A311" s="22" t="s">
        <v>41</v>
      </c>
      <c r="B311" s="24" t="s">
        <v>12</v>
      </c>
      <c r="C311" s="22" t="s">
        <v>2411</v>
      </c>
      <c r="D311" s="22" t="s">
        <v>755</v>
      </c>
      <c r="E311" s="22" t="s">
        <v>2412</v>
      </c>
      <c r="F311" s="22" t="s">
        <v>2413</v>
      </c>
      <c r="G311" s="22" t="s">
        <v>2414</v>
      </c>
      <c r="H311" s="22" t="s">
        <v>2415</v>
      </c>
      <c r="I311" s="22" t="s">
        <v>2416</v>
      </c>
      <c r="J311" s="22" t="s">
        <v>1443</v>
      </c>
    </row>
    <row r="312" spans="1:10" x14ac:dyDescent="0.25">
      <c r="A312" s="22" t="s">
        <v>41</v>
      </c>
      <c r="B312" s="24" t="s">
        <v>13</v>
      </c>
      <c r="C312" s="22" t="s">
        <v>2417</v>
      </c>
      <c r="D312" s="22" t="s">
        <v>2418</v>
      </c>
      <c r="E312" s="22" t="s">
        <v>2419</v>
      </c>
      <c r="F312" s="22" t="s">
        <v>2420</v>
      </c>
      <c r="G312" s="22" t="s">
        <v>2421</v>
      </c>
      <c r="H312" s="22" t="s">
        <v>2422</v>
      </c>
      <c r="I312" s="22" t="s">
        <v>2423</v>
      </c>
      <c r="J312" s="22" t="s">
        <v>2424</v>
      </c>
    </row>
    <row r="313" spans="1:10" x14ac:dyDescent="0.25">
      <c r="A313" s="22" t="s">
        <v>41</v>
      </c>
      <c r="B313" s="24" t="s">
        <v>14</v>
      </c>
      <c r="C313" s="22" t="s">
        <v>2425</v>
      </c>
      <c r="D313" s="22" t="s">
        <v>2426</v>
      </c>
      <c r="E313" s="22" t="s">
        <v>2427</v>
      </c>
      <c r="F313" s="22" t="s">
        <v>2428</v>
      </c>
      <c r="G313" s="22" t="s">
        <v>2429</v>
      </c>
      <c r="H313" s="22" t="s">
        <v>2430</v>
      </c>
      <c r="I313" s="22" t="s">
        <v>2431</v>
      </c>
      <c r="J313" s="22" t="s">
        <v>646</v>
      </c>
    </row>
    <row r="314" spans="1:10" x14ac:dyDescent="0.25">
      <c r="A314" s="22" t="s">
        <v>41</v>
      </c>
      <c r="B314" s="24" t="s">
        <v>15</v>
      </c>
      <c r="C314" s="22" t="s">
        <v>2432</v>
      </c>
      <c r="D314" s="22" t="s">
        <v>2433</v>
      </c>
      <c r="E314" s="22" t="s">
        <v>2434</v>
      </c>
      <c r="F314" s="22" t="s">
        <v>2435</v>
      </c>
      <c r="G314" s="22" t="s">
        <v>2421</v>
      </c>
      <c r="H314" s="22" t="s">
        <v>2119</v>
      </c>
      <c r="I314" s="22" t="s">
        <v>2436</v>
      </c>
      <c r="J314" s="22" t="s">
        <v>836</v>
      </c>
    </row>
    <row r="315" spans="1:10" x14ac:dyDescent="0.25">
      <c r="A315" s="22" t="s">
        <v>41</v>
      </c>
      <c r="B315" s="24" t="s">
        <v>16</v>
      </c>
      <c r="C315" s="22" t="s">
        <v>2437</v>
      </c>
      <c r="D315" s="22" t="s">
        <v>2438</v>
      </c>
      <c r="E315" s="22" t="s">
        <v>2439</v>
      </c>
      <c r="F315" s="22" t="s">
        <v>2440</v>
      </c>
      <c r="G315" s="22" t="s">
        <v>2441</v>
      </c>
      <c r="H315" s="22" t="s">
        <v>484</v>
      </c>
      <c r="I315" s="22" t="s">
        <v>2442</v>
      </c>
      <c r="J315" s="22" t="s">
        <v>1379</v>
      </c>
    </row>
    <row r="316" spans="1:10" x14ac:dyDescent="0.25">
      <c r="A316" s="22" t="s">
        <v>41</v>
      </c>
      <c r="B316" s="24" t="s">
        <v>17</v>
      </c>
      <c r="C316" s="22" t="s">
        <v>2443</v>
      </c>
      <c r="D316" s="22" t="s">
        <v>2444</v>
      </c>
      <c r="E316" s="22" t="s">
        <v>2445</v>
      </c>
      <c r="F316" s="22" t="s">
        <v>2446</v>
      </c>
      <c r="G316" s="22" t="s">
        <v>2447</v>
      </c>
      <c r="H316" s="22" t="s">
        <v>1629</v>
      </c>
      <c r="I316" s="22" t="s">
        <v>2448</v>
      </c>
      <c r="J316" s="22" t="s">
        <v>2449</v>
      </c>
    </row>
    <row r="317" spans="1:10" x14ac:dyDescent="0.25">
      <c r="A317" s="22" t="s">
        <v>41</v>
      </c>
      <c r="B317" s="24" t="s">
        <v>18</v>
      </c>
      <c r="C317" s="22" t="s">
        <v>2450</v>
      </c>
      <c r="D317" s="22" t="s">
        <v>2451</v>
      </c>
      <c r="E317" s="22" t="s">
        <v>2452</v>
      </c>
      <c r="F317" s="22" t="s">
        <v>2453</v>
      </c>
      <c r="G317" s="22" t="s">
        <v>2454</v>
      </c>
      <c r="H317" s="22" t="s">
        <v>1427</v>
      </c>
      <c r="I317" s="22" t="s">
        <v>2455</v>
      </c>
      <c r="J317" s="22" t="s">
        <v>461</v>
      </c>
    </row>
    <row r="318" spans="1:10" x14ac:dyDescent="0.25">
      <c r="A318" s="22" t="s">
        <v>41</v>
      </c>
      <c r="B318" s="24" t="s">
        <v>19</v>
      </c>
      <c r="C318" s="22" t="s">
        <v>2456</v>
      </c>
      <c r="D318" s="22" t="s">
        <v>1351</v>
      </c>
      <c r="E318" s="22" t="s">
        <v>2457</v>
      </c>
      <c r="F318" s="22" t="s">
        <v>2458</v>
      </c>
      <c r="G318" s="22" t="s">
        <v>2459</v>
      </c>
      <c r="H318" s="22" t="s">
        <v>958</v>
      </c>
      <c r="I318" s="22" t="s">
        <v>2460</v>
      </c>
      <c r="J318" s="22" t="s">
        <v>2461</v>
      </c>
    </row>
    <row r="319" spans="1:10" x14ac:dyDescent="0.25">
      <c r="A319" s="22" t="s">
        <v>41</v>
      </c>
      <c r="B319" s="24" t="s">
        <v>20</v>
      </c>
      <c r="C319" s="22" t="s">
        <v>2462</v>
      </c>
      <c r="D319" s="22" t="s">
        <v>2463</v>
      </c>
      <c r="E319" s="22" t="s">
        <v>2464</v>
      </c>
      <c r="F319" s="22" t="s">
        <v>2465</v>
      </c>
      <c r="G319" s="22" t="s">
        <v>1286</v>
      </c>
      <c r="H319" s="22" t="s">
        <v>1178</v>
      </c>
      <c r="I319" s="22" t="s">
        <v>2466</v>
      </c>
      <c r="J319" s="22" t="s">
        <v>1167</v>
      </c>
    </row>
    <row r="320" spans="1:10" x14ac:dyDescent="0.25">
      <c r="A320" s="22" t="s">
        <v>41</v>
      </c>
      <c r="B320" s="24" t="s">
        <v>21</v>
      </c>
      <c r="C320" s="22" t="s">
        <v>2467</v>
      </c>
      <c r="D320" s="22" t="s">
        <v>2468</v>
      </c>
      <c r="E320" s="22" t="s">
        <v>2469</v>
      </c>
      <c r="F320" s="22" t="s">
        <v>2470</v>
      </c>
      <c r="G320" s="22" t="s">
        <v>365</v>
      </c>
      <c r="H320" s="22" t="s">
        <v>692</v>
      </c>
      <c r="I320" s="22" t="s">
        <v>2471</v>
      </c>
      <c r="J320" s="22" t="s">
        <v>484</v>
      </c>
    </row>
    <row r="321" spans="1:10" x14ac:dyDescent="0.25">
      <c r="A321" s="22" t="s">
        <v>41</v>
      </c>
      <c r="B321" s="24" t="s">
        <v>22</v>
      </c>
      <c r="C321" s="22" t="s">
        <v>2472</v>
      </c>
      <c r="D321" s="22" t="s">
        <v>2473</v>
      </c>
      <c r="E321" s="22" t="s">
        <v>2474</v>
      </c>
      <c r="F321" s="22" t="s">
        <v>2475</v>
      </c>
      <c r="G321" s="22" t="s">
        <v>1361</v>
      </c>
      <c r="H321" s="22" t="s">
        <v>344</v>
      </c>
      <c r="I321" s="22" t="s">
        <v>2476</v>
      </c>
      <c r="J321" s="22" t="s">
        <v>1232</v>
      </c>
    </row>
    <row r="322" spans="1:10" x14ac:dyDescent="0.25">
      <c r="A322" s="22" t="s">
        <v>41</v>
      </c>
      <c r="B322" s="24" t="s">
        <v>23</v>
      </c>
      <c r="C322" s="22" t="s">
        <v>2477</v>
      </c>
      <c r="D322" s="22" t="s">
        <v>2478</v>
      </c>
      <c r="E322" s="22" t="s">
        <v>2479</v>
      </c>
      <c r="F322" s="22" t="s">
        <v>2480</v>
      </c>
      <c r="G322" s="22" t="s">
        <v>2481</v>
      </c>
      <c r="H322" s="22" t="s">
        <v>1463</v>
      </c>
      <c r="I322" s="22" t="s">
        <v>2482</v>
      </c>
      <c r="J322" s="22" t="s">
        <v>1239</v>
      </c>
    </row>
    <row r="323" spans="1:10" x14ac:dyDescent="0.25">
      <c r="A323" s="22" t="s">
        <v>634</v>
      </c>
      <c r="B323" s="24" t="s">
        <v>1</v>
      </c>
      <c r="C323" s="22" t="s">
        <v>49</v>
      </c>
      <c r="D323" s="22" t="s">
        <v>51</v>
      </c>
      <c r="E323" s="22" t="s">
        <v>52</v>
      </c>
      <c r="F323" s="22" t="s">
        <v>53</v>
      </c>
      <c r="G323" s="22" t="s">
        <v>54</v>
      </c>
      <c r="H323" s="22" t="s">
        <v>55</v>
      </c>
      <c r="I323" s="22" t="s">
        <v>56</v>
      </c>
      <c r="J323" s="22" t="s">
        <v>57</v>
      </c>
    </row>
    <row r="324" spans="1:10" x14ac:dyDescent="0.25">
      <c r="A324" s="22" t="s">
        <v>37</v>
      </c>
      <c r="B324" s="24" t="s">
        <v>4</v>
      </c>
      <c r="C324" s="22" t="s">
        <v>2483</v>
      </c>
      <c r="D324" s="22" t="s">
        <v>2484</v>
      </c>
      <c r="E324" s="22" t="s">
        <v>2485</v>
      </c>
      <c r="F324" s="22" t="s">
        <v>2486</v>
      </c>
      <c r="G324" s="22" t="s">
        <v>2487</v>
      </c>
      <c r="H324" s="22" t="s">
        <v>1095</v>
      </c>
      <c r="I324" s="22" t="s">
        <v>2488</v>
      </c>
      <c r="J324" s="22" t="s">
        <v>1330</v>
      </c>
    </row>
    <row r="325" spans="1:10" x14ac:dyDescent="0.25">
      <c r="A325" s="22" t="s">
        <v>37</v>
      </c>
      <c r="B325" s="24" t="s">
        <v>5</v>
      </c>
      <c r="C325" s="22" t="s">
        <v>2489</v>
      </c>
      <c r="D325" s="22" t="s">
        <v>2490</v>
      </c>
      <c r="E325" s="22" t="s">
        <v>2491</v>
      </c>
      <c r="F325" s="22" t="s">
        <v>2492</v>
      </c>
      <c r="G325" s="22" t="s">
        <v>2493</v>
      </c>
      <c r="H325" s="22" t="s">
        <v>2494</v>
      </c>
      <c r="I325" s="22" t="s">
        <v>2495</v>
      </c>
      <c r="J325" s="22" t="s">
        <v>1552</v>
      </c>
    </row>
    <row r="326" spans="1:10" x14ac:dyDescent="0.25">
      <c r="A326" s="22" t="s">
        <v>37</v>
      </c>
      <c r="B326" s="24" t="s">
        <v>6</v>
      </c>
      <c r="C326" s="22" t="s">
        <v>2496</v>
      </c>
      <c r="D326" s="22" t="s">
        <v>2497</v>
      </c>
      <c r="E326" s="22" t="s">
        <v>2498</v>
      </c>
      <c r="F326" s="22" t="s">
        <v>2499</v>
      </c>
      <c r="G326" s="22" t="s">
        <v>2500</v>
      </c>
      <c r="H326" s="22" t="s">
        <v>1821</v>
      </c>
      <c r="I326" s="22" t="s">
        <v>2501</v>
      </c>
      <c r="J326" s="22" t="s">
        <v>2502</v>
      </c>
    </row>
    <row r="327" spans="1:10" x14ac:dyDescent="0.25">
      <c r="A327" s="22" t="s">
        <v>37</v>
      </c>
      <c r="B327" s="24" t="s">
        <v>7</v>
      </c>
      <c r="C327" s="22" t="s">
        <v>2503</v>
      </c>
      <c r="D327" s="22" t="s">
        <v>2504</v>
      </c>
      <c r="E327" s="22" t="s">
        <v>2505</v>
      </c>
      <c r="F327" s="22" t="s">
        <v>2506</v>
      </c>
      <c r="G327" s="22" t="s">
        <v>2507</v>
      </c>
      <c r="H327" s="22" t="s">
        <v>2293</v>
      </c>
      <c r="I327" s="22" t="s">
        <v>2508</v>
      </c>
      <c r="J327" s="22" t="s">
        <v>425</v>
      </c>
    </row>
    <row r="328" spans="1:10" x14ac:dyDescent="0.25">
      <c r="A328" s="22" t="s">
        <v>37</v>
      </c>
      <c r="B328" s="24" t="s">
        <v>8</v>
      </c>
      <c r="C328" s="22" t="s">
        <v>2509</v>
      </c>
      <c r="D328" s="22" t="s">
        <v>2510</v>
      </c>
      <c r="E328" s="22" t="s">
        <v>2511</v>
      </c>
      <c r="F328" s="22" t="s">
        <v>2512</v>
      </c>
      <c r="G328" s="22" t="s">
        <v>2513</v>
      </c>
      <c r="H328" s="22" t="s">
        <v>951</v>
      </c>
      <c r="I328" s="22" t="s">
        <v>2514</v>
      </c>
      <c r="J328" s="22" t="s">
        <v>2515</v>
      </c>
    </row>
    <row r="329" spans="1:10" x14ac:dyDescent="0.25">
      <c r="A329" s="22" t="s">
        <v>37</v>
      </c>
      <c r="B329" s="24" t="s">
        <v>9</v>
      </c>
      <c r="C329" s="22" t="s">
        <v>2516</v>
      </c>
      <c r="D329" s="22" t="s">
        <v>2517</v>
      </c>
      <c r="E329" s="22" t="s">
        <v>2518</v>
      </c>
      <c r="F329" s="22" t="s">
        <v>2519</v>
      </c>
      <c r="G329" s="22" t="s">
        <v>2520</v>
      </c>
      <c r="H329" s="22" t="s">
        <v>2521</v>
      </c>
      <c r="I329" s="22" t="s">
        <v>2522</v>
      </c>
      <c r="J329" s="22" t="s">
        <v>1523</v>
      </c>
    </row>
    <row r="330" spans="1:10" x14ac:dyDescent="0.25">
      <c r="A330" s="22" t="s">
        <v>37</v>
      </c>
      <c r="B330" s="24" t="s">
        <v>10</v>
      </c>
      <c r="C330" s="22" t="s">
        <v>2523</v>
      </c>
      <c r="D330" s="22" t="s">
        <v>2524</v>
      </c>
      <c r="E330" s="22" t="s">
        <v>2525</v>
      </c>
      <c r="F330" s="22" t="s">
        <v>2526</v>
      </c>
      <c r="G330" s="22" t="s">
        <v>2527</v>
      </c>
      <c r="H330" s="22" t="s">
        <v>861</v>
      </c>
      <c r="I330" s="22" t="s">
        <v>2528</v>
      </c>
      <c r="J330" s="22" t="s">
        <v>1082</v>
      </c>
    </row>
    <row r="331" spans="1:10" x14ac:dyDescent="0.25">
      <c r="A331" s="22" t="s">
        <v>37</v>
      </c>
      <c r="B331" s="24" t="s">
        <v>11</v>
      </c>
      <c r="C331" s="22" t="s">
        <v>2529</v>
      </c>
      <c r="D331" s="22" t="s">
        <v>2530</v>
      </c>
      <c r="E331" s="22" t="s">
        <v>2531</v>
      </c>
      <c r="F331" s="22" t="s">
        <v>2532</v>
      </c>
      <c r="G331" s="22" t="s">
        <v>2533</v>
      </c>
      <c r="H331" s="22" t="s">
        <v>2534</v>
      </c>
      <c r="I331" s="22" t="s">
        <v>2535</v>
      </c>
      <c r="J331" s="22" t="s">
        <v>2276</v>
      </c>
    </row>
    <row r="332" spans="1:10" x14ac:dyDescent="0.25">
      <c r="A332" s="22" t="s">
        <v>37</v>
      </c>
      <c r="B332" s="24" t="s">
        <v>12</v>
      </c>
      <c r="C332" s="22" t="s">
        <v>2536</v>
      </c>
      <c r="D332" s="22" t="s">
        <v>2296</v>
      </c>
      <c r="E332" s="22" t="s">
        <v>2537</v>
      </c>
      <c r="F332" s="22" t="s">
        <v>2538</v>
      </c>
      <c r="G332" s="22" t="s">
        <v>2539</v>
      </c>
      <c r="H332" s="22" t="s">
        <v>2540</v>
      </c>
      <c r="I332" s="22" t="s">
        <v>2541</v>
      </c>
      <c r="J332" s="22" t="s">
        <v>1552</v>
      </c>
    </row>
    <row r="333" spans="1:10" x14ac:dyDescent="0.25">
      <c r="A333" s="22" t="s">
        <v>37</v>
      </c>
      <c r="B333" s="24" t="s">
        <v>13</v>
      </c>
      <c r="C333" s="22" t="s">
        <v>2542</v>
      </c>
      <c r="D333" s="22" t="s">
        <v>2543</v>
      </c>
      <c r="E333" s="22" t="s">
        <v>2544</v>
      </c>
      <c r="F333" s="22" t="s">
        <v>2545</v>
      </c>
      <c r="G333" s="22" t="s">
        <v>2546</v>
      </c>
      <c r="H333" s="22" t="s">
        <v>2547</v>
      </c>
      <c r="I333" s="22" t="s">
        <v>2548</v>
      </c>
      <c r="J333" s="22" t="s">
        <v>2549</v>
      </c>
    </row>
    <row r="334" spans="1:10" x14ac:dyDescent="0.25">
      <c r="A334" s="22" t="s">
        <v>37</v>
      </c>
      <c r="B334" s="24" t="s">
        <v>14</v>
      </c>
      <c r="C334" s="22" t="s">
        <v>2550</v>
      </c>
      <c r="D334" s="22" t="s">
        <v>2551</v>
      </c>
      <c r="E334" s="22" t="s">
        <v>2552</v>
      </c>
      <c r="F334" s="22" t="s">
        <v>2553</v>
      </c>
      <c r="G334" s="22" t="s">
        <v>2554</v>
      </c>
      <c r="H334" s="22" t="s">
        <v>680</v>
      </c>
      <c r="I334" s="22" t="s">
        <v>2555</v>
      </c>
      <c r="J334" s="22" t="s">
        <v>1938</v>
      </c>
    </row>
    <row r="335" spans="1:10" x14ac:dyDescent="0.25">
      <c r="A335" s="22" t="s">
        <v>37</v>
      </c>
      <c r="B335" s="24" t="s">
        <v>15</v>
      </c>
      <c r="C335" s="22" t="s">
        <v>2556</v>
      </c>
      <c r="D335" s="22" t="s">
        <v>990</v>
      </c>
      <c r="E335" s="22" t="s">
        <v>2557</v>
      </c>
      <c r="F335" s="22" t="s">
        <v>2558</v>
      </c>
      <c r="G335" s="22" t="s">
        <v>2559</v>
      </c>
      <c r="H335" s="22" t="s">
        <v>1827</v>
      </c>
      <c r="I335" s="22" t="s">
        <v>2560</v>
      </c>
      <c r="J335" s="22" t="s">
        <v>361</v>
      </c>
    </row>
    <row r="336" spans="1:10" x14ac:dyDescent="0.25">
      <c r="A336" s="22" t="s">
        <v>37</v>
      </c>
      <c r="B336" s="24" t="s">
        <v>16</v>
      </c>
      <c r="C336" s="22" t="s">
        <v>2561</v>
      </c>
      <c r="D336" s="22" t="s">
        <v>2562</v>
      </c>
      <c r="E336" s="22" t="s">
        <v>2563</v>
      </c>
      <c r="F336" s="22" t="s">
        <v>2564</v>
      </c>
      <c r="G336" s="22" t="s">
        <v>2565</v>
      </c>
      <c r="H336" s="22" t="s">
        <v>1779</v>
      </c>
      <c r="I336" s="22" t="s">
        <v>2566</v>
      </c>
      <c r="J336" s="22" t="s">
        <v>468</v>
      </c>
    </row>
    <row r="337" spans="1:10" x14ac:dyDescent="0.25">
      <c r="A337" s="22" t="s">
        <v>37</v>
      </c>
      <c r="B337" s="24" t="s">
        <v>17</v>
      </c>
      <c r="C337" s="22" t="s">
        <v>2567</v>
      </c>
      <c r="D337" s="22" t="s">
        <v>2568</v>
      </c>
      <c r="E337" s="22" t="s">
        <v>2569</v>
      </c>
      <c r="F337" s="22" t="s">
        <v>2570</v>
      </c>
      <c r="G337" s="22" t="s">
        <v>2571</v>
      </c>
      <c r="H337" s="22" t="s">
        <v>2572</v>
      </c>
      <c r="I337" s="22" t="s">
        <v>2573</v>
      </c>
      <c r="J337" s="22" t="s">
        <v>1559</v>
      </c>
    </row>
    <row r="338" spans="1:10" x14ac:dyDescent="0.25">
      <c r="A338" s="22" t="s">
        <v>37</v>
      </c>
      <c r="B338" s="24" t="s">
        <v>18</v>
      </c>
      <c r="C338" s="22" t="s">
        <v>2574</v>
      </c>
      <c r="D338" s="22" t="s">
        <v>2575</v>
      </c>
      <c r="E338" s="22" t="s">
        <v>2576</v>
      </c>
      <c r="F338" s="22" t="s">
        <v>2577</v>
      </c>
      <c r="G338" s="22" t="s">
        <v>2578</v>
      </c>
      <c r="H338" s="22" t="s">
        <v>2579</v>
      </c>
      <c r="I338" s="22" t="s">
        <v>2580</v>
      </c>
      <c r="J338" s="22" t="s">
        <v>1862</v>
      </c>
    </row>
    <row r="339" spans="1:10" x14ac:dyDescent="0.25">
      <c r="A339" s="22" t="s">
        <v>37</v>
      </c>
      <c r="B339" s="24" t="s">
        <v>19</v>
      </c>
      <c r="C339" s="22" t="s">
        <v>2581</v>
      </c>
      <c r="D339" s="22" t="s">
        <v>2582</v>
      </c>
      <c r="E339" s="22" t="s">
        <v>2583</v>
      </c>
      <c r="F339" s="22" t="s">
        <v>2584</v>
      </c>
      <c r="G339" s="22" t="s">
        <v>2585</v>
      </c>
      <c r="H339" s="22" t="s">
        <v>2586</v>
      </c>
      <c r="I339" s="22" t="s">
        <v>2587</v>
      </c>
      <c r="J339" s="22" t="s">
        <v>1873</v>
      </c>
    </row>
    <row r="340" spans="1:10" x14ac:dyDescent="0.25">
      <c r="A340" s="22" t="s">
        <v>37</v>
      </c>
      <c r="B340" s="24" t="s">
        <v>20</v>
      </c>
      <c r="C340" s="22" t="s">
        <v>2588</v>
      </c>
      <c r="D340" s="22" t="s">
        <v>579</v>
      </c>
      <c r="E340" s="22" t="s">
        <v>2589</v>
      </c>
      <c r="F340" s="22" t="s">
        <v>2590</v>
      </c>
      <c r="G340" s="22" t="s">
        <v>561</v>
      </c>
      <c r="H340" s="22" t="s">
        <v>580</v>
      </c>
      <c r="I340" s="22" t="s">
        <v>2591</v>
      </c>
      <c r="J340" s="22" t="s">
        <v>267</v>
      </c>
    </row>
    <row r="341" spans="1:10" x14ac:dyDescent="0.25">
      <c r="A341" s="22" t="s">
        <v>37</v>
      </c>
      <c r="B341" s="24" t="s">
        <v>21</v>
      </c>
      <c r="C341" s="22" t="s">
        <v>2592</v>
      </c>
      <c r="D341" s="22" t="s">
        <v>582</v>
      </c>
      <c r="E341" s="22" t="s">
        <v>2593</v>
      </c>
      <c r="F341" s="22" t="s">
        <v>2594</v>
      </c>
      <c r="G341" s="22" t="s">
        <v>505</v>
      </c>
      <c r="H341" s="22" t="s">
        <v>580</v>
      </c>
      <c r="I341" s="22" t="s">
        <v>2595</v>
      </c>
      <c r="J341" s="22" t="s">
        <v>583</v>
      </c>
    </row>
    <row r="342" spans="1:10" x14ac:dyDescent="0.25">
      <c r="A342" s="22" t="s">
        <v>37</v>
      </c>
      <c r="B342" s="24" t="s">
        <v>22</v>
      </c>
      <c r="C342" s="22" t="s">
        <v>2596</v>
      </c>
      <c r="D342" s="22" t="s">
        <v>585</v>
      </c>
      <c r="E342" s="22" t="s">
        <v>2597</v>
      </c>
      <c r="F342" s="22" t="s">
        <v>2598</v>
      </c>
      <c r="G342" s="22" t="s">
        <v>2599</v>
      </c>
      <c r="H342" s="22" t="s">
        <v>587</v>
      </c>
      <c r="I342" s="22" t="s">
        <v>2600</v>
      </c>
      <c r="J342" s="22" t="s">
        <v>586</v>
      </c>
    </row>
    <row r="343" spans="1:10" x14ac:dyDescent="0.25">
      <c r="A343" s="22" t="s">
        <v>37</v>
      </c>
      <c r="B343" s="24" t="s">
        <v>23</v>
      </c>
      <c r="C343" s="22" t="s">
        <v>2601</v>
      </c>
      <c r="D343" s="22" t="s">
        <v>2602</v>
      </c>
      <c r="E343" s="22" t="s">
        <v>2603</v>
      </c>
      <c r="F343" s="22" t="s">
        <v>2604</v>
      </c>
      <c r="G343" s="22" t="s">
        <v>2605</v>
      </c>
      <c r="H343" s="22" t="s">
        <v>416</v>
      </c>
      <c r="I343" s="22" t="s">
        <v>2606</v>
      </c>
      <c r="J343" s="22" t="s">
        <v>303</v>
      </c>
    </row>
    <row r="344" spans="1:10" x14ac:dyDescent="0.25">
      <c r="A344" s="22" t="s">
        <v>42</v>
      </c>
      <c r="B344" s="24" t="s">
        <v>4</v>
      </c>
      <c r="C344" s="22" t="s">
        <v>2607</v>
      </c>
      <c r="D344" s="22" t="s">
        <v>2608</v>
      </c>
      <c r="E344" s="22" t="s">
        <v>2609</v>
      </c>
      <c r="F344" s="22" t="s">
        <v>2610</v>
      </c>
      <c r="G344" s="22" t="s">
        <v>2611</v>
      </c>
      <c r="H344" s="22" t="s">
        <v>2612</v>
      </c>
      <c r="I344" s="22" t="s">
        <v>2613</v>
      </c>
      <c r="J344" s="22" t="s">
        <v>1526</v>
      </c>
    </row>
    <row r="345" spans="1:10" x14ac:dyDescent="0.25">
      <c r="A345" s="22" t="s">
        <v>42</v>
      </c>
      <c r="B345" s="24" t="s">
        <v>5</v>
      </c>
      <c r="C345" s="22" t="s">
        <v>2614</v>
      </c>
      <c r="D345" s="22" t="s">
        <v>2615</v>
      </c>
      <c r="E345" s="22" t="s">
        <v>2616</v>
      </c>
      <c r="F345" s="22" t="s">
        <v>2617</v>
      </c>
      <c r="G345" s="22" t="s">
        <v>2618</v>
      </c>
      <c r="H345" s="22" t="s">
        <v>1779</v>
      </c>
      <c r="I345" s="22" t="s">
        <v>2619</v>
      </c>
      <c r="J345" s="22" t="s">
        <v>1246</v>
      </c>
    </row>
    <row r="346" spans="1:10" x14ac:dyDescent="0.25">
      <c r="A346" s="22" t="s">
        <v>42</v>
      </c>
      <c r="B346" s="24" t="s">
        <v>6</v>
      </c>
      <c r="C346" s="22" t="s">
        <v>2620</v>
      </c>
      <c r="D346" s="22" t="s">
        <v>2621</v>
      </c>
      <c r="E346" s="22" t="s">
        <v>2622</v>
      </c>
      <c r="F346" s="22" t="s">
        <v>2623</v>
      </c>
      <c r="G346" s="22" t="s">
        <v>1224</v>
      </c>
      <c r="H346" s="22" t="s">
        <v>2624</v>
      </c>
      <c r="I346" s="22" t="s">
        <v>2625</v>
      </c>
      <c r="J346" s="22" t="s">
        <v>348</v>
      </c>
    </row>
    <row r="347" spans="1:10" x14ac:dyDescent="0.25">
      <c r="A347" s="22" t="s">
        <v>42</v>
      </c>
      <c r="B347" s="24" t="s">
        <v>7</v>
      </c>
      <c r="C347" s="22" t="s">
        <v>2626</v>
      </c>
      <c r="D347" s="22" t="s">
        <v>2627</v>
      </c>
      <c r="E347" s="22" t="s">
        <v>2628</v>
      </c>
      <c r="F347" s="22" t="s">
        <v>2629</v>
      </c>
      <c r="G347" s="22" t="s">
        <v>2630</v>
      </c>
      <c r="H347" s="22" t="s">
        <v>2631</v>
      </c>
      <c r="I347" s="22" t="s">
        <v>2632</v>
      </c>
      <c r="J347" s="22" t="s">
        <v>1636</v>
      </c>
    </row>
    <row r="348" spans="1:10" x14ac:dyDescent="0.25">
      <c r="A348" s="22" t="s">
        <v>42</v>
      </c>
      <c r="B348" s="24" t="s">
        <v>8</v>
      </c>
      <c r="C348" s="22" t="s">
        <v>2633</v>
      </c>
      <c r="D348" s="22" t="s">
        <v>2634</v>
      </c>
      <c r="E348" s="22" t="s">
        <v>2635</v>
      </c>
      <c r="F348" s="22" t="s">
        <v>2636</v>
      </c>
      <c r="G348" s="22" t="s">
        <v>2637</v>
      </c>
      <c r="H348" s="22" t="s">
        <v>781</v>
      </c>
      <c r="I348" s="22" t="s">
        <v>2638</v>
      </c>
      <c r="J348" s="22" t="s">
        <v>477</v>
      </c>
    </row>
    <row r="349" spans="1:10" x14ac:dyDescent="0.25">
      <c r="A349" s="22" t="s">
        <v>42</v>
      </c>
      <c r="B349" s="24" t="s">
        <v>9</v>
      </c>
      <c r="C349" s="22" t="s">
        <v>2639</v>
      </c>
      <c r="D349" s="22" t="s">
        <v>2640</v>
      </c>
      <c r="E349" s="22" t="s">
        <v>2641</v>
      </c>
      <c r="F349" s="22" t="s">
        <v>2642</v>
      </c>
      <c r="G349" s="22" t="s">
        <v>2643</v>
      </c>
      <c r="H349" s="22" t="s">
        <v>2644</v>
      </c>
      <c r="I349" s="22" t="s">
        <v>2645</v>
      </c>
      <c r="J349" s="22" t="s">
        <v>1270</v>
      </c>
    </row>
    <row r="350" spans="1:10" x14ac:dyDescent="0.25">
      <c r="A350" s="22" t="s">
        <v>42</v>
      </c>
      <c r="B350" s="24" t="s">
        <v>10</v>
      </c>
      <c r="C350" s="22" t="s">
        <v>2646</v>
      </c>
      <c r="D350" s="22" t="s">
        <v>2647</v>
      </c>
      <c r="E350" s="22" t="s">
        <v>2648</v>
      </c>
      <c r="F350" s="22" t="s">
        <v>2649</v>
      </c>
      <c r="G350" s="22" t="s">
        <v>2611</v>
      </c>
      <c r="H350" s="22" t="s">
        <v>2081</v>
      </c>
      <c r="I350" s="22" t="s">
        <v>2650</v>
      </c>
      <c r="J350" s="22" t="s">
        <v>1656</v>
      </c>
    </row>
    <row r="351" spans="1:10" x14ac:dyDescent="0.25">
      <c r="A351" s="22" t="s">
        <v>42</v>
      </c>
      <c r="B351" s="24" t="s">
        <v>11</v>
      </c>
      <c r="C351" s="22" t="s">
        <v>2651</v>
      </c>
      <c r="D351" s="22" t="s">
        <v>2652</v>
      </c>
      <c r="E351" s="22" t="s">
        <v>2653</v>
      </c>
      <c r="F351" s="22" t="s">
        <v>2654</v>
      </c>
      <c r="G351" s="22" t="s">
        <v>2655</v>
      </c>
      <c r="H351" s="22" t="s">
        <v>693</v>
      </c>
      <c r="I351" s="22" t="s">
        <v>2656</v>
      </c>
      <c r="J351" s="22" t="s">
        <v>2657</v>
      </c>
    </row>
    <row r="352" spans="1:10" x14ac:dyDescent="0.25">
      <c r="A352" s="22" t="s">
        <v>42</v>
      </c>
      <c r="B352" s="24" t="s">
        <v>12</v>
      </c>
      <c r="C352" s="22" t="s">
        <v>2658</v>
      </c>
      <c r="D352" s="22" t="s">
        <v>2659</v>
      </c>
      <c r="E352" s="22" t="s">
        <v>2660</v>
      </c>
      <c r="F352" s="22" t="s">
        <v>2661</v>
      </c>
      <c r="G352" s="22" t="s">
        <v>2662</v>
      </c>
      <c r="H352" s="22" t="s">
        <v>2424</v>
      </c>
      <c r="I352" s="22" t="s">
        <v>2663</v>
      </c>
      <c r="J352" s="22" t="s">
        <v>1286</v>
      </c>
    </row>
    <row r="353" spans="1:10" x14ac:dyDescent="0.25">
      <c r="A353" s="22" t="s">
        <v>42</v>
      </c>
      <c r="B353" s="24" t="s">
        <v>13</v>
      </c>
      <c r="C353" s="22" t="s">
        <v>2664</v>
      </c>
      <c r="D353" s="22" t="s">
        <v>382</v>
      </c>
      <c r="E353" s="22" t="s">
        <v>2665</v>
      </c>
      <c r="F353" s="22" t="s">
        <v>2666</v>
      </c>
      <c r="G353" s="22" t="s">
        <v>2667</v>
      </c>
      <c r="H353" s="22" t="s">
        <v>825</v>
      </c>
      <c r="I353" s="22" t="s">
        <v>2668</v>
      </c>
      <c r="J353" s="22" t="s">
        <v>686</v>
      </c>
    </row>
    <row r="354" spans="1:10" x14ac:dyDescent="0.25">
      <c r="A354" s="22" t="s">
        <v>42</v>
      </c>
      <c r="B354" s="24" t="s">
        <v>14</v>
      </c>
      <c r="C354" s="22" t="s">
        <v>2669</v>
      </c>
      <c r="D354" s="22" t="s">
        <v>2670</v>
      </c>
      <c r="E354" s="22" t="s">
        <v>2671</v>
      </c>
      <c r="F354" s="22" t="s">
        <v>2672</v>
      </c>
      <c r="G354" s="22" t="s">
        <v>2673</v>
      </c>
      <c r="H354" s="22" t="s">
        <v>708</v>
      </c>
      <c r="I354" s="22" t="s">
        <v>2674</v>
      </c>
      <c r="J354" s="22" t="s">
        <v>2675</v>
      </c>
    </row>
    <row r="355" spans="1:10" x14ac:dyDescent="0.25">
      <c r="A355" s="22" t="s">
        <v>42</v>
      </c>
      <c r="B355" s="24" t="s">
        <v>15</v>
      </c>
      <c r="C355" s="22" t="s">
        <v>2676</v>
      </c>
      <c r="D355" s="22" t="s">
        <v>2677</v>
      </c>
      <c r="E355" s="22" t="s">
        <v>2678</v>
      </c>
      <c r="F355" s="22" t="s">
        <v>2679</v>
      </c>
      <c r="G355" s="22" t="s">
        <v>2680</v>
      </c>
      <c r="H355" s="22" t="s">
        <v>686</v>
      </c>
      <c r="I355" s="22" t="s">
        <v>2681</v>
      </c>
      <c r="J355" s="22" t="s">
        <v>2675</v>
      </c>
    </row>
    <row r="356" spans="1:10" x14ac:dyDescent="0.25">
      <c r="A356" s="22" t="s">
        <v>42</v>
      </c>
      <c r="B356" s="24" t="s">
        <v>16</v>
      </c>
      <c r="C356" s="22" t="s">
        <v>2682</v>
      </c>
      <c r="D356" s="22" t="s">
        <v>2683</v>
      </c>
      <c r="E356" s="22" t="s">
        <v>2684</v>
      </c>
      <c r="F356" s="22" t="s">
        <v>2685</v>
      </c>
      <c r="G356" s="22" t="s">
        <v>2686</v>
      </c>
      <c r="H356" s="22" t="s">
        <v>794</v>
      </c>
      <c r="I356" s="22" t="s">
        <v>2687</v>
      </c>
      <c r="J356" s="22" t="s">
        <v>993</v>
      </c>
    </row>
    <row r="357" spans="1:10" x14ac:dyDescent="0.25">
      <c r="A357" s="22" t="s">
        <v>42</v>
      </c>
      <c r="B357" s="24" t="s">
        <v>17</v>
      </c>
      <c r="C357" s="22" t="s">
        <v>2688</v>
      </c>
      <c r="D357" s="22" t="s">
        <v>2689</v>
      </c>
      <c r="E357" s="22" t="s">
        <v>2690</v>
      </c>
      <c r="F357" s="22" t="s">
        <v>2691</v>
      </c>
      <c r="G357" s="22" t="s">
        <v>2692</v>
      </c>
      <c r="H357" s="22" t="s">
        <v>794</v>
      </c>
      <c r="I357" s="22" t="s">
        <v>2693</v>
      </c>
      <c r="J357" s="22" t="s">
        <v>245</v>
      </c>
    </row>
    <row r="358" spans="1:10" x14ac:dyDescent="0.25">
      <c r="A358" s="22" t="s">
        <v>42</v>
      </c>
      <c r="B358" s="24" t="s">
        <v>18</v>
      </c>
      <c r="C358" s="22" t="s">
        <v>2694</v>
      </c>
      <c r="D358" s="22" t="s">
        <v>2695</v>
      </c>
      <c r="E358" s="22" t="s">
        <v>2696</v>
      </c>
      <c r="F358" s="22" t="s">
        <v>2697</v>
      </c>
      <c r="G358" s="22" t="s">
        <v>2441</v>
      </c>
      <c r="H358" s="22" t="s">
        <v>1907</v>
      </c>
      <c r="I358" s="22" t="s">
        <v>2698</v>
      </c>
      <c r="J358" s="22" t="s">
        <v>1779</v>
      </c>
    </row>
    <row r="359" spans="1:10" x14ac:dyDescent="0.25">
      <c r="A359" s="22" t="s">
        <v>42</v>
      </c>
      <c r="B359" s="24" t="s">
        <v>19</v>
      </c>
      <c r="C359" s="22" t="s">
        <v>2699</v>
      </c>
      <c r="D359" s="22" t="s">
        <v>2700</v>
      </c>
      <c r="E359" s="22" t="s">
        <v>2701</v>
      </c>
      <c r="F359" s="22" t="s">
        <v>2702</v>
      </c>
      <c r="G359" s="22" t="s">
        <v>2703</v>
      </c>
      <c r="H359" s="22" t="s">
        <v>1675</v>
      </c>
      <c r="I359" s="22" t="s">
        <v>2704</v>
      </c>
      <c r="J359" s="22" t="s">
        <v>728</v>
      </c>
    </row>
    <row r="360" spans="1:10" x14ac:dyDescent="0.25">
      <c r="A360" s="22" t="s">
        <v>42</v>
      </c>
      <c r="B360" s="24" t="s">
        <v>20</v>
      </c>
      <c r="C360" s="22" t="s">
        <v>2705</v>
      </c>
      <c r="D360" s="22" t="s">
        <v>2706</v>
      </c>
      <c r="E360" s="22" t="s">
        <v>2707</v>
      </c>
      <c r="F360" s="22" t="s">
        <v>2708</v>
      </c>
      <c r="G360" s="22" t="s">
        <v>1643</v>
      </c>
      <c r="H360" s="22" t="s">
        <v>230</v>
      </c>
      <c r="I360" s="22" t="s">
        <v>2709</v>
      </c>
      <c r="J360" s="22" t="s">
        <v>781</v>
      </c>
    </row>
    <row r="361" spans="1:10" x14ac:dyDescent="0.25">
      <c r="A361" s="22" t="s">
        <v>42</v>
      </c>
      <c r="B361" s="24" t="s">
        <v>21</v>
      </c>
      <c r="C361" s="22" t="s">
        <v>2710</v>
      </c>
      <c r="D361" s="22" t="s">
        <v>2711</v>
      </c>
      <c r="E361" s="22" t="s">
        <v>2712</v>
      </c>
      <c r="F361" s="22" t="s">
        <v>2713</v>
      </c>
      <c r="G361" s="22" t="s">
        <v>1238</v>
      </c>
      <c r="H361" s="22" t="s">
        <v>1187</v>
      </c>
      <c r="I361" s="22" t="s">
        <v>2714</v>
      </c>
      <c r="J361" s="22" t="s">
        <v>2715</v>
      </c>
    </row>
    <row r="362" spans="1:10" x14ac:dyDescent="0.25">
      <c r="A362" s="22" t="s">
        <v>42</v>
      </c>
      <c r="B362" s="24" t="s">
        <v>22</v>
      </c>
      <c r="C362" s="22" t="s">
        <v>2716</v>
      </c>
      <c r="D362" s="22" t="s">
        <v>2717</v>
      </c>
      <c r="E362" s="22" t="s">
        <v>2718</v>
      </c>
      <c r="F362" s="22" t="s">
        <v>2719</v>
      </c>
      <c r="G362" s="22" t="s">
        <v>2686</v>
      </c>
      <c r="H362" s="22" t="s">
        <v>2720</v>
      </c>
      <c r="I362" s="22" t="s">
        <v>2721</v>
      </c>
      <c r="J362" s="22" t="s">
        <v>859</v>
      </c>
    </row>
    <row r="363" spans="1:10" x14ac:dyDescent="0.25">
      <c r="A363" s="22" t="s">
        <v>42</v>
      </c>
      <c r="B363" s="24" t="s">
        <v>23</v>
      </c>
      <c r="C363" s="22" t="s">
        <v>2722</v>
      </c>
      <c r="D363" s="22" t="s">
        <v>2723</v>
      </c>
      <c r="E363" s="22" t="s">
        <v>2724</v>
      </c>
      <c r="F363" s="22" t="s">
        <v>2725</v>
      </c>
      <c r="G363" s="22" t="s">
        <v>1245</v>
      </c>
      <c r="H363" s="22" t="s">
        <v>900</v>
      </c>
      <c r="I363" s="22" t="s">
        <v>2726</v>
      </c>
      <c r="J363" s="22" t="s">
        <v>1211</v>
      </c>
    </row>
    <row r="364" spans="1:10" x14ac:dyDescent="0.25">
      <c r="A364" s="22" t="s">
        <v>45</v>
      </c>
      <c r="B364" s="24" t="s">
        <v>4</v>
      </c>
      <c r="C364" s="22" t="s">
        <v>2727</v>
      </c>
      <c r="D364" s="22" t="s">
        <v>2728</v>
      </c>
      <c r="E364" s="22" t="s">
        <v>2729</v>
      </c>
      <c r="F364" s="22" t="s">
        <v>2730</v>
      </c>
      <c r="G364" s="22" t="s">
        <v>2731</v>
      </c>
      <c r="H364" s="22" t="s">
        <v>2732</v>
      </c>
      <c r="I364" s="22" t="s">
        <v>2733</v>
      </c>
      <c r="J364" s="22" t="s">
        <v>1427</v>
      </c>
    </row>
    <row r="365" spans="1:10" x14ac:dyDescent="0.25">
      <c r="A365" s="22" t="s">
        <v>45</v>
      </c>
      <c r="B365" s="24" t="s">
        <v>5</v>
      </c>
      <c r="C365" s="22" t="s">
        <v>2734</v>
      </c>
      <c r="D365" s="22" t="s">
        <v>2735</v>
      </c>
      <c r="E365" s="22" t="s">
        <v>2736</v>
      </c>
      <c r="F365" s="22" t="s">
        <v>2737</v>
      </c>
      <c r="G365" s="22" t="s">
        <v>1238</v>
      </c>
      <c r="H365" s="22" t="s">
        <v>2738</v>
      </c>
      <c r="I365" s="22" t="s">
        <v>2739</v>
      </c>
      <c r="J365" s="22" t="s">
        <v>1232</v>
      </c>
    </row>
    <row r="366" spans="1:10" x14ac:dyDescent="0.25">
      <c r="A366" s="22" t="s">
        <v>45</v>
      </c>
      <c r="B366" s="24" t="s">
        <v>6</v>
      </c>
      <c r="C366" s="22" t="s">
        <v>2740</v>
      </c>
      <c r="D366" s="22" t="s">
        <v>2741</v>
      </c>
      <c r="E366" s="22" t="s">
        <v>2742</v>
      </c>
      <c r="F366" s="22" t="s">
        <v>2743</v>
      </c>
      <c r="G366" s="22" t="s">
        <v>1231</v>
      </c>
      <c r="H366" s="22" t="s">
        <v>2655</v>
      </c>
      <c r="I366" s="22" t="s">
        <v>2744</v>
      </c>
      <c r="J366" s="22" t="s">
        <v>1154</v>
      </c>
    </row>
    <row r="367" spans="1:10" x14ac:dyDescent="0.25">
      <c r="A367" s="22" t="s">
        <v>45</v>
      </c>
      <c r="B367" s="24" t="s">
        <v>7</v>
      </c>
      <c r="C367" s="22" t="s">
        <v>2745</v>
      </c>
      <c r="D367" s="22" t="s">
        <v>2746</v>
      </c>
      <c r="E367" s="22" t="s">
        <v>2747</v>
      </c>
      <c r="F367" s="22" t="s">
        <v>2748</v>
      </c>
      <c r="G367" s="22" t="s">
        <v>2667</v>
      </c>
      <c r="H367" s="22" t="s">
        <v>1697</v>
      </c>
      <c r="I367" s="22" t="s">
        <v>2749</v>
      </c>
      <c r="J367" s="22" t="s">
        <v>2750</v>
      </c>
    </row>
    <row r="368" spans="1:10" x14ac:dyDescent="0.25">
      <c r="A368" s="22" t="s">
        <v>45</v>
      </c>
      <c r="B368" s="24" t="s">
        <v>8</v>
      </c>
      <c r="C368" s="22" t="s">
        <v>2751</v>
      </c>
      <c r="D368" s="22" t="s">
        <v>2752</v>
      </c>
      <c r="E368" s="22" t="s">
        <v>2753</v>
      </c>
      <c r="F368" s="22" t="s">
        <v>2754</v>
      </c>
      <c r="G368" s="22" t="s">
        <v>2643</v>
      </c>
      <c r="H368" s="22" t="s">
        <v>2755</v>
      </c>
      <c r="I368" s="22" t="s">
        <v>2756</v>
      </c>
      <c r="J368" s="22" t="s">
        <v>2461</v>
      </c>
    </row>
    <row r="369" spans="1:10" x14ac:dyDescent="0.25">
      <c r="A369" s="22" t="s">
        <v>45</v>
      </c>
      <c r="B369" s="24" t="s">
        <v>9</v>
      </c>
      <c r="C369" s="22" t="s">
        <v>2757</v>
      </c>
      <c r="D369" s="22" t="s">
        <v>2758</v>
      </c>
      <c r="E369" s="22" t="s">
        <v>2759</v>
      </c>
      <c r="F369" s="22" t="s">
        <v>2760</v>
      </c>
      <c r="G369" s="22" t="s">
        <v>1210</v>
      </c>
      <c r="H369" s="22" t="s">
        <v>2761</v>
      </c>
      <c r="I369" s="22" t="s">
        <v>2762</v>
      </c>
      <c r="J369" s="22" t="s">
        <v>2763</v>
      </c>
    </row>
    <row r="370" spans="1:10" x14ac:dyDescent="0.25">
      <c r="A370" s="22" t="s">
        <v>45</v>
      </c>
      <c r="B370" s="24" t="s">
        <v>10</v>
      </c>
      <c r="C370" s="22" t="s">
        <v>2764</v>
      </c>
      <c r="D370" s="22" t="s">
        <v>2765</v>
      </c>
      <c r="E370" s="22" t="s">
        <v>2766</v>
      </c>
      <c r="F370" s="22" t="s">
        <v>2767</v>
      </c>
      <c r="G370" s="22" t="s">
        <v>2768</v>
      </c>
      <c r="H370" s="22" t="s">
        <v>2761</v>
      </c>
      <c r="I370" s="22" t="s">
        <v>2769</v>
      </c>
      <c r="J370" s="22" t="s">
        <v>772</v>
      </c>
    </row>
    <row r="371" spans="1:10" x14ac:dyDescent="0.25">
      <c r="A371" s="22" t="s">
        <v>45</v>
      </c>
      <c r="B371" s="24" t="s">
        <v>11</v>
      </c>
      <c r="C371" s="22" t="s">
        <v>2770</v>
      </c>
      <c r="D371" s="22" t="s">
        <v>2771</v>
      </c>
      <c r="E371" s="22" t="s">
        <v>2772</v>
      </c>
      <c r="F371" s="22" t="s">
        <v>2773</v>
      </c>
      <c r="G371" s="22" t="s">
        <v>2774</v>
      </c>
      <c r="H371" s="22" t="s">
        <v>1450</v>
      </c>
      <c r="I371" s="22" t="s">
        <v>2775</v>
      </c>
      <c r="J371" s="22" t="s">
        <v>1561</v>
      </c>
    </row>
    <row r="372" spans="1:10" x14ac:dyDescent="0.25">
      <c r="A372" s="22" t="s">
        <v>45</v>
      </c>
      <c r="B372" s="24" t="s">
        <v>12</v>
      </c>
      <c r="C372" s="22" t="s">
        <v>2776</v>
      </c>
      <c r="D372" s="22" t="s">
        <v>2777</v>
      </c>
      <c r="E372" s="22" t="s">
        <v>2778</v>
      </c>
      <c r="F372" s="22" t="s">
        <v>2779</v>
      </c>
      <c r="G372" s="22" t="s">
        <v>1256</v>
      </c>
      <c r="H372" s="22" t="s">
        <v>2051</v>
      </c>
      <c r="I372" s="22" t="s">
        <v>2780</v>
      </c>
      <c r="J372" s="22" t="s">
        <v>337</v>
      </c>
    </row>
    <row r="373" spans="1:10" x14ac:dyDescent="0.25">
      <c r="A373" s="22" t="s">
        <v>45</v>
      </c>
      <c r="B373" s="24" t="s">
        <v>13</v>
      </c>
      <c r="C373" s="22" t="s">
        <v>2781</v>
      </c>
      <c r="D373" s="22" t="s">
        <v>2782</v>
      </c>
      <c r="E373" s="22" t="s">
        <v>2783</v>
      </c>
      <c r="F373" s="22" t="s">
        <v>2784</v>
      </c>
      <c r="G373" s="22" t="s">
        <v>2785</v>
      </c>
      <c r="H373" s="22" t="s">
        <v>2786</v>
      </c>
      <c r="I373" s="22" t="s">
        <v>2787</v>
      </c>
      <c r="J373" s="22" t="s">
        <v>880</v>
      </c>
    </row>
    <row r="374" spans="1:10" x14ac:dyDescent="0.25">
      <c r="A374" s="22" t="s">
        <v>45</v>
      </c>
      <c r="B374" s="24" t="s">
        <v>14</v>
      </c>
      <c r="C374" s="22" t="s">
        <v>2788</v>
      </c>
      <c r="D374" s="22" t="s">
        <v>2789</v>
      </c>
      <c r="E374" s="22" t="s">
        <v>2790</v>
      </c>
      <c r="F374" s="22" t="s">
        <v>2791</v>
      </c>
      <c r="G374" s="22" t="s">
        <v>1245</v>
      </c>
      <c r="H374" s="22" t="s">
        <v>302</v>
      </c>
      <c r="I374" s="22" t="s">
        <v>2792</v>
      </c>
      <c r="J374" s="22" t="s">
        <v>2107</v>
      </c>
    </row>
    <row r="375" spans="1:10" x14ac:dyDescent="0.25">
      <c r="A375" s="22" t="s">
        <v>45</v>
      </c>
      <c r="B375" s="24" t="s">
        <v>15</v>
      </c>
      <c r="C375" s="22" t="s">
        <v>2793</v>
      </c>
      <c r="D375" s="22" t="s">
        <v>2794</v>
      </c>
      <c r="E375" s="22" t="s">
        <v>2795</v>
      </c>
      <c r="F375" s="22" t="s">
        <v>2796</v>
      </c>
      <c r="G375" s="22" t="s">
        <v>1643</v>
      </c>
      <c r="H375" s="22" t="s">
        <v>2797</v>
      </c>
      <c r="I375" s="22" t="s">
        <v>2798</v>
      </c>
      <c r="J375" s="22" t="s">
        <v>461</v>
      </c>
    </row>
    <row r="376" spans="1:10" x14ac:dyDescent="0.25">
      <c r="A376" s="22" t="s">
        <v>45</v>
      </c>
      <c r="B376" s="24" t="s">
        <v>16</v>
      </c>
      <c r="C376" s="22" t="s">
        <v>2799</v>
      </c>
      <c r="D376" s="22" t="s">
        <v>2048</v>
      </c>
      <c r="E376" s="22" t="s">
        <v>2800</v>
      </c>
      <c r="F376" s="22" t="s">
        <v>2801</v>
      </c>
      <c r="G376" s="22" t="s">
        <v>2802</v>
      </c>
      <c r="H376" s="22" t="s">
        <v>2655</v>
      </c>
      <c r="I376" s="22" t="s">
        <v>2803</v>
      </c>
      <c r="J376" s="22" t="s">
        <v>508</v>
      </c>
    </row>
    <row r="377" spans="1:10" x14ac:dyDescent="0.25">
      <c r="A377" s="22" t="s">
        <v>45</v>
      </c>
      <c r="B377" s="24" t="s">
        <v>17</v>
      </c>
      <c r="C377" s="22" t="s">
        <v>2804</v>
      </c>
      <c r="D377" s="22" t="s">
        <v>724</v>
      </c>
      <c r="E377" s="22" t="s">
        <v>2805</v>
      </c>
      <c r="F377" s="22" t="s">
        <v>2806</v>
      </c>
      <c r="G377" s="22" t="s">
        <v>2441</v>
      </c>
      <c r="H377" s="22" t="s">
        <v>2692</v>
      </c>
      <c r="I377" s="22" t="s">
        <v>2807</v>
      </c>
      <c r="J377" s="22" t="s">
        <v>1007</v>
      </c>
    </row>
    <row r="378" spans="1:10" x14ac:dyDescent="0.25">
      <c r="A378" s="22" t="s">
        <v>45</v>
      </c>
      <c r="B378" s="24" t="s">
        <v>18</v>
      </c>
      <c r="C378" s="22" t="s">
        <v>2808</v>
      </c>
      <c r="D378" s="22" t="s">
        <v>2809</v>
      </c>
      <c r="E378" s="22" t="s">
        <v>2810</v>
      </c>
      <c r="F378" s="22" t="s">
        <v>2811</v>
      </c>
      <c r="G378" s="22" t="s">
        <v>2774</v>
      </c>
      <c r="H378" s="22" t="s">
        <v>1238</v>
      </c>
      <c r="I378" s="22" t="s">
        <v>2812</v>
      </c>
      <c r="J378" s="22" t="s">
        <v>920</v>
      </c>
    </row>
    <row r="379" spans="1:10" x14ac:dyDescent="0.25">
      <c r="A379" s="22" t="s">
        <v>45</v>
      </c>
      <c r="B379" s="24" t="s">
        <v>19</v>
      </c>
      <c r="C379" s="22" t="s">
        <v>2813</v>
      </c>
      <c r="D379" s="22" t="s">
        <v>2814</v>
      </c>
      <c r="E379" s="22" t="s">
        <v>2815</v>
      </c>
      <c r="F379" s="22" t="s">
        <v>2816</v>
      </c>
      <c r="G379" s="22" t="s">
        <v>1116</v>
      </c>
      <c r="H379" s="22" t="s">
        <v>2692</v>
      </c>
      <c r="I379" s="22" t="s">
        <v>2817</v>
      </c>
      <c r="J379" s="22" t="s">
        <v>508</v>
      </c>
    </row>
    <row r="380" spans="1:10" x14ac:dyDescent="0.25">
      <c r="A380" s="22" t="s">
        <v>45</v>
      </c>
      <c r="B380" s="24" t="s">
        <v>20</v>
      </c>
      <c r="C380" s="22" t="s">
        <v>2818</v>
      </c>
      <c r="D380" s="22" t="s">
        <v>2819</v>
      </c>
      <c r="E380" s="22" t="s">
        <v>2820</v>
      </c>
      <c r="F380" s="22" t="s">
        <v>2821</v>
      </c>
      <c r="G380" s="22" t="s">
        <v>2692</v>
      </c>
      <c r="H380" s="22" t="s">
        <v>2822</v>
      </c>
      <c r="I380" s="22" t="s">
        <v>2823</v>
      </c>
      <c r="J380" s="22" t="s">
        <v>267</v>
      </c>
    </row>
    <row r="381" spans="1:10" x14ac:dyDescent="0.25">
      <c r="A381" s="22" t="s">
        <v>45</v>
      </c>
      <c r="B381" s="24" t="s">
        <v>21</v>
      </c>
      <c r="C381" s="22" t="s">
        <v>2824</v>
      </c>
      <c r="D381" s="22" t="s">
        <v>2825</v>
      </c>
      <c r="E381" s="22" t="s">
        <v>2826</v>
      </c>
      <c r="F381" s="22" t="s">
        <v>2827</v>
      </c>
      <c r="G381" s="22" t="s">
        <v>2761</v>
      </c>
      <c r="H381" s="22" t="s">
        <v>2828</v>
      </c>
      <c r="I381" s="22" t="s">
        <v>2829</v>
      </c>
      <c r="J381" s="22" t="s">
        <v>196</v>
      </c>
    </row>
    <row r="382" spans="1:10" x14ac:dyDescent="0.25">
      <c r="A382" s="22" t="s">
        <v>45</v>
      </c>
      <c r="B382" s="24" t="s">
        <v>22</v>
      </c>
      <c r="C382" s="22" t="s">
        <v>2830</v>
      </c>
      <c r="D382" s="22" t="s">
        <v>2831</v>
      </c>
      <c r="E382" s="22" t="s">
        <v>2832</v>
      </c>
      <c r="F382" s="22" t="s">
        <v>2833</v>
      </c>
      <c r="G382" s="22" t="s">
        <v>1231</v>
      </c>
      <c r="H382" s="22" t="s">
        <v>2441</v>
      </c>
      <c r="I382" s="22" t="s">
        <v>2834</v>
      </c>
      <c r="J382" s="22" t="s">
        <v>1372</v>
      </c>
    </row>
    <row r="383" spans="1:10" x14ac:dyDescent="0.25">
      <c r="A383" s="22" t="s">
        <v>45</v>
      </c>
      <c r="B383" s="24" t="s">
        <v>23</v>
      </c>
      <c r="C383" s="22" t="s">
        <v>2835</v>
      </c>
      <c r="D383" s="22" t="s">
        <v>1549</v>
      </c>
      <c r="E383" s="22" t="s">
        <v>2836</v>
      </c>
      <c r="F383" s="22" t="s">
        <v>2837</v>
      </c>
      <c r="G383" s="22" t="s">
        <v>2731</v>
      </c>
      <c r="H383" s="22" t="s">
        <v>2703</v>
      </c>
      <c r="I383" s="22" t="s">
        <v>2838</v>
      </c>
      <c r="J383" s="22" t="s">
        <v>520</v>
      </c>
    </row>
    <row r="384" spans="1:10" x14ac:dyDescent="0.25">
      <c r="A384" s="22" t="s">
        <v>35</v>
      </c>
      <c r="B384" s="24" t="s">
        <v>4</v>
      </c>
      <c r="C384" s="22" t="s">
        <v>2839</v>
      </c>
      <c r="D384" s="22" t="s">
        <v>2840</v>
      </c>
      <c r="E384" s="22" t="s">
        <v>2841</v>
      </c>
      <c r="F384" s="22" t="s">
        <v>2842</v>
      </c>
      <c r="G384" s="22" t="s">
        <v>2549</v>
      </c>
      <c r="H384" s="22" t="s">
        <v>370</v>
      </c>
      <c r="I384" s="22" t="s">
        <v>2843</v>
      </c>
      <c r="J384" s="22" t="s">
        <v>1934</v>
      </c>
    </row>
    <row r="385" spans="1:10" x14ac:dyDescent="0.25">
      <c r="A385" s="22" t="s">
        <v>35</v>
      </c>
      <c r="B385" s="24" t="s">
        <v>5</v>
      </c>
      <c r="C385" s="22" t="s">
        <v>2844</v>
      </c>
      <c r="D385" s="22" t="s">
        <v>739</v>
      </c>
      <c r="E385" s="22" t="s">
        <v>2845</v>
      </c>
      <c r="F385" s="22" t="s">
        <v>2846</v>
      </c>
      <c r="G385" s="22" t="s">
        <v>969</v>
      </c>
      <c r="H385" s="22" t="s">
        <v>365</v>
      </c>
      <c r="I385" s="22" t="s">
        <v>2847</v>
      </c>
      <c r="J385" s="22" t="s">
        <v>1476</v>
      </c>
    </row>
    <row r="386" spans="1:10" x14ac:dyDescent="0.25">
      <c r="A386" s="22" t="s">
        <v>35</v>
      </c>
      <c r="B386" s="24" t="s">
        <v>6</v>
      </c>
      <c r="C386" s="22" t="s">
        <v>2848</v>
      </c>
      <c r="D386" s="22" t="s">
        <v>2735</v>
      </c>
      <c r="E386" s="22" t="s">
        <v>2849</v>
      </c>
      <c r="F386" s="22" t="s">
        <v>2850</v>
      </c>
      <c r="G386" s="22" t="s">
        <v>1135</v>
      </c>
      <c r="H386" s="22" t="s">
        <v>1303</v>
      </c>
      <c r="I386" s="22" t="s">
        <v>2851</v>
      </c>
      <c r="J386" s="22" t="s">
        <v>1434</v>
      </c>
    </row>
    <row r="387" spans="1:10" x14ac:dyDescent="0.25">
      <c r="A387" s="22" t="s">
        <v>35</v>
      </c>
      <c r="B387" s="24" t="s">
        <v>7</v>
      </c>
      <c r="C387" s="22" t="s">
        <v>2852</v>
      </c>
      <c r="D387" s="22" t="s">
        <v>2853</v>
      </c>
      <c r="E387" s="22" t="s">
        <v>2854</v>
      </c>
      <c r="F387" s="22" t="s">
        <v>2855</v>
      </c>
      <c r="G387" s="22" t="s">
        <v>1462</v>
      </c>
      <c r="H387" s="22" t="s">
        <v>1135</v>
      </c>
      <c r="I387" s="22" t="s">
        <v>2856</v>
      </c>
      <c r="J387" s="22" t="s">
        <v>1705</v>
      </c>
    </row>
    <row r="388" spans="1:10" x14ac:dyDescent="0.25">
      <c r="A388" s="22" t="s">
        <v>35</v>
      </c>
      <c r="B388" s="24" t="s">
        <v>8</v>
      </c>
      <c r="C388" s="22" t="s">
        <v>2857</v>
      </c>
      <c r="D388" s="22" t="s">
        <v>2858</v>
      </c>
      <c r="E388" s="22" t="s">
        <v>2859</v>
      </c>
      <c r="F388" s="22" t="s">
        <v>2860</v>
      </c>
      <c r="G388" s="22" t="s">
        <v>1697</v>
      </c>
      <c r="H388" s="22" t="s">
        <v>969</v>
      </c>
      <c r="I388" s="22" t="s">
        <v>2861</v>
      </c>
      <c r="J388" s="22" t="s">
        <v>2862</v>
      </c>
    </row>
    <row r="389" spans="1:10" x14ac:dyDescent="0.25">
      <c r="A389" s="22" t="s">
        <v>35</v>
      </c>
      <c r="B389" s="24" t="s">
        <v>9</v>
      </c>
      <c r="C389" s="22" t="s">
        <v>2863</v>
      </c>
      <c r="D389" s="22" t="s">
        <v>2864</v>
      </c>
      <c r="E389" s="22" t="s">
        <v>2865</v>
      </c>
      <c r="F389" s="22" t="s">
        <v>2866</v>
      </c>
      <c r="G389" s="22" t="s">
        <v>1834</v>
      </c>
      <c r="H389" s="22" t="s">
        <v>1524</v>
      </c>
      <c r="I389" s="22" t="s">
        <v>2867</v>
      </c>
      <c r="J389" s="22" t="s">
        <v>467</v>
      </c>
    </row>
    <row r="390" spans="1:10" x14ac:dyDescent="0.25">
      <c r="A390" s="22" t="s">
        <v>35</v>
      </c>
      <c r="B390" s="24" t="s">
        <v>10</v>
      </c>
      <c r="C390" s="22" t="s">
        <v>2868</v>
      </c>
      <c r="D390" s="22" t="s">
        <v>2869</v>
      </c>
      <c r="E390" s="22" t="s">
        <v>2870</v>
      </c>
      <c r="F390" s="22" t="s">
        <v>2871</v>
      </c>
      <c r="G390" s="22" t="s">
        <v>1834</v>
      </c>
      <c r="H390" s="22" t="s">
        <v>969</v>
      </c>
      <c r="I390" s="22" t="s">
        <v>2872</v>
      </c>
      <c r="J390" s="22" t="s">
        <v>279</v>
      </c>
    </row>
    <row r="391" spans="1:10" x14ac:dyDescent="0.25">
      <c r="A391" s="22" t="s">
        <v>35</v>
      </c>
      <c r="B391" s="24" t="s">
        <v>11</v>
      </c>
      <c r="C391" s="22" t="s">
        <v>2873</v>
      </c>
      <c r="D391" s="22" t="s">
        <v>2874</v>
      </c>
      <c r="E391" s="22" t="s">
        <v>2875</v>
      </c>
      <c r="F391" s="22" t="s">
        <v>2876</v>
      </c>
      <c r="G391" s="22" t="s">
        <v>1772</v>
      </c>
      <c r="H391" s="22" t="s">
        <v>2877</v>
      </c>
      <c r="I391" s="22" t="s">
        <v>2878</v>
      </c>
      <c r="J391" s="22" t="s">
        <v>558</v>
      </c>
    </row>
    <row r="392" spans="1:10" x14ac:dyDescent="0.25">
      <c r="A392" s="22" t="s">
        <v>35</v>
      </c>
      <c r="B392" s="24" t="s">
        <v>12</v>
      </c>
      <c r="C392" s="22" t="s">
        <v>2879</v>
      </c>
      <c r="D392" s="22" t="s">
        <v>2880</v>
      </c>
      <c r="E392" s="22" t="s">
        <v>2881</v>
      </c>
      <c r="F392" s="22" t="s">
        <v>2882</v>
      </c>
      <c r="G392" s="22" t="s">
        <v>2731</v>
      </c>
      <c r="H392" s="22" t="s">
        <v>937</v>
      </c>
      <c r="I392" s="22" t="s">
        <v>2883</v>
      </c>
      <c r="J392" s="22" t="s">
        <v>1286</v>
      </c>
    </row>
    <row r="393" spans="1:10" x14ac:dyDescent="0.25">
      <c r="A393" s="22" t="s">
        <v>35</v>
      </c>
      <c r="B393" s="24" t="s">
        <v>13</v>
      </c>
      <c r="C393" s="22" t="s">
        <v>2884</v>
      </c>
      <c r="D393" s="22" t="s">
        <v>2885</v>
      </c>
      <c r="E393" s="22" t="s">
        <v>2886</v>
      </c>
      <c r="F393" s="22" t="s">
        <v>2887</v>
      </c>
      <c r="G393" s="22" t="s">
        <v>1715</v>
      </c>
      <c r="H393" s="22" t="s">
        <v>1559</v>
      </c>
      <c r="I393" s="22" t="s">
        <v>2888</v>
      </c>
      <c r="J393" s="22" t="s">
        <v>508</v>
      </c>
    </row>
    <row r="394" spans="1:10" x14ac:dyDescent="0.25">
      <c r="A394" s="22" t="s">
        <v>35</v>
      </c>
      <c r="B394" s="24" t="s">
        <v>14</v>
      </c>
      <c r="C394" s="22" t="s">
        <v>2889</v>
      </c>
      <c r="D394" s="22" t="s">
        <v>2444</v>
      </c>
      <c r="E394" s="22" t="s">
        <v>2890</v>
      </c>
      <c r="F394" s="22" t="s">
        <v>2891</v>
      </c>
      <c r="G394" s="22" t="s">
        <v>2892</v>
      </c>
      <c r="H394" s="22" t="s">
        <v>2424</v>
      </c>
      <c r="I394" s="22" t="s">
        <v>2893</v>
      </c>
      <c r="J394" s="22" t="s">
        <v>1669</v>
      </c>
    </row>
    <row r="395" spans="1:10" x14ac:dyDescent="0.25">
      <c r="A395" s="22" t="s">
        <v>35</v>
      </c>
      <c r="B395" s="24" t="s">
        <v>15</v>
      </c>
      <c r="C395" s="22" t="s">
        <v>2894</v>
      </c>
      <c r="D395" s="22" t="s">
        <v>2895</v>
      </c>
      <c r="E395" s="22" t="s">
        <v>2896</v>
      </c>
      <c r="F395" s="22" t="s">
        <v>2897</v>
      </c>
      <c r="G395" s="22" t="s">
        <v>1245</v>
      </c>
      <c r="H395" s="22" t="s">
        <v>1095</v>
      </c>
      <c r="I395" s="22" t="s">
        <v>2898</v>
      </c>
      <c r="J395" s="22" t="s">
        <v>1180</v>
      </c>
    </row>
    <row r="396" spans="1:10" x14ac:dyDescent="0.25">
      <c r="A396" s="22" t="s">
        <v>35</v>
      </c>
      <c r="B396" s="24" t="s">
        <v>16</v>
      </c>
      <c r="C396" s="22" t="s">
        <v>2899</v>
      </c>
      <c r="D396" s="22" t="s">
        <v>2900</v>
      </c>
      <c r="E396" s="22" t="s">
        <v>2901</v>
      </c>
      <c r="F396" s="22" t="s">
        <v>2902</v>
      </c>
      <c r="G396" s="22" t="s">
        <v>1915</v>
      </c>
      <c r="H396" s="22" t="s">
        <v>1075</v>
      </c>
      <c r="I396" s="22" t="s">
        <v>2903</v>
      </c>
      <c r="J396" s="22" t="s">
        <v>477</v>
      </c>
    </row>
    <row r="397" spans="1:10" x14ac:dyDescent="0.25">
      <c r="A397" s="22" t="s">
        <v>35</v>
      </c>
      <c r="B397" s="24" t="s">
        <v>17</v>
      </c>
      <c r="C397" s="22" t="s">
        <v>2904</v>
      </c>
      <c r="D397" s="22" t="s">
        <v>2905</v>
      </c>
      <c r="E397" s="22" t="s">
        <v>2906</v>
      </c>
      <c r="F397" s="22" t="s">
        <v>2907</v>
      </c>
      <c r="G397" s="22" t="s">
        <v>921</v>
      </c>
      <c r="H397" s="22" t="s">
        <v>1873</v>
      </c>
      <c r="I397" s="22" t="s">
        <v>2908</v>
      </c>
      <c r="J397" s="22" t="s">
        <v>2909</v>
      </c>
    </row>
    <row r="398" spans="1:10" x14ac:dyDescent="0.25">
      <c r="A398" s="22" t="s">
        <v>35</v>
      </c>
      <c r="B398" s="24" t="s">
        <v>18</v>
      </c>
      <c r="C398" s="22" t="s">
        <v>2910</v>
      </c>
      <c r="D398" s="22" t="s">
        <v>2911</v>
      </c>
      <c r="E398" s="22" t="s">
        <v>2912</v>
      </c>
      <c r="F398" s="22" t="s">
        <v>2913</v>
      </c>
      <c r="G398" s="22" t="s">
        <v>2914</v>
      </c>
      <c r="H398" s="22" t="s">
        <v>196</v>
      </c>
      <c r="I398" s="22" t="s">
        <v>2915</v>
      </c>
      <c r="J398" s="22" t="s">
        <v>537</v>
      </c>
    </row>
    <row r="399" spans="1:10" x14ac:dyDescent="0.25">
      <c r="A399" s="22" t="s">
        <v>35</v>
      </c>
      <c r="B399" s="24" t="s">
        <v>19</v>
      </c>
      <c r="C399" s="22" t="s">
        <v>2916</v>
      </c>
      <c r="D399" s="22" t="s">
        <v>2917</v>
      </c>
      <c r="E399" s="22" t="s">
        <v>2918</v>
      </c>
      <c r="F399" s="22" t="s">
        <v>2919</v>
      </c>
      <c r="G399" s="22" t="s">
        <v>273</v>
      </c>
      <c r="H399" s="22" t="s">
        <v>794</v>
      </c>
      <c r="I399" s="22" t="s">
        <v>2920</v>
      </c>
      <c r="J399" s="22" t="s">
        <v>1111</v>
      </c>
    </row>
    <row r="400" spans="1:10" x14ac:dyDescent="0.25">
      <c r="A400" s="22" t="s">
        <v>35</v>
      </c>
      <c r="B400" s="24" t="s">
        <v>20</v>
      </c>
      <c r="C400" s="22" t="s">
        <v>2921</v>
      </c>
      <c r="D400" s="22" t="s">
        <v>481</v>
      </c>
      <c r="E400" s="22" t="s">
        <v>2922</v>
      </c>
      <c r="F400" s="22" t="s">
        <v>2923</v>
      </c>
      <c r="G400" s="22" t="s">
        <v>441</v>
      </c>
      <c r="H400" s="22" t="s">
        <v>483</v>
      </c>
      <c r="I400" s="22" t="s">
        <v>2924</v>
      </c>
      <c r="J400" s="22" t="s">
        <v>482</v>
      </c>
    </row>
    <row r="401" spans="1:10" x14ac:dyDescent="0.25">
      <c r="A401" s="22" t="s">
        <v>35</v>
      </c>
      <c r="B401" s="24" t="s">
        <v>21</v>
      </c>
      <c r="C401" s="22" t="s">
        <v>2925</v>
      </c>
      <c r="D401" s="22" t="s">
        <v>2926</v>
      </c>
      <c r="E401" s="22" t="s">
        <v>2927</v>
      </c>
      <c r="F401" s="22" t="s">
        <v>2928</v>
      </c>
      <c r="G401" s="22" t="s">
        <v>485</v>
      </c>
      <c r="H401" s="22" t="s">
        <v>244</v>
      </c>
      <c r="I401" s="22" t="s">
        <v>2929</v>
      </c>
      <c r="J401" s="22" t="s">
        <v>484</v>
      </c>
    </row>
    <row r="402" spans="1:10" x14ac:dyDescent="0.25">
      <c r="A402" s="22" t="s">
        <v>35</v>
      </c>
      <c r="B402" s="24" t="s">
        <v>22</v>
      </c>
      <c r="C402" s="22" t="s">
        <v>2930</v>
      </c>
      <c r="D402" s="22" t="s">
        <v>487</v>
      </c>
      <c r="E402" s="22" t="s">
        <v>2931</v>
      </c>
      <c r="F402" s="22" t="s">
        <v>2932</v>
      </c>
      <c r="G402" s="22" t="s">
        <v>490</v>
      </c>
      <c r="H402" s="22" t="s">
        <v>489</v>
      </c>
      <c r="I402" s="22" t="s">
        <v>2933</v>
      </c>
      <c r="J402" s="22" t="s">
        <v>488</v>
      </c>
    </row>
    <row r="403" spans="1:10" x14ac:dyDescent="0.25">
      <c r="A403" s="22" t="s">
        <v>35</v>
      </c>
      <c r="B403" s="24" t="s">
        <v>23</v>
      </c>
      <c r="C403" s="22" t="s">
        <v>2934</v>
      </c>
      <c r="D403" s="22" t="s">
        <v>2935</v>
      </c>
      <c r="E403" s="22" t="s">
        <v>2936</v>
      </c>
      <c r="F403" s="22" t="s">
        <v>2937</v>
      </c>
      <c r="G403" s="22" t="s">
        <v>1238</v>
      </c>
      <c r="H403" s="22" t="s">
        <v>1239</v>
      </c>
      <c r="I403" s="22" t="s">
        <v>2938</v>
      </c>
      <c r="J403" s="22" t="s">
        <v>2750</v>
      </c>
    </row>
    <row r="404" spans="1:10" x14ac:dyDescent="0.25">
      <c r="A404" s="22" t="s">
        <v>43</v>
      </c>
      <c r="B404" s="24" t="s">
        <v>4</v>
      </c>
      <c r="C404" s="22" t="s">
        <v>2939</v>
      </c>
      <c r="D404" s="22" t="s">
        <v>2940</v>
      </c>
      <c r="E404" s="22" t="s">
        <v>2941</v>
      </c>
      <c r="F404" s="22" t="s">
        <v>2942</v>
      </c>
      <c r="G404" s="22" t="s">
        <v>2943</v>
      </c>
      <c r="H404" s="22" t="s">
        <v>820</v>
      </c>
      <c r="I404" s="22" t="s">
        <v>2944</v>
      </c>
      <c r="J404" s="22" t="s">
        <v>1263</v>
      </c>
    </row>
    <row r="405" spans="1:10" x14ac:dyDescent="0.25">
      <c r="A405" s="22" t="s">
        <v>43</v>
      </c>
      <c r="B405" s="24" t="s">
        <v>5</v>
      </c>
      <c r="C405" s="22" t="s">
        <v>2945</v>
      </c>
      <c r="D405" s="22" t="s">
        <v>2946</v>
      </c>
      <c r="E405" s="22" t="s">
        <v>2947</v>
      </c>
      <c r="F405" s="22" t="s">
        <v>2948</v>
      </c>
      <c r="G405" s="22" t="s">
        <v>2949</v>
      </c>
      <c r="H405" s="22" t="s">
        <v>1063</v>
      </c>
      <c r="I405" s="22" t="s">
        <v>2950</v>
      </c>
      <c r="J405" s="22" t="s">
        <v>2124</v>
      </c>
    </row>
    <row r="406" spans="1:10" x14ac:dyDescent="0.25">
      <c r="A406" s="22" t="s">
        <v>43</v>
      </c>
      <c r="B406" s="24" t="s">
        <v>6</v>
      </c>
      <c r="C406" s="22" t="s">
        <v>2951</v>
      </c>
      <c r="D406" s="22" t="s">
        <v>2952</v>
      </c>
      <c r="E406" s="22" t="s">
        <v>2953</v>
      </c>
      <c r="F406" s="22" t="s">
        <v>2954</v>
      </c>
      <c r="G406" s="22" t="s">
        <v>2955</v>
      </c>
      <c r="H406" s="22" t="s">
        <v>903</v>
      </c>
      <c r="I406" s="22" t="s">
        <v>2956</v>
      </c>
      <c r="J406" s="22" t="s">
        <v>951</v>
      </c>
    </row>
    <row r="407" spans="1:10" x14ac:dyDescent="0.25">
      <c r="A407" s="22" t="s">
        <v>43</v>
      </c>
      <c r="B407" s="24" t="s">
        <v>7</v>
      </c>
      <c r="C407" s="22" t="s">
        <v>2957</v>
      </c>
      <c r="D407" s="22" t="s">
        <v>2958</v>
      </c>
      <c r="E407" s="22" t="s">
        <v>2959</v>
      </c>
      <c r="F407" s="22" t="s">
        <v>2960</v>
      </c>
      <c r="G407" s="22" t="s">
        <v>2961</v>
      </c>
      <c r="H407" s="22" t="s">
        <v>2962</v>
      </c>
      <c r="I407" s="22" t="s">
        <v>2963</v>
      </c>
      <c r="J407" s="22" t="s">
        <v>685</v>
      </c>
    </row>
    <row r="408" spans="1:10" x14ac:dyDescent="0.25">
      <c r="A408" s="22" t="s">
        <v>43</v>
      </c>
      <c r="B408" s="24" t="s">
        <v>8</v>
      </c>
      <c r="C408" s="22" t="s">
        <v>2964</v>
      </c>
      <c r="D408" s="22" t="s">
        <v>2965</v>
      </c>
      <c r="E408" s="22" t="s">
        <v>2966</v>
      </c>
      <c r="F408" s="22" t="s">
        <v>2967</v>
      </c>
      <c r="G408" s="22" t="s">
        <v>2968</v>
      </c>
      <c r="H408" s="22" t="s">
        <v>958</v>
      </c>
      <c r="I408" s="22" t="s">
        <v>2969</v>
      </c>
      <c r="J408" s="22" t="s">
        <v>233</v>
      </c>
    </row>
    <row r="409" spans="1:10" x14ac:dyDescent="0.25">
      <c r="A409" s="22" t="s">
        <v>43</v>
      </c>
      <c r="B409" s="24" t="s">
        <v>9</v>
      </c>
      <c r="C409" s="22" t="s">
        <v>2970</v>
      </c>
      <c r="D409" s="22" t="s">
        <v>2971</v>
      </c>
      <c r="E409" s="22" t="s">
        <v>2972</v>
      </c>
      <c r="F409" s="22" t="s">
        <v>2973</v>
      </c>
      <c r="G409" s="22" t="s">
        <v>2974</v>
      </c>
      <c r="H409" s="22" t="s">
        <v>2975</v>
      </c>
      <c r="I409" s="22" t="s">
        <v>2976</v>
      </c>
      <c r="J409" s="22" t="s">
        <v>2612</v>
      </c>
    </row>
    <row r="410" spans="1:10" x14ac:dyDescent="0.25">
      <c r="A410" s="22" t="s">
        <v>43</v>
      </c>
      <c r="B410" s="24" t="s">
        <v>10</v>
      </c>
      <c r="C410" s="22" t="s">
        <v>2977</v>
      </c>
      <c r="D410" s="22" t="s">
        <v>2582</v>
      </c>
      <c r="E410" s="22" t="s">
        <v>2978</v>
      </c>
      <c r="F410" s="22" t="s">
        <v>2979</v>
      </c>
      <c r="G410" s="22" t="s">
        <v>2980</v>
      </c>
      <c r="H410" s="22" t="s">
        <v>2981</v>
      </c>
      <c r="I410" s="22" t="s">
        <v>2982</v>
      </c>
      <c r="J410" s="22" t="s">
        <v>244</v>
      </c>
    </row>
    <row r="411" spans="1:10" x14ac:dyDescent="0.25">
      <c r="A411" s="22" t="s">
        <v>43</v>
      </c>
      <c r="B411" s="24" t="s">
        <v>11</v>
      </c>
      <c r="C411" s="22" t="s">
        <v>2983</v>
      </c>
      <c r="D411" s="22" t="s">
        <v>2504</v>
      </c>
      <c r="E411" s="22" t="s">
        <v>2984</v>
      </c>
      <c r="F411" s="22" t="s">
        <v>2985</v>
      </c>
      <c r="G411" s="22" t="s">
        <v>2986</v>
      </c>
      <c r="H411" s="22" t="s">
        <v>2987</v>
      </c>
      <c r="I411" s="22" t="s">
        <v>2988</v>
      </c>
      <c r="J411" s="22" t="s">
        <v>661</v>
      </c>
    </row>
    <row r="412" spans="1:10" x14ac:dyDescent="0.25">
      <c r="A412" s="22" t="s">
        <v>43</v>
      </c>
      <c r="B412" s="24" t="s">
        <v>12</v>
      </c>
      <c r="C412" s="22" t="s">
        <v>2989</v>
      </c>
      <c r="D412" s="22" t="s">
        <v>2990</v>
      </c>
      <c r="E412" s="22" t="s">
        <v>2991</v>
      </c>
      <c r="F412" s="22" t="s">
        <v>2992</v>
      </c>
      <c r="G412" s="22" t="s">
        <v>2993</v>
      </c>
      <c r="H412" s="22" t="s">
        <v>2994</v>
      </c>
      <c r="I412" s="22" t="s">
        <v>2995</v>
      </c>
      <c r="J412" s="22" t="s">
        <v>202</v>
      </c>
    </row>
    <row r="413" spans="1:10" x14ac:dyDescent="0.25">
      <c r="A413" s="22" t="s">
        <v>43</v>
      </c>
      <c r="B413" s="24" t="s">
        <v>13</v>
      </c>
      <c r="C413" s="22" t="s">
        <v>2996</v>
      </c>
      <c r="D413" s="22" t="s">
        <v>2575</v>
      </c>
      <c r="E413" s="22" t="s">
        <v>2997</v>
      </c>
      <c r="F413" s="22" t="s">
        <v>2998</v>
      </c>
      <c r="G413" s="22" t="s">
        <v>2999</v>
      </c>
      <c r="H413" s="22" t="s">
        <v>3000</v>
      </c>
      <c r="I413" s="22" t="s">
        <v>3001</v>
      </c>
      <c r="J413" s="22" t="s">
        <v>1095</v>
      </c>
    </row>
    <row r="414" spans="1:10" x14ac:dyDescent="0.25">
      <c r="A414" s="22" t="s">
        <v>43</v>
      </c>
      <c r="B414" s="24" t="s">
        <v>14</v>
      </c>
      <c r="C414" s="22" t="s">
        <v>3002</v>
      </c>
      <c r="D414" s="22" t="s">
        <v>3003</v>
      </c>
      <c r="E414" s="22" t="s">
        <v>3004</v>
      </c>
      <c r="F414" s="22" t="s">
        <v>3005</v>
      </c>
      <c r="G414" s="22" t="s">
        <v>3006</v>
      </c>
      <c r="H414" s="22" t="s">
        <v>3007</v>
      </c>
      <c r="I414" s="22" t="s">
        <v>3008</v>
      </c>
      <c r="J414" s="22" t="s">
        <v>1159</v>
      </c>
    </row>
    <row r="415" spans="1:10" x14ac:dyDescent="0.25">
      <c r="A415" s="22" t="s">
        <v>43</v>
      </c>
      <c r="B415" s="24" t="s">
        <v>15</v>
      </c>
      <c r="C415" s="22" t="s">
        <v>3009</v>
      </c>
      <c r="D415" s="22" t="s">
        <v>3010</v>
      </c>
      <c r="E415" s="22" t="s">
        <v>3011</v>
      </c>
      <c r="F415" s="22" t="s">
        <v>3012</v>
      </c>
      <c r="G415" s="22" t="s">
        <v>3013</v>
      </c>
      <c r="H415" s="22" t="s">
        <v>2053</v>
      </c>
      <c r="I415" s="22" t="s">
        <v>3014</v>
      </c>
      <c r="J415" s="22" t="s">
        <v>357</v>
      </c>
    </row>
    <row r="416" spans="1:10" x14ac:dyDescent="0.25">
      <c r="A416" s="22" t="s">
        <v>43</v>
      </c>
      <c r="B416" s="24" t="s">
        <v>16</v>
      </c>
      <c r="C416" s="22" t="s">
        <v>3015</v>
      </c>
      <c r="D416" s="22" t="s">
        <v>3016</v>
      </c>
      <c r="E416" s="22" t="s">
        <v>3017</v>
      </c>
      <c r="F416" s="22" t="s">
        <v>3018</v>
      </c>
      <c r="G416" s="22" t="s">
        <v>2785</v>
      </c>
      <c r="H416" s="22" t="s">
        <v>377</v>
      </c>
      <c r="I416" s="22" t="s">
        <v>3019</v>
      </c>
      <c r="J416" s="22" t="s">
        <v>3020</v>
      </c>
    </row>
    <row r="417" spans="1:10" x14ac:dyDescent="0.25">
      <c r="A417" s="22" t="s">
        <v>43</v>
      </c>
      <c r="B417" s="24" t="s">
        <v>17</v>
      </c>
      <c r="C417" s="22" t="s">
        <v>3021</v>
      </c>
      <c r="D417" s="22" t="s">
        <v>3022</v>
      </c>
      <c r="E417" s="22" t="s">
        <v>3023</v>
      </c>
      <c r="F417" s="22" t="s">
        <v>3024</v>
      </c>
      <c r="G417" s="22" t="s">
        <v>3025</v>
      </c>
      <c r="H417" s="22" t="s">
        <v>3026</v>
      </c>
      <c r="I417" s="22" t="s">
        <v>3027</v>
      </c>
      <c r="J417" s="22" t="s">
        <v>2675</v>
      </c>
    </row>
    <row r="418" spans="1:10" x14ac:dyDescent="0.25">
      <c r="A418" s="22" t="s">
        <v>43</v>
      </c>
      <c r="B418" s="24" t="s">
        <v>18</v>
      </c>
      <c r="C418" s="22" t="s">
        <v>3028</v>
      </c>
      <c r="D418" s="22" t="s">
        <v>3029</v>
      </c>
      <c r="E418" s="22" t="s">
        <v>3030</v>
      </c>
      <c r="F418" s="22" t="s">
        <v>3031</v>
      </c>
      <c r="G418" s="22" t="s">
        <v>3032</v>
      </c>
      <c r="H418" s="22" t="s">
        <v>1246</v>
      </c>
      <c r="I418" s="22" t="s">
        <v>3033</v>
      </c>
      <c r="J418" s="22" t="s">
        <v>807</v>
      </c>
    </row>
    <row r="419" spans="1:10" x14ac:dyDescent="0.25">
      <c r="A419" s="22" t="s">
        <v>43</v>
      </c>
      <c r="B419" s="24" t="s">
        <v>19</v>
      </c>
      <c r="C419" s="22" t="s">
        <v>3034</v>
      </c>
      <c r="D419" s="22" t="s">
        <v>3035</v>
      </c>
      <c r="E419" s="22" t="s">
        <v>3036</v>
      </c>
      <c r="F419" s="22" t="s">
        <v>3037</v>
      </c>
      <c r="G419" s="22" t="s">
        <v>2586</v>
      </c>
      <c r="H419" s="22" t="s">
        <v>350</v>
      </c>
      <c r="I419" s="22" t="s">
        <v>3038</v>
      </c>
      <c r="J419" s="22" t="s">
        <v>693</v>
      </c>
    </row>
    <row r="420" spans="1:10" x14ac:dyDescent="0.25">
      <c r="A420" s="22" t="s">
        <v>43</v>
      </c>
      <c r="B420" s="24" t="s">
        <v>20</v>
      </c>
      <c r="C420" s="22" t="s">
        <v>3039</v>
      </c>
      <c r="D420" s="22" t="s">
        <v>3040</v>
      </c>
      <c r="E420" s="22" t="s">
        <v>3041</v>
      </c>
      <c r="F420" s="22" t="s">
        <v>3042</v>
      </c>
      <c r="G420" s="22" t="s">
        <v>2914</v>
      </c>
      <c r="H420" s="22" t="s">
        <v>243</v>
      </c>
      <c r="I420" s="22" t="s">
        <v>3043</v>
      </c>
      <c r="J420" s="22" t="s">
        <v>3044</v>
      </c>
    </row>
    <row r="421" spans="1:10" x14ac:dyDescent="0.25">
      <c r="A421" s="22" t="s">
        <v>43</v>
      </c>
      <c r="B421" s="24" t="s">
        <v>21</v>
      </c>
      <c r="C421" s="22" t="s">
        <v>3045</v>
      </c>
      <c r="D421" s="22" t="s">
        <v>3046</v>
      </c>
      <c r="E421" s="22" t="s">
        <v>3047</v>
      </c>
      <c r="F421" s="22" t="s">
        <v>3048</v>
      </c>
      <c r="G421" s="22" t="s">
        <v>1116</v>
      </c>
      <c r="H421" s="22" t="s">
        <v>1053</v>
      </c>
      <c r="I421" s="22" t="s">
        <v>3049</v>
      </c>
      <c r="J421" s="22" t="s">
        <v>727</v>
      </c>
    </row>
    <row r="422" spans="1:10" x14ac:dyDescent="0.25">
      <c r="A422" s="22" t="s">
        <v>43</v>
      </c>
      <c r="B422" s="24" t="s">
        <v>22</v>
      </c>
      <c r="C422" s="22" t="s">
        <v>3050</v>
      </c>
      <c r="D422" s="22" t="s">
        <v>3051</v>
      </c>
      <c r="E422" s="22" t="s">
        <v>3052</v>
      </c>
      <c r="F422" s="22" t="s">
        <v>3053</v>
      </c>
      <c r="G422" s="22" t="s">
        <v>505</v>
      </c>
      <c r="H422" s="22" t="s">
        <v>237</v>
      </c>
      <c r="I422" s="22" t="s">
        <v>3054</v>
      </c>
      <c r="J422" s="22" t="s">
        <v>750</v>
      </c>
    </row>
    <row r="423" spans="1:10" x14ac:dyDescent="0.25">
      <c r="A423" s="22" t="s">
        <v>43</v>
      </c>
      <c r="B423" s="24" t="s">
        <v>23</v>
      </c>
      <c r="C423" s="22" t="s">
        <v>3055</v>
      </c>
      <c r="D423" s="22" t="s">
        <v>3056</v>
      </c>
      <c r="E423" s="22" t="s">
        <v>3057</v>
      </c>
      <c r="F423" s="22" t="s">
        <v>3058</v>
      </c>
      <c r="G423" s="22" t="s">
        <v>2618</v>
      </c>
      <c r="H423" s="22" t="s">
        <v>1879</v>
      </c>
      <c r="I423" s="22" t="s">
        <v>3059</v>
      </c>
      <c r="J423" s="22" t="s">
        <v>727</v>
      </c>
    </row>
    <row r="424" spans="1:10" x14ac:dyDescent="0.25">
      <c r="A424" s="22" t="s">
        <v>46</v>
      </c>
      <c r="B424" s="24" t="s">
        <v>4</v>
      </c>
      <c r="C424" s="22" t="s">
        <v>3060</v>
      </c>
      <c r="D424" s="22" t="s">
        <v>3061</v>
      </c>
      <c r="E424" s="22" t="s">
        <v>3062</v>
      </c>
      <c r="F424" s="22" t="s">
        <v>3063</v>
      </c>
      <c r="G424" s="22" t="s">
        <v>2414</v>
      </c>
      <c r="H424" s="22" t="s">
        <v>2631</v>
      </c>
      <c r="I424" s="22" t="s">
        <v>3064</v>
      </c>
      <c r="J424" s="22" t="s">
        <v>2862</v>
      </c>
    </row>
    <row r="425" spans="1:10" x14ac:dyDescent="0.25">
      <c r="A425" s="22" t="s">
        <v>46</v>
      </c>
      <c r="B425" s="24" t="s">
        <v>5</v>
      </c>
      <c r="C425" s="22" t="s">
        <v>3065</v>
      </c>
      <c r="D425" s="22" t="s">
        <v>3066</v>
      </c>
      <c r="E425" s="22" t="s">
        <v>3067</v>
      </c>
      <c r="F425" s="22" t="s">
        <v>3068</v>
      </c>
      <c r="G425" s="22" t="s">
        <v>3069</v>
      </c>
      <c r="H425" s="22" t="s">
        <v>1095</v>
      </c>
      <c r="I425" s="22" t="s">
        <v>3070</v>
      </c>
      <c r="J425" s="22" t="s">
        <v>1636</v>
      </c>
    </row>
    <row r="426" spans="1:10" x14ac:dyDescent="0.25">
      <c r="A426" s="22" t="s">
        <v>46</v>
      </c>
      <c r="B426" s="24" t="s">
        <v>6</v>
      </c>
      <c r="C426" s="22" t="s">
        <v>3071</v>
      </c>
      <c r="D426" s="22" t="s">
        <v>2510</v>
      </c>
      <c r="E426" s="22" t="s">
        <v>3072</v>
      </c>
      <c r="F426" s="22" t="s">
        <v>3073</v>
      </c>
      <c r="G426" s="22" t="s">
        <v>3069</v>
      </c>
      <c r="H426" s="22" t="s">
        <v>765</v>
      </c>
      <c r="I426" s="22" t="s">
        <v>3074</v>
      </c>
      <c r="J426" s="22" t="s">
        <v>266</v>
      </c>
    </row>
    <row r="427" spans="1:10" x14ac:dyDescent="0.25">
      <c r="A427" s="22" t="s">
        <v>46</v>
      </c>
      <c r="B427" s="24" t="s">
        <v>7</v>
      </c>
      <c r="C427" s="22" t="s">
        <v>3075</v>
      </c>
      <c r="D427" s="22" t="s">
        <v>3076</v>
      </c>
      <c r="E427" s="22" t="s">
        <v>3077</v>
      </c>
      <c r="F427" s="22" t="s">
        <v>3078</v>
      </c>
      <c r="G427" s="22" t="s">
        <v>1268</v>
      </c>
      <c r="H427" s="22" t="s">
        <v>608</v>
      </c>
      <c r="I427" s="22" t="s">
        <v>3079</v>
      </c>
      <c r="J427" s="22" t="s">
        <v>3080</v>
      </c>
    </row>
    <row r="428" spans="1:10" x14ac:dyDescent="0.25">
      <c r="A428" s="22" t="s">
        <v>46</v>
      </c>
      <c r="B428" s="24" t="s">
        <v>8</v>
      </c>
      <c r="C428" s="22" t="s">
        <v>3081</v>
      </c>
      <c r="D428" s="22" t="s">
        <v>1478</v>
      </c>
      <c r="E428" s="22" t="s">
        <v>3082</v>
      </c>
      <c r="F428" s="22" t="s">
        <v>3083</v>
      </c>
      <c r="G428" s="22" t="s">
        <v>3084</v>
      </c>
      <c r="H428" s="22" t="s">
        <v>1443</v>
      </c>
      <c r="I428" s="22" t="s">
        <v>3085</v>
      </c>
      <c r="J428" s="22" t="s">
        <v>1656</v>
      </c>
    </row>
    <row r="429" spans="1:10" x14ac:dyDescent="0.25">
      <c r="A429" s="22" t="s">
        <v>46</v>
      </c>
      <c r="B429" s="24" t="s">
        <v>9</v>
      </c>
      <c r="C429" s="22" t="s">
        <v>3086</v>
      </c>
      <c r="D429" s="22" t="s">
        <v>3087</v>
      </c>
      <c r="E429" s="22" t="s">
        <v>3088</v>
      </c>
      <c r="F429" s="22" t="s">
        <v>3089</v>
      </c>
      <c r="G429" s="22" t="s">
        <v>3090</v>
      </c>
      <c r="H429" s="22" t="s">
        <v>2461</v>
      </c>
      <c r="I429" s="22" t="s">
        <v>3091</v>
      </c>
      <c r="J429" s="22" t="s">
        <v>660</v>
      </c>
    </row>
    <row r="430" spans="1:10" x14ac:dyDescent="0.25">
      <c r="A430" s="22" t="s">
        <v>46</v>
      </c>
      <c r="B430" s="24" t="s">
        <v>10</v>
      </c>
      <c r="C430" s="22" t="s">
        <v>3092</v>
      </c>
      <c r="D430" s="22" t="s">
        <v>3093</v>
      </c>
      <c r="E430" s="22" t="s">
        <v>3094</v>
      </c>
      <c r="F430" s="22" t="s">
        <v>3095</v>
      </c>
      <c r="G430" s="22" t="s">
        <v>3096</v>
      </c>
      <c r="H430" s="22" t="s">
        <v>692</v>
      </c>
      <c r="I430" s="22" t="s">
        <v>3097</v>
      </c>
      <c r="J430" s="22" t="s">
        <v>988</v>
      </c>
    </row>
    <row r="431" spans="1:10" x14ac:dyDescent="0.25">
      <c r="A431" s="22" t="s">
        <v>46</v>
      </c>
      <c r="B431" s="24" t="s">
        <v>11</v>
      </c>
      <c r="C431" s="22" t="s">
        <v>3098</v>
      </c>
      <c r="D431" s="22" t="s">
        <v>3099</v>
      </c>
      <c r="E431" s="22" t="s">
        <v>3100</v>
      </c>
      <c r="F431" s="22" t="s">
        <v>3101</v>
      </c>
      <c r="G431" s="22" t="s">
        <v>3025</v>
      </c>
      <c r="H431" s="22" t="s">
        <v>1443</v>
      </c>
      <c r="I431" s="22" t="s">
        <v>3102</v>
      </c>
      <c r="J431" s="22" t="s">
        <v>3103</v>
      </c>
    </row>
    <row r="432" spans="1:10" x14ac:dyDescent="0.25">
      <c r="A432" s="22" t="s">
        <v>46</v>
      </c>
      <c r="B432" s="24" t="s">
        <v>12</v>
      </c>
      <c r="C432" s="22" t="s">
        <v>3104</v>
      </c>
      <c r="D432" s="22" t="s">
        <v>3105</v>
      </c>
      <c r="E432" s="22" t="s">
        <v>3106</v>
      </c>
      <c r="F432" s="22" t="s">
        <v>3107</v>
      </c>
      <c r="G432" s="22" t="s">
        <v>3108</v>
      </c>
      <c r="H432" s="22" t="s">
        <v>780</v>
      </c>
      <c r="I432" s="22" t="s">
        <v>3109</v>
      </c>
      <c r="J432" s="22" t="s">
        <v>3110</v>
      </c>
    </row>
    <row r="433" spans="1:10" x14ac:dyDescent="0.25">
      <c r="A433" s="22" t="s">
        <v>46</v>
      </c>
      <c r="B433" s="24" t="s">
        <v>13</v>
      </c>
      <c r="C433" s="22" t="s">
        <v>3111</v>
      </c>
      <c r="D433" s="22" t="s">
        <v>3112</v>
      </c>
      <c r="E433" s="22" t="s">
        <v>3113</v>
      </c>
      <c r="F433" s="22" t="s">
        <v>3114</v>
      </c>
      <c r="G433" s="22" t="s">
        <v>2637</v>
      </c>
      <c r="H433" s="22" t="s">
        <v>1385</v>
      </c>
      <c r="I433" s="22" t="s">
        <v>3115</v>
      </c>
      <c r="J433" s="22" t="s">
        <v>418</v>
      </c>
    </row>
    <row r="434" spans="1:10" x14ac:dyDescent="0.25">
      <c r="A434" s="22" t="s">
        <v>46</v>
      </c>
      <c r="B434" s="24" t="s">
        <v>14</v>
      </c>
      <c r="C434" s="22" t="s">
        <v>3116</v>
      </c>
      <c r="D434" s="22" t="s">
        <v>3117</v>
      </c>
      <c r="E434" s="22" t="s">
        <v>3118</v>
      </c>
      <c r="F434" s="22" t="s">
        <v>3119</v>
      </c>
      <c r="G434" s="22" t="s">
        <v>3120</v>
      </c>
      <c r="H434" s="22" t="s">
        <v>685</v>
      </c>
      <c r="I434" s="22" t="s">
        <v>3121</v>
      </c>
      <c r="J434" s="22" t="s">
        <v>838</v>
      </c>
    </row>
    <row r="435" spans="1:10" x14ac:dyDescent="0.25">
      <c r="A435" s="22" t="s">
        <v>46</v>
      </c>
      <c r="B435" s="24" t="s">
        <v>15</v>
      </c>
      <c r="C435" s="22" t="s">
        <v>3122</v>
      </c>
      <c r="D435" s="22" t="s">
        <v>3123</v>
      </c>
      <c r="E435" s="22" t="s">
        <v>3124</v>
      </c>
      <c r="F435" s="22" t="s">
        <v>3125</v>
      </c>
      <c r="G435" s="22" t="s">
        <v>3120</v>
      </c>
      <c r="H435" s="22" t="s">
        <v>1263</v>
      </c>
      <c r="I435" s="22" t="s">
        <v>3126</v>
      </c>
      <c r="J435" s="22" t="s">
        <v>1002</v>
      </c>
    </row>
    <row r="436" spans="1:10" x14ac:dyDescent="0.25">
      <c r="A436" s="22" t="s">
        <v>46</v>
      </c>
      <c r="B436" s="24" t="s">
        <v>16</v>
      </c>
      <c r="C436" s="22" t="s">
        <v>3127</v>
      </c>
      <c r="D436" s="22" t="s">
        <v>3128</v>
      </c>
      <c r="E436" s="22" t="s">
        <v>3129</v>
      </c>
      <c r="F436" s="22" t="s">
        <v>3130</v>
      </c>
      <c r="G436" s="22" t="s">
        <v>2768</v>
      </c>
      <c r="H436" s="22" t="s">
        <v>208</v>
      </c>
      <c r="I436" s="22" t="s">
        <v>3131</v>
      </c>
      <c r="J436" s="22" t="s">
        <v>1104</v>
      </c>
    </row>
    <row r="437" spans="1:10" x14ac:dyDescent="0.25">
      <c r="A437" s="22" t="s">
        <v>46</v>
      </c>
      <c r="B437" s="24" t="s">
        <v>17</v>
      </c>
      <c r="C437" s="22" t="s">
        <v>3132</v>
      </c>
      <c r="D437" s="22" t="s">
        <v>3133</v>
      </c>
      <c r="E437" s="22" t="s">
        <v>3134</v>
      </c>
      <c r="F437" s="22" t="s">
        <v>3135</v>
      </c>
      <c r="G437" s="22" t="s">
        <v>3136</v>
      </c>
      <c r="H437" s="22" t="s">
        <v>495</v>
      </c>
      <c r="I437" s="22" t="s">
        <v>3137</v>
      </c>
      <c r="J437" s="22" t="s">
        <v>352</v>
      </c>
    </row>
    <row r="438" spans="1:10" x14ac:dyDescent="0.25">
      <c r="A438" s="22" t="s">
        <v>46</v>
      </c>
      <c r="B438" s="24" t="s">
        <v>18</v>
      </c>
      <c r="C438" s="22" t="s">
        <v>3138</v>
      </c>
      <c r="D438" s="22" t="s">
        <v>3139</v>
      </c>
      <c r="E438" s="22" t="s">
        <v>3140</v>
      </c>
      <c r="F438" s="22" t="s">
        <v>3141</v>
      </c>
      <c r="G438" s="22" t="s">
        <v>416</v>
      </c>
      <c r="H438" s="22" t="s">
        <v>1309</v>
      </c>
      <c r="I438" s="22" t="s">
        <v>3142</v>
      </c>
      <c r="J438" s="22" t="s">
        <v>3143</v>
      </c>
    </row>
    <row r="439" spans="1:10" x14ac:dyDescent="0.25">
      <c r="A439" s="22" t="s">
        <v>46</v>
      </c>
      <c r="B439" s="24" t="s">
        <v>19</v>
      </c>
      <c r="C439" s="22" t="s">
        <v>3144</v>
      </c>
      <c r="D439" s="22" t="s">
        <v>3145</v>
      </c>
      <c r="E439" s="22" t="s">
        <v>3146</v>
      </c>
      <c r="F439" s="22" t="s">
        <v>3147</v>
      </c>
      <c r="G439" s="22" t="s">
        <v>416</v>
      </c>
      <c r="H439" s="22" t="s">
        <v>1516</v>
      </c>
      <c r="I439" s="22" t="s">
        <v>3148</v>
      </c>
      <c r="J439" s="22" t="s">
        <v>2238</v>
      </c>
    </row>
    <row r="440" spans="1:10" x14ac:dyDescent="0.25">
      <c r="A440" s="22" t="s">
        <v>46</v>
      </c>
      <c r="B440" s="24" t="s">
        <v>20</v>
      </c>
      <c r="C440" s="22" t="s">
        <v>3149</v>
      </c>
      <c r="D440" s="22" t="s">
        <v>3150</v>
      </c>
      <c r="E440" s="22" t="s">
        <v>3151</v>
      </c>
      <c r="F440" s="22" t="s">
        <v>3152</v>
      </c>
      <c r="G440" s="22" t="s">
        <v>3153</v>
      </c>
      <c r="H440" s="22" t="s">
        <v>1805</v>
      </c>
      <c r="I440" s="22" t="s">
        <v>3154</v>
      </c>
      <c r="J440" s="22" t="s">
        <v>3155</v>
      </c>
    </row>
    <row r="441" spans="1:10" x14ac:dyDescent="0.25">
      <c r="A441" s="22" t="s">
        <v>46</v>
      </c>
      <c r="B441" s="24" t="s">
        <v>21</v>
      </c>
      <c r="C441" s="22" t="s">
        <v>3156</v>
      </c>
      <c r="D441" s="22" t="s">
        <v>3157</v>
      </c>
      <c r="E441" s="22" t="s">
        <v>3158</v>
      </c>
      <c r="F441" s="22" t="s">
        <v>3159</v>
      </c>
      <c r="G441" s="22" t="s">
        <v>2797</v>
      </c>
      <c r="H441" s="22" t="s">
        <v>478</v>
      </c>
      <c r="I441" s="22" t="s">
        <v>3160</v>
      </c>
      <c r="J441" s="22" t="s">
        <v>3110</v>
      </c>
    </row>
    <row r="442" spans="1:10" x14ac:dyDescent="0.25">
      <c r="A442" s="22" t="s">
        <v>46</v>
      </c>
      <c r="B442" s="24" t="s">
        <v>22</v>
      </c>
      <c r="C442" s="22" t="s">
        <v>3161</v>
      </c>
      <c r="D442" s="22" t="s">
        <v>3162</v>
      </c>
      <c r="E442" s="22" t="s">
        <v>3163</v>
      </c>
      <c r="F442" s="22" t="s">
        <v>3164</v>
      </c>
      <c r="G442" s="22" t="s">
        <v>2797</v>
      </c>
      <c r="H442" s="22" t="s">
        <v>3044</v>
      </c>
      <c r="I442" s="22" t="s">
        <v>3165</v>
      </c>
      <c r="J442" s="22" t="s">
        <v>797</v>
      </c>
    </row>
    <row r="443" spans="1:10" x14ac:dyDescent="0.25">
      <c r="A443" s="22" t="s">
        <v>46</v>
      </c>
      <c r="B443" s="24" t="s">
        <v>23</v>
      </c>
      <c r="C443" s="22" t="s">
        <v>3166</v>
      </c>
      <c r="D443" s="22" t="s">
        <v>3167</v>
      </c>
      <c r="E443" s="22" t="s">
        <v>3168</v>
      </c>
      <c r="F443" s="22" t="s">
        <v>3169</v>
      </c>
      <c r="G443" s="22" t="s">
        <v>3170</v>
      </c>
      <c r="H443" s="22" t="s">
        <v>2081</v>
      </c>
      <c r="I443" s="22" t="s">
        <v>3171</v>
      </c>
      <c r="J443" s="22" t="s">
        <v>3172</v>
      </c>
    </row>
    <row r="444" spans="1:10" x14ac:dyDescent="0.25">
      <c r="A444" s="22" t="s">
        <v>47</v>
      </c>
      <c r="B444" s="24" t="s">
        <v>4</v>
      </c>
      <c r="C444" s="22" t="s">
        <v>3173</v>
      </c>
      <c r="D444" s="22" t="s">
        <v>3174</v>
      </c>
      <c r="E444" s="22" t="s">
        <v>3175</v>
      </c>
      <c r="F444" s="22" t="s">
        <v>3176</v>
      </c>
      <c r="G444" s="22" t="s">
        <v>3177</v>
      </c>
      <c r="H444" s="22" t="s">
        <v>3178</v>
      </c>
      <c r="I444" s="22" t="s">
        <v>3179</v>
      </c>
      <c r="J444" s="22" t="s">
        <v>1827</v>
      </c>
    </row>
    <row r="445" spans="1:10" x14ac:dyDescent="0.25">
      <c r="A445" s="22" t="s">
        <v>47</v>
      </c>
      <c r="B445" s="24" t="s">
        <v>5</v>
      </c>
      <c r="C445" s="22" t="s">
        <v>3180</v>
      </c>
      <c r="D445" s="22" t="s">
        <v>3181</v>
      </c>
      <c r="E445" s="22" t="s">
        <v>3182</v>
      </c>
      <c r="F445" s="22" t="s">
        <v>3183</v>
      </c>
      <c r="G445" s="22" t="s">
        <v>3184</v>
      </c>
      <c r="H445" s="22" t="s">
        <v>3185</v>
      </c>
      <c r="I445" s="22" t="s">
        <v>3186</v>
      </c>
      <c r="J445" s="22" t="s">
        <v>1124</v>
      </c>
    </row>
    <row r="446" spans="1:10" x14ac:dyDescent="0.25">
      <c r="A446" s="22" t="s">
        <v>47</v>
      </c>
      <c r="B446" s="24" t="s">
        <v>6</v>
      </c>
      <c r="C446" s="22" t="s">
        <v>3187</v>
      </c>
      <c r="D446" s="22" t="s">
        <v>3188</v>
      </c>
      <c r="E446" s="22" t="s">
        <v>3189</v>
      </c>
      <c r="F446" s="22" t="s">
        <v>3190</v>
      </c>
      <c r="G446" s="22" t="s">
        <v>3191</v>
      </c>
      <c r="H446" s="22" t="s">
        <v>3192</v>
      </c>
      <c r="I446" s="22" t="s">
        <v>3193</v>
      </c>
      <c r="J446" s="22" t="s">
        <v>1077</v>
      </c>
    </row>
    <row r="447" spans="1:10" x14ac:dyDescent="0.25">
      <c r="A447" s="22" t="s">
        <v>47</v>
      </c>
      <c r="B447" s="24" t="s">
        <v>7</v>
      </c>
      <c r="C447" s="22" t="s">
        <v>3194</v>
      </c>
      <c r="D447" s="22" t="s">
        <v>367</v>
      </c>
      <c r="E447" s="22" t="s">
        <v>3195</v>
      </c>
      <c r="F447" s="22" t="s">
        <v>3196</v>
      </c>
      <c r="G447" s="22" t="s">
        <v>3197</v>
      </c>
      <c r="H447" s="22" t="s">
        <v>3198</v>
      </c>
      <c r="I447" s="22" t="s">
        <v>3199</v>
      </c>
      <c r="J447" s="22" t="s">
        <v>491</v>
      </c>
    </row>
    <row r="448" spans="1:10" x14ac:dyDescent="0.25">
      <c r="A448" s="22" t="s">
        <v>47</v>
      </c>
      <c r="B448" s="24" t="s">
        <v>8</v>
      </c>
      <c r="C448" s="22" t="s">
        <v>3200</v>
      </c>
      <c r="D448" s="22" t="s">
        <v>3201</v>
      </c>
      <c r="E448" s="22" t="s">
        <v>3202</v>
      </c>
      <c r="F448" s="22" t="s">
        <v>3203</v>
      </c>
      <c r="G448" s="22" t="s">
        <v>3204</v>
      </c>
      <c r="H448" s="22" t="s">
        <v>3205</v>
      </c>
      <c r="I448" s="22" t="s">
        <v>3206</v>
      </c>
      <c r="J448" s="22" t="s">
        <v>1286</v>
      </c>
    </row>
    <row r="449" spans="1:10" x14ac:dyDescent="0.25">
      <c r="A449" s="22" t="s">
        <v>47</v>
      </c>
      <c r="B449" s="24" t="s">
        <v>9</v>
      </c>
      <c r="C449" s="22" t="s">
        <v>3207</v>
      </c>
      <c r="D449" s="22" t="s">
        <v>3208</v>
      </c>
      <c r="E449" s="22" t="s">
        <v>3209</v>
      </c>
      <c r="F449" s="22" t="s">
        <v>3210</v>
      </c>
      <c r="G449" s="22" t="s">
        <v>3211</v>
      </c>
      <c r="H449" s="22" t="s">
        <v>2167</v>
      </c>
      <c r="I449" s="22" t="s">
        <v>3212</v>
      </c>
      <c r="J449" s="22" t="s">
        <v>512</v>
      </c>
    </row>
    <row r="450" spans="1:10" x14ac:dyDescent="0.25">
      <c r="A450" s="22" t="s">
        <v>47</v>
      </c>
      <c r="B450" s="24" t="s">
        <v>10</v>
      </c>
      <c r="C450" s="22" t="s">
        <v>3213</v>
      </c>
      <c r="D450" s="22" t="s">
        <v>3214</v>
      </c>
      <c r="E450" s="22" t="s">
        <v>3215</v>
      </c>
      <c r="F450" s="22" t="s">
        <v>3216</v>
      </c>
      <c r="G450" s="22" t="s">
        <v>3217</v>
      </c>
      <c r="H450" s="22" t="s">
        <v>3218</v>
      </c>
      <c r="I450" s="22" t="s">
        <v>3219</v>
      </c>
      <c r="J450" s="22" t="s">
        <v>693</v>
      </c>
    </row>
    <row r="451" spans="1:10" x14ac:dyDescent="0.25">
      <c r="A451" s="22" t="s">
        <v>47</v>
      </c>
      <c r="B451" s="24" t="s">
        <v>11</v>
      </c>
      <c r="C451" s="22" t="s">
        <v>3220</v>
      </c>
      <c r="D451" s="22" t="s">
        <v>3221</v>
      </c>
      <c r="E451" s="22" t="s">
        <v>3222</v>
      </c>
      <c r="F451" s="22" t="s">
        <v>3223</v>
      </c>
      <c r="G451" s="22" t="s">
        <v>3224</v>
      </c>
      <c r="H451" s="22" t="s">
        <v>344</v>
      </c>
      <c r="I451" s="22" t="s">
        <v>3225</v>
      </c>
      <c r="J451" s="22" t="s">
        <v>344</v>
      </c>
    </row>
    <row r="452" spans="1:10" x14ac:dyDescent="0.25">
      <c r="A452" s="22" t="s">
        <v>47</v>
      </c>
      <c r="B452" s="24" t="s">
        <v>12</v>
      </c>
      <c r="C452" s="22" t="s">
        <v>3226</v>
      </c>
      <c r="D452" s="22" t="s">
        <v>3227</v>
      </c>
      <c r="E452" s="22" t="s">
        <v>3228</v>
      </c>
      <c r="F452" s="22" t="s">
        <v>3229</v>
      </c>
      <c r="G452" s="22" t="s">
        <v>3230</v>
      </c>
      <c r="H452" s="22" t="s">
        <v>1324</v>
      </c>
      <c r="I452" s="22" t="s">
        <v>3231</v>
      </c>
      <c r="J452" s="22" t="s">
        <v>272</v>
      </c>
    </row>
    <row r="453" spans="1:10" x14ac:dyDescent="0.25">
      <c r="A453" s="22" t="s">
        <v>47</v>
      </c>
      <c r="B453" s="24" t="s">
        <v>13</v>
      </c>
      <c r="C453" s="22" t="s">
        <v>3232</v>
      </c>
      <c r="D453" s="22" t="s">
        <v>3233</v>
      </c>
      <c r="E453" s="22" t="s">
        <v>3234</v>
      </c>
      <c r="F453" s="22" t="s">
        <v>3235</v>
      </c>
      <c r="G453" s="22" t="s">
        <v>3236</v>
      </c>
      <c r="H453" s="22" t="s">
        <v>2662</v>
      </c>
      <c r="I453" s="22" t="s">
        <v>3237</v>
      </c>
      <c r="J453" s="22" t="s">
        <v>1793</v>
      </c>
    </row>
    <row r="454" spans="1:10" x14ac:dyDescent="0.25">
      <c r="A454" s="22" t="s">
        <v>47</v>
      </c>
      <c r="B454" s="24" t="s">
        <v>14</v>
      </c>
      <c r="C454" s="22" t="s">
        <v>3238</v>
      </c>
      <c r="D454" s="22" t="s">
        <v>3239</v>
      </c>
      <c r="E454" s="22" t="s">
        <v>3240</v>
      </c>
      <c r="F454" s="22" t="s">
        <v>3241</v>
      </c>
      <c r="G454" s="22" t="s">
        <v>3242</v>
      </c>
      <c r="H454" s="22" t="s">
        <v>1948</v>
      </c>
      <c r="I454" s="22" t="s">
        <v>3243</v>
      </c>
      <c r="J454" s="22" t="s">
        <v>1246</v>
      </c>
    </row>
    <row r="455" spans="1:10" x14ac:dyDescent="0.25">
      <c r="A455" s="22" t="s">
        <v>47</v>
      </c>
      <c r="B455" s="24" t="s">
        <v>15</v>
      </c>
      <c r="C455" s="22" t="s">
        <v>3244</v>
      </c>
      <c r="D455" s="22" t="s">
        <v>3245</v>
      </c>
      <c r="E455" s="22" t="s">
        <v>3246</v>
      </c>
      <c r="F455" s="22" t="s">
        <v>3247</v>
      </c>
      <c r="G455" s="22" t="s">
        <v>3248</v>
      </c>
      <c r="H455" s="22" t="s">
        <v>2732</v>
      </c>
      <c r="I455" s="22" t="s">
        <v>3249</v>
      </c>
      <c r="J455" s="22" t="s">
        <v>1699</v>
      </c>
    </row>
    <row r="456" spans="1:10" x14ac:dyDescent="0.25">
      <c r="A456" s="22" t="s">
        <v>47</v>
      </c>
      <c r="B456" s="24" t="s">
        <v>16</v>
      </c>
      <c r="C456" s="22" t="s">
        <v>3250</v>
      </c>
      <c r="D456" s="22" t="s">
        <v>3251</v>
      </c>
      <c r="E456" s="22" t="s">
        <v>3252</v>
      </c>
      <c r="F456" s="22" t="s">
        <v>3253</v>
      </c>
      <c r="G456" s="22" t="s">
        <v>3254</v>
      </c>
      <c r="H456" s="22" t="s">
        <v>2732</v>
      </c>
      <c r="I456" s="22" t="s">
        <v>3255</v>
      </c>
      <c r="J456" s="22" t="s">
        <v>3256</v>
      </c>
    </row>
    <row r="457" spans="1:10" x14ac:dyDescent="0.25">
      <c r="A457" s="22" t="s">
        <v>47</v>
      </c>
      <c r="B457" s="24" t="s">
        <v>17</v>
      </c>
      <c r="C457" s="22" t="s">
        <v>3257</v>
      </c>
      <c r="D457" s="22" t="s">
        <v>3258</v>
      </c>
      <c r="E457" s="22" t="s">
        <v>3259</v>
      </c>
      <c r="F457" s="22" t="s">
        <v>3260</v>
      </c>
      <c r="G457" s="22" t="s">
        <v>3261</v>
      </c>
      <c r="H457" s="22" t="s">
        <v>2732</v>
      </c>
      <c r="I457" s="22" t="s">
        <v>3262</v>
      </c>
      <c r="J457" s="22" t="s">
        <v>2283</v>
      </c>
    </row>
    <row r="458" spans="1:10" x14ac:dyDescent="0.25">
      <c r="A458" s="22" t="s">
        <v>47</v>
      </c>
      <c r="B458" s="24" t="s">
        <v>18</v>
      </c>
      <c r="C458" s="22" t="s">
        <v>3263</v>
      </c>
      <c r="D458" s="22" t="s">
        <v>3264</v>
      </c>
      <c r="E458" s="22" t="s">
        <v>3265</v>
      </c>
      <c r="F458" s="22" t="s">
        <v>3266</v>
      </c>
      <c r="G458" s="22" t="s">
        <v>2520</v>
      </c>
      <c r="H458" s="22" t="s">
        <v>1238</v>
      </c>
      <c r="I458" s="22" t="s">
        <v>3267</v>
      </c>
      <c r="J458" s="22" t="s">
        <v>3268</v>
      </c>
    </row>
    <row r="459" spans="1:10" x14ac:dyDescent="0.25">
      <c r="A459" s="22" t="s">
        <v>47</v>
      </c>
      <c r="B459" s="24" t="s">
        <v>19</v>
      </c>
      <c r="C459" s="22" t="s">
        <v>3269</v>
      </c>
      <c r="D459" s="22" t="s">
        <v>3270</v>
      </c>
      <c r="E459" s="22" t="s">
        <v>3271</v>
      </c>
      <c r="F459" s="22" t="s">
        <v>3272</v>
      </c>
      <c r="G459" s="22" t="s">
        <v>3273</v>
      </c>
      <c r="H459" s="22" t="s">
        <v>2692</v>
      </c>
      <c r="I459" s="22" t="s">
        <v>3274</v>
      </c>
      <c r="J459" s="22" t="s">
        <v>3275</v>
      </c>
    </row>
    <row r="460" spans="1:10" x14ac:dyDescent="0.25">
      <c r="A460" s="22" t="s">
        <v>47</v>
      </c>
      <c r="B460" s="24" t="s">
        <v>20</v>
      </c>
      <c r="C460" s="22" t="s">
        <v>3276</v>
      </c>
      <c r="D460" s="22" t="s">
        <v>3277</v>
      </c>
      <c r="E460" s="22" t="s">
        <v>3278</v>
      </c>
      <c r="F460" s="22" t="s">
        <v>3279</v>
      </c>
      <c r="G460" s="22" t="s">
        <v>273</v>
      </c>
      <c r="H460" s="22" t="s">
        <v>1481</v>
      </c>
      <c r="I460" s="22" t="s">
        <v>3280</v>
      </c>
      <c r="J460" s="22" t="s">
        <v>3281</v>
      </c>
    </row>
    <row r="461" spans="1:10" x14ac:dyDescent="0.25">
      <c r="A461" s="22" t="s">
        <v>47</v>
      </c>
      <c r="B461" s="24" t="s">
        <v>21</v>
      </c>
      <c r="C461" s="22" t="s">
        <v>3282</v>
      </c>
      <c r="D461" s="22" t="s">
        <v>3283</v>
      </c>
      <c r="E461" s="22" t="s">
        <v>3284</v>
      </c>
      <c r="F461" s="22" t="s">
        <v>3285</v>
      </c>
      <c r="G461" s="22" t="s">
        <v>1643</v>
      </c>
      <c r="H461" s="22" t="s">
        <v>2075</v>
      </c>
      <c r="I461" s="22" t="s">
        <v>3286</v>
      </c>
      <c r="J461" s="22" t="s">
        <v>3287</v>
      </c>
    </row>
    <row r="462" spans="1:10" x14ac:dyDescent="0.25">
      <c r="A462" s="22" t="s">
        <v>47</v>
      </c>
      <c r="B462" s="24" t="s">
        <v>22</v>
      </c>
      <c r="C462" s="22" t="s">
        <v>3288</v>
      </c>
      <c r="D462" s="22" t="s">
        <v>3289</v>
      </c>
      <c r="E462" s="22" t="s">
        <v>3290</v>
      </c>
      <c r="F462" s="22" t="s">
        <v>3291</v>
      </c>
      <c r="G462" s="22" t="s">
        <v>1635</v>
      </c>
      <c r="H462" s="22" t="s">
        <v>1045</v>
      </c>
      <c r="I462" s="22" t="s">
        <v>3292</v>
      </c>
      <c r="J462" s="22" t="s">
        <v>3293</v>
      </c>
    </row>
    <row r="463" spans="1:10" x14ac:dyDescent="0.25">
      <c r="A463" s="22" t="s">
        <v>47</v>
      </c>
      <c r="B463" s="24" t="s">
        <v>23</v>
      </c>
      <c r="C463" s="22" t="s">
        <v>3294</v>
      </c>
      <c r="D463" s="22" t="s">
        <v>3295</v>
      </c>
      <c r="E463" s="22" t="s">
        <v>3296</v>
      </c>
      <c r="F463" s="22" t="s">
        <v>3297</v>
      </c>
      <c r="G463" s="22" t="s">
        <v>2401</v>
      </c>
      <c r="H463" s="22" t="s">
        <v>1552</v>
      </c>
      <c r="I463" s="22" t="s">
        <v>3298</v>
      </c>
      <c r="J463" s="22" t="s">
        <v>3299</v>
      </c>
    </row>
    <row r="464" spans="1:10" x14ac:dyDescent="0.25">
      <c r="A464" s="22" t="s">
        <v>40</v>
      </c>
      <c r="B464" s="24" t="s">
        <v>4</v>
      </c>
      <c r="C464" s="22" t="s">
        <v>3300</v>
      </c>
      <c r="D464" s="22" t="s">
        <v>3301</v>
      </c>
      <c r="E464" s="22" t="s">
        <v>3302</v>
      </c>
      <c r="F464" s="22" t="s">
        <v>3303</v>
      </c>
      <c r="G464" s="22" t="s">
        <v>2828</v>
      </c>
      <c r="H464" s="22" t="s">
        <v>780</v>
      </c>
      <c r="I464" s="22" t="s">
        <v>3304</v>
      </c>
      <c r="J464" s="22" t="s">
        <v>242</v>
      </c>
    </row>
    <row r="465" spans="1:10" x14ac:dyDescent="0.25">
      <c r="A465" s="22" t="s">
        <v>40</v>
      </c>
      <c r="B465" s="24" t="s">
        <v>5</v>
      </c>
      <c r="C465" s="22" t="s">
        <v>3305</v>
      </c>
      <c r="D465" s="22" t="s">
        <v>2322</v>
      </c>
      <c r="E465" s="22" t="s">
        <v>3306</v>
      </c>
      <c r="F465" s="22" t="s">
        <v>3307</v>
      </c>
      <c r="G465" s="22" t="s">
        <v>3308</v>
      </c>
      <c r="H465" s="22" t="s">
        <v>3309</v>
      </c>
      <c r="I465" s="22" t="s">
        <v>3310</v>
      </c>
      <c r="J465" s="22" t="s">
        <v>3311</v>
      </c>
    </row>
    <row r="466" spans="1:10" x14ac:dyDescent="0.25">
      <c r="A466" s="22" t="s">
        <v>40</v>
      </c>
      <c r="B466" s="24" t="s">
        <v>6</v>
      </c>
      <c r="C466" s="22" t="s">
        <v>3312</v>
      </c>
      <c r="D466" s="22" t="s">
        <v>3313</v>
      </c>
      <c r="E466" s="22" t="s">
        <v>3314</v>
      </c>
      <c r="F466" s="22" t="s">
        <v>3315</v>
      </c>
      <c r="G466" s="22" t="s">
        <v>3316</v>
      </c>
      <c r="H466" s="22" t="s">
        <v>3317</v>
      </c>
      <c r="I466" s="22" t="s">
        <v>3318</v>
      </c>
      <c r="J466" s="22" t="s">
        <v>314</v>
      </c>
    </row>
    <row r="467" spans="1:10" x14ac:dyDescent="0.25">
      <c r="A467" s="22" t="s">
        <v>40</v>
      </c>
      <c r="B467" s="24" t="s">
        <v>7</v>
      </c>
      <c r="C467" s="22" t="s">
        <v>3319</v>
      </c>
      <c r="D467" s="22" t="s">
        <v>3320</v>
      </c>
      <c r="E467" s="22" t="s">
        <v>3321</v>
      </c>
      <c r="F467" s="22" t="s">
        <v>3322</v>
      </c>
      <c r="G467" s="22" t="s">
        <v>3323</v>
      </c>
      <c r="H467" s="22" t="s">
        <v>2720</v>
      </c>
      <c r="I467" s="22" t="s">
        <v>3324</v>
      </c>
      <c r="J467" s="22" t="s">
        <v>557</v>
      </c>
    </row>
    <row r="468" spans="1:10" x14ac:dyDescent="0.25">
      <c r="A468" s="22" t="s">
        <v>40</v>
      </c>
      <c r="B468" s="24" t="s">
        <v>8</v>
      </c>
      <c r="C468" s="22" t="s">
        <v>3325</v>
      </c>
      <c r="D468" s="22" t="s">
        <v>428</v>
      </c>
      <c r="E468" s="22" t="s">
        <v>3326</v>
      </c>
      <c r="F468" s="22" t="s">
        <v>3327</v>
      </c>
      <c r="G468" s="22" t="s">
        <v>1524</v>
      </c>
      <c r="H468" s="22" t="s">
        <v>1950</v>
      </c>
      <c r="I468" s="22" t="s">
        <v>3328</v>
      </c>
      <c r="J468" s="22" t="s">
        <v>3329</v>
      </c>
    </row>
    <row r="469" spans="1:10" x14ac:dyDescent="0.25">
      <c r="A469" s="22" t="s">
        <v>40</v>
      </c>
      <c r="B469" s="24" t="s">
        <v>9</v>
      </c>
      <c r="C469" s="22" t="s">
        <v>3330</v>
      </c>
      <c r="D469" s="22" t="s">
        <v>3331</v>
      </c>
      <c r="E469" s="22" t="s">
        <v>3332</v>
      </c>
      <c r="F469" s="22" t="s">
        <v>3333</v>
      </c>
      <c r="G469" s="22" t="s">
        <v>485</v>
      </c>
      <c r="H469" s="22" t="s">
        <v>1722</v>
      </c>
      <c r="I469" s="22" t="s">
        <v>3334</v>
      </c>
      <c r="J469" s="22" t="s">
        <v>1225</v>
      </c>
    </row>
    <row r="470" spans="1:10" x14ac:dyDescent="0.25">
      <c r="A470" s="22" t="s">
        <v>40</v>
      </c>
      <c r="B470" s="24" t="s">
        <v>10</v>
      </c>
      <c r="C470" s="22" t="s">
        <v>3335</v>
      </c>
      <c r="D470" s="22" t="s">
        <v>833</v>
      </c>
      <c r="E470" s="22" t="s">
        <v>3336</v>
      </c>
      <c r="F470" s="22" t="s">
        <v>3337</v>
      </c>
      <c r="G470" s="22" t="s">
        <v>3338</v>
      </c>
      <c r="H470" s="22" t="s">
        <v>1356</v>
      </c>
      <c r="I470" s="22" t="s">
        <v>3339</v>
      </c>
      <c r="J470" s="22" t="s">
        <v>1239</v>
      </c>
    </row>
    <row r="471" spans="1:10" x14ac:dyDescent="0.25">
      <c r="A471" s="22" t="s">
        <v>40</v>
      </c>
      <c r="B471" s="24" t="s">
        <v>11</v>
      </c>
      <c r="C471" s="22" t="s">
        <v>3340</v>
      </c>
      <c r="D471" s="22" t="s">
        <v>3341</v>
      </c>
      <c r="E471" s="22" t="s">
        <v>3342</v>
      </c>
      <c r="F471" s="22" t="s">
        <v>3343</v>
      </c>
      <c r="G471" s="22" t="s">
        <v>3344</v>
      </c>
      <c r="H471" s="22" t="s">
        <v>3345</v>
      </c>
      <c r="I471" s="22" t="s">
        <v>3346</v>
      </c>
      <c r="J471" s="22" t="s">
        <v>1173</v>
      </c>
    </row>
    <row r="472" spans="1:10" x14ac:dyDescent="0.25">
      <c r="A472" s="22" t="s">
        <v>40</v>
      </c>
      <c r="B472" s="24" t="s">
        <v>12</v>
      </c>
      <c r="C472" s="22" t="s">
        <v>3347</v>
      </c>
      <c r="D472" s="22" t="s">
        <v>3348</v>
      </c>
      <c r="E472" s="22" t="s">
        <v>3349</v>
      </c>
      <c r="F472" s="22" t="s">
        <v>3350</v>
      </c>
      <c r="G472" s="22" t="s">
        <v>2401</v>
      </c>
      <c r="H472" s="22" t="s">
        <v>3000</v>
      </c>
      <c r="I472" s="22" t="s">
        <v>3351</v>
      </c>
      <c r="J472" s="22" t="s">
        <v>736</v>
      </c>
    </row>
    <row r="473" spans="1:10" x14ac:dyDescent="0.25">
      <c r="A473" s="22" t="s">
        <v>40</v>
      </c>
      <c r="B473" s="24" t="s">
        <v>13</v>
      </c>
      <c r="C473" s="22" t="s">
        <v>3352</v>
      </c>
      <c r="D473" s="22" t="s">
        <v>3353</v>
      </c>
      <c r="E473" s="22" t="s">
        <v>3354</v>
      </c>
      <c r="F473" s="22" t="s">
        <v>3355</v>
      </c>
      <c r="G473" s="22" t="s">
        <v>492</v>
      </c>
      <c r="H473" s="22" t="s">
        <v>3356</v>
      </c>
      <c r="I473" s="22" t="s">
        <v>3357</v>
      </c>
      <c r="J473" s="22" t="s">
        <v>686</v>
      </c>
    </row>
    <row r="474" spans="1:10" x14ac:dyDescent="0.25">
      <c r="A474" s="22" t="s">
        <v>40</v>
      </c>
      <c r="B474" s="24" t="s">
        <v>14</v>
      </c>
      <c r="C474" s="22" t="s">
        <v>3358</v>
      </c>
      <c r="D474" s="22" t="s">
        <v>3359</v>
      </c>
      <c r="E474" s="22" t="s">
        <v>3360</v>
      </c>
      <c r="F474" s="22" t="s">
        <v>3361</v>
      </c>
      <c r="G474" s="22" t="s">
        <v>1425</v>
      </c>
      <c r="H474" s="22" t="s">
        <v>1379</v>
      </c>
      <c r="I474" s="22" t="s">
        <v>3362</v>
      </c>
      <c r="J474" s="22" t="s">
        <v>1082</v>
      </c>
    </row>
    <row r="475" spans="1:10" x14ac:dyDescent="0.25">
      <c r="A475" s="22" t="s">
        <v>40</v>
      </c>
      <c r="B475" s="24" t="s">
        <v>15</v>
      </c>
      <c r="C475" s="22" t="s">
        <v>3363</v>
      </c>
      <c r="D475" s="22" t="s">
        <v>1677</v>
      </c>
      <c r="E475" s="22" t="s">
        <v>3364</v>
      </c>
      <c r="F475" s="22" t="s">
        <v>3365</v>
      </c>
      <c r="G475" s="22" t="s">
        <v>1324</v>
      </c>
      <c r="H475" s="22" t="s">
        <v>1052</v>
      </c>
      <c r="I475" s="22" t="s">
        <v>3366</v>
      </c>
      <c r="J475" s="22" t="s">
        <v>1075</v>
      </c>
    </row>
    <row r="476" spans="1:10" x14ac:dyDescent="0.25">
      <c r="A476" s="22" t="s">
        <v>40</v>
      </c>
      <c r="B476" s="24" t="s">
        <v>16</v>
      </c>
      <c r="C476" s="22" t="s">
        <v>3367</v>
      </c>
      <c r="D476" s="22" t="s">
        <v>3368</v>
      </c>
      <c r="E476" s="22" t="s">
        <v>3369</v>
      </c>
      <c r="F476" s="22" t="s">
        <v>3370</v>
      </c>
      <c r="G476" s="22" t="s">
        <v>441</v>
      </c>
      <c r="H476" s="22" t="s">
        <v>2281</v>
      </c>
      <c r="I476" s="22" t="s">
        <v>3371</v>
      </c>
      <c r="J476" s="22" t="s">
        <v>3372</v>
      </c>
    </row>
    <row r="477" spans="1:10" x14ac:dyDescent="0.25">
      <c r="A477" s="22" t="s">
        <v>40</v>
      </c>
      <c r="B477" s="24" t="s">
        <v>17</v>
      </c>
      <c r="C477" s="22" t="s">
        <v>3373</v>
      </c>
      <c r="D477" s="22" t="s">
        <v>3374</v>
      </c>
      <c r="E477" s="22" t="s">
        <v>3375</v>
      </c>
      <c r="F477" s="22" t="s">
        <v>3376</v>
      </c>
      <c r="G477" s="22" t="s">
        <v>1589</v>
      </c>
      <c r="H477" s="22" t="s">
        <v>2270</v>
      </c>
      <c r="I477" s="22" t="s">
        <v>3377</v>
      </c>
      <c r="J477" s="22" t="s">
        <v>586</v>
      </c>
    </row>
    <row r="478" spans="1:10" x14ac:dyDescent="0.25">
      <c r="A478" s="22" t="s">
        <v>40</v>
      </c>
      <c r="B478" s="24" t="s">
        <v>18</v>
      </c>
      <c r="C478" s="22" t="s">
        <v>3378</v>
      </c>
      <c r="D478" s="22" t="s">
        <v>3379</v>
      </c>
      <c r="E478" s="22" t="s">
        <v>3380</v>
      </c>
      <c r="F478" s="22" t="s">
        <v>3381</v>
      </c>
      <c r="G478" s="22" t="s">
        <v>1068</v>
      </c>
      <c r="H478" s="22" t="s">
        <v>1523</v>
      </c>
      <c r="I478" s="22" t="s">
        <v>3382</v>
      </c>
      <c r="J478" s="22" t="s">
        <v>2366</v>
      </c>
    </row>
    <row r="479" spans="1:10" x14ac:dyDescent="0.25">
      <c r="A479" s="22" t="s">
        <v>40</v>
      </c>
      <c r="B479" s="24" t="s">
        <v>19</v>
      </c>
      <c r="C479" s="22" t="s">
        <v>3383</v>
      </c>
      <c r="D479" s="22" t="s">
        <v>3384</v>
      </c>
      <c r="E479" s="22" t="s">
        <v>3385</v>
      </c>
      <c r="F479" s="22" t="s">
        <v>3386</v>
      </c>
      <c r="G479" s="22" t="s">
        <v>1699</v>
      </c>
      <c r="H479" s="22" t="s">
        <v>2774</v>
      </c>
      <c r="I479" s="22" t="s">
        <v>3387</v>
      </c>
      <c r="J479" s="22" t="s">
        <v>868</v>
      </c>
    </row>
    <row r="480" spans="1:10" x14ac:dyDescent="0.25">
      <c r="A480" s="22" t="s">
        <v>40</v>
      </c>
      <c r="B480" s="24" t="s">
        <v>20</v>
      </c>
      <c r="C480" s="22" t="s">
        <v>3388</v>
      </c>
      <c r="D480" s="22" t="s">
        <v>3389</v>
      </c>
      <c r="E480" s="22" t="s">
        <v>3390</v>
      </c>
      <c r="F480" s="22" t="s">
        <v>3391</v>
      </c>
      <c r="G480" s="22" t="s">
        <v>1434</v>
      </c>
      <c r="H480" s="22" t="s">
        <v>2421</v>
      </c>
      <c r="I480" s="22" t="s">
        <v>3392</v>
      </c>
      <c r="J480" s="22" t="s">
        <v>1566</v>
      </c>
    </row>
    <row r="481" spans="1:10" x14ac:dyDescent="0.25">
      <c r="A481" s="22" t="s">
        <v>40</v>
      </c>
      <c r="B481" s="24" t="s">
        <v>21</v>
      </c>
      <c r="C481" s="22" t="s">
        <v>3393</v>
      </c>
      <c r="D481" s="22" t="s">
        <v>3394</v>
      </c>
      <c r="E481" s="22" t="s">
        <v>3395</v>
      </c>
      <c r="F481" s="22" t="s">
        <v>3396</v>
      </c>
      <c r="G481" s="22" t="s">
        <v>336</v>
      </c>
      <c r="H481" s="22" t="s">
        <v>2732</v>
      </c>
      <c r="I481" s="22" t="s">
        <v>3397</v>
      </c>
      <c r="J481" s="22" t="s">
        <v>895</v>
      </c>
    </row>
    <row r="482" spans="1:10" x14ac:dyDescent="0.25">
      <c r="A482" s="22" t="s">
        <v>40</v>
      </c>
      <c r="B482" s="24" t="s">
        <v>22</v>
      </c>
      <c r="C482" s="22" t="s">
        <v>3398</v>
      </c>
      <c r="D482" s="22" t="s">
        <v>3399</v>
      </c>
      <c r="E482" s="22" t="s">
        <v>3400</v>
      </c>
      <c r="F482" s="22" t="s">
        <v>3401</v>
      </c>
      <c r="G482" s="22" t="s">
        <v>1656</v>
      </c>
      <c r="H482" s="22" t="s">
        <v>2732</v>
      </c>
      <c r="I482" s="22" t="s">
        <v>3402</v>
      </c>
      <c r="J482" s="22" t="s">
        <v>3403</v>
      </c>
    </row>
    <row r="483" spans="1:10" x14ac:dyDescent="0.25">
      <c r="A483" s="22" t="s">
        <v>40</v>
      </c>
      <c r="B483" s="24" t="s">
        <v>23</v>
      </c>
      <c r="C483" s="22" t="s">
        <v>3404</v>
      </c>
      <c r="D483" s="22" t="s">
        <v>3405</v>
      </c>
      <c r="E483" s="22" t="s">
        <v>3406</v>
      </c>
      <c r="F483" s="22" t="s">
        <v>3407</v>
      </c>
      <c r="G483" s="22" t="s">
        <v>315</v>
      </c>
      <c r="H483" s="22" t="s">
        <v>3408</v>
      </c>
      <c r="I483" s="22" t="s">
        <v>3409</v>
      </c>
      <c r="J483" s="22" t="s">
        <v>3410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5BDA-F911-4FEE-9A5D-91EFE7090FAE}">
  <dimension ref="A1:J97"/>
  <sheetViews>
    <sheetView workbookViewId="0">
      <selection activeCell="N106" sqref="N106"/>
    </sheetView>
  </sheetViews>
  <sheetFormatPr defaultRowHeight="15" x14ac:dyDescent="0.25"/>
  <sheetData>
    <row r="1" spans="1:10" x14ac:dyDescent="0.25">
      <c r="A1" s="22" t="s">
        <v>634</v>
      </c>
      <c r="B1" s="22" t="s">
        <v>1</v>
      </c>
      <c r="C1" s="23" t="s">
        <v>49</v>
      </c>
      <c r="D1" s="23" t="s">
        <v>51</v>
      </c>
      <c r="E1" s="22" t="s">
        <v>638</v>
      </c>
      <c r="F1" s="22" t="s">
        <v>53</v>
      </c>
      <c r="G1" s="23" t="s">
        <v>54</v>
      </c>
      <c r="H1" s="23" t="s">
        <v>55</v>
      </c>
      <c r="I1" s="22" t="s">
        <v>56</v>
      </c>
      <c r="J1" s="23" t="s">
        <v>57</v>
      </c>
    </row>
    <row r="2" spans="1:10" x14ac:dyDescent="0.25">
      <c r="A2" s="22" t="s">
        <v>24</v>
      </c>
      <c r="B2" s="24" t="s">
        <v>4</v>
      </c>
      <c r="C2" s="22" t="s">
        <v>642</v>
      </c>
      <c r="D2" s="22" t="s">
        <v>643</v>
      </c>
      <c r="E2" s="22" t="s">
        <v>644</v>
      </c>
      <c r="F2" s="22" t="s">
        <v>645</v>
      </c>
      <c r="G2" s="22" t="s">
        <v>520</v>
      </c>
      <c r="H2" s="22" t="s">
        <v>646</v>
      </c>
      <c r="I2" s="22" t="s">
        <v>647</v>
      </c>
      <c r="J2" s="22" t="s">
        <v>648</v>
      </c>
    </row>
    <row r="3" spans="1:10" x14ac:dyDescent="0.25">
      <c r="A3" s="22" t="s">
        <v>24</v>
      </c>
      <c r="B3" s="24" t="s">
        <v>5</v>
      </c>
      <c r="C3" s="22" t="s">
        <v>649</v>
      </c>
      <c r="D3" s="22" t="s">
        <v>650</v>
      </c>
      <c r="E3" s="22" t="s">
        <v>651</v>
      </c>
      <c r="F3" s="22" t="s">
        <v>652</v>
      </c>
      <c r="G3" s="22" t="s">
        <v>308</v>
      </c>
      <c r="H3" s="22" t="s">
        <v>653</v>
      </c>
      <c r="I3" s="22" t="s">
        <v>654</v>
      </c>
      <c r="J3" s="22" t="s">
        <v>655</v>
      </c>
    </row>
    <row r="4" spans="1:10" x14ac:dyDescent="0.25">
      <c r="A4" s="22" t="s">
        <v>24</v>
      </c>
      <c r="B4" s="24" t="s">
        <v>6</v>
      </c>
      <c r="C4" s="22" t="s">
        <v>656</v>
      </c>
      <c r="D4" s="22" t="s">
        <v>657</v>
      </c>
      <c r="E4" s="22" t="s">
        <v>658</v>
      </c>
      <c r="F4" s="22" t="s">
        <v>659</v>
      </c>
      <c r="G4" s="22" t="s">
        <v>660</v>
      </c>
      <c r="H4" s="22" t="s">
        <v>661</v>
      </c>
      <c r="I4" s="22" t="s">
        <v>662</v>
      </c>
      <c r="J4" s="22" t="s">
        <v>663</v>
      </c>
    </row>
    <row r="5" spans="1:10" x14ac:dyDescent="0.25">
      <c r="A5" s="22" t="s">
        <v>24</v>
      </c>
      <c r="B5" s="24" t="s">
        <v>7</v>
      </c>
      <c r="C5" s="22" t="s">
        <v>664</v>
      </c>
      <c r="D5" s="22" t="s">
        <v>665</v>
      </c>
      <c r="E5" s="22" t="s">
        <v>666</v>
      </c>
      <c r="F5" s="22" t="s">
        <v>667</v>
      </c>
      <c r="G5" s="22" t="s">
        <v>337</v>
      </c>
      <c r="H5" s="22" t="s">
        <v>668</v>
      </c>
      <c r="I5" s="22" t="s">
        <v>669</v>
      </c>
      <c r="J5" s="22" t="s">
        <v>670</v>
      </c>
    </row>
    <row r="6" spans="1:10" x14ac:dyDescent="0.25">
      <c r="A6" s="22" t="s">
        <v>25</v>
      </c>
      <c r="B6" s="24" t="s">
        <v>4</v>
      </c>
      <c r="C6" s="22" t="s">
        <v>784</v>
      </c>
      <c r="D6" s="22" t="s">
        <v>785</v>
      </c>
      <c r="E6" s="22" t="s">
        <v>786</v>
      </c>
      <c r="F6" s="22" t="s">
        <v>787</v>
      </c>
      <c r="G6" s="22" t="s">
        <v>196</v>
      </c>
      <c r="H6" s="22" t="s">
        <v>520</v>
      </c>
      <c r="I6" s="22" t="s">
        <v>788</v>
      </c>
      <c r="J6" s="22" t="s">
        <v>789</v>
      </c>
    </row>
    <row r="7" spans="1:10" x14ac:dyDescent="0.25">
      <c r="A7" s="22" t="s">
        <v>25</v>
      </c>
      <c r="B7" s="24" t="s">
        <v>5</v>
      </c>
      <c r="C7" s="22" t="s">
        <v>790</v>
      </c>
      <c r="D7" s="22" t="s">
        <v>791</v>
      </c>
      <c r="E7" s="22" t="s">
        <v>792</v>
      </c>
      <c r="F7" s="22" t="s">
        <v>793</v>
      </c>
      <c r="G7" s="22" t="s">
        <v>794</v>
      </c>
      <c r="H7" s="22" t="s">
        <v>795</v>
      </c>
      <c r="I7" s="22" t="s">
        <v>796</v>
      </c>
      <c r="J7" s="22" t="s">
        <v>797</v>
      </c>
    </row>
    <row r="8" spans="1:10" x14ac:dyDescent="0.25">
      <c r="A8" s="22" t="s">
        <v>25</v>
      </c>
      <c r="B8" s="24" t="s">
        <v>6</v>
      </c>
      <c r="C8" s="22" t="s">
        <v>798</v>
      </c>
      <c r="D8" s="22" t="s">
        <v>799</v>
      </c>
      <c r="E8" s="22" t="s">
        <v>800</v>
      </c>
      <c r="F8" s="22" t="s">
        <v>801</v>
      </c>
      <c r="G8" s="22" t="s">
        <v>492</v>
      </c>
      <c r="H8" s="22" t="s">
        <v>794</v>
      </c>
      <c r="I8" s="22" t="s">
        <v>802</v>
      </c>
      <c r="J8" s="22" t="s">
        <v>398</v>
      </c>
    </row>
    <row r="9" spans="1:10" x14ac:dyDescent="0.25">
      <c r="A9" s="22" t="s">
        <v>25</v>
      </c>
      <c r="B9" s="24" t="s">
        <v>7</v>
      </c>
      <c r="C9" s="22" t="s">
        <v>803</v>
      </c>
      <c r="D9" s="22" t="s">
        <v>804</v>
      </c>
      <c r="E9" s="22" t="s">
        <v>805</v>
      </c>
      <c r="F9" s="22" t="s">
        <v>806</v>
      </c>
      <c r="G9" s="22" t="s">
        <v>196</v>
      </c>
      <c r="H9" s="22" t="s">
        <v>807</v>
      </c>
      <c r="I9" s="22" t="s">
        <v>808</v>
      </c>
      <c r="J9" s="22" t="s">
        <v>398</v>
      </c>
    </row>
    <row r="10" spans="1:10" x14ac:dyDescent="0.25">
      <c r="A10" s="22" t="s">
        <v>29</v>
      </c>
      <c r="B10" s="24" t="s">
        <v>4</v>
      </c>
      <c r="C10" s="22" t="s">
        <v>910</v>
      </c>
      <c r="D10" s="22" t="s">
        <v>911</v>
      </c>
      <c r="E10" s="22" t="s">
        <v>912</v>
      </c>
      <c r="F10" s="22" t="s">
        <v>913</v>
      </c>
      <c r="G10" s="22" t="s">
        <v>900</v>
      </c>
      <c r="H10" s="22" t="s">
        <v>203</v>
      </c>
      <c r="I10" s="22" t="s">
        <v>914</v>
      </c>
      <c r="J10" s="22" t="s">
        <v>915</v>
      </c>
    </row>
    <row r="11" spans="1:10" x14ac:dyDescent="0.25">
      <c r="A11" s="22" t="s">
        <v>29</v>
      </c>
      <c r="B11" s="24" t="s">
        <v>5</v>
      </c>
      <c r="C11" s="22" t="s">
        <v>916</v>
      </c>
      <c r="D11" s="22" t="s">
        <v>917</v>
      </c>
      <c r="E11" s="22" t="s">
        <v>918</v>
      </c>
      <c r="F11" s="22" t="s">
        <v>919</v>
      </c>
      <c r="G11" s="22" t="s">
        <v>920</v>
      </c>
      <c r="H11" s="22" t="s">
        <v>921</v>
      </c>
      <c r="I11" s="22" t="s">
        <v>922</v>
      </c>
      <c r="J11" s="22" t="s">
        <v>923</v>
      </c>
    </row>
    <row r="12" spans="1:10" x14ac:dyDescent="0.25">
      <c r="A12" s="22" t="s">
        <v>29</v>
      </c>
      <c r="B12" s="24" t="s">
        <v>6</v>
      </c>
      <c r="C12" s="22" t="s">
        <v>924</v>
      </c>
      <c r="D12" s="22" t="s">
        <v>925</v>
      </c>
      <c r="E12" s="22" t="s">
        <v>926</v>
      </c>
      <c r="F12" s="22" t="s">
        <v>927</v>
      </c>
      <c r="G12" s="22" t="s">
        <v>928</v>
      </c>
      <c r="H12" s="22" t="s">
        <v>929</v>
      </c>
      <c r="I12" s="22" t="s">
        <v>930</v>
      </c>
      <c r="J12" s="22" t="s">
        <v>931</v>
      </c>
    </row>
    <row r="13" spans="1:10" x14ac:dyDescent="0.25">
      <c r="A13" s="22" t="s">
        <v>29</v>
      </c>
      <c r="B13" s="24" t="s">
        <v>7</v>
      </c>
      <c r="C13" s="22" t="s">
        <v>932</v>
      </c>
      <c r="D13" s="22" t="s">
        <v>933</v>
      </c>
      <c r="E13" s="22" t="s">
        <v>934</v>
      </c>
      <c r="F13" s="22" t="s">
        <v>935</v>
      </c>
      <c r="G13" s="22" t="s">
        <v>936</v>
      </c>
      <c r="H13" s="22" t="s">
        <v>937</v>
      </c>
      <c r="I13" s="22" t="s">
        <v>938</v>
      </c>
      <c r="J13" s="22" t="s">
        <v>939</v>
      </c>
    </row>
    <row r="14" spans="1:10" x14ac:dyDescent="0.25">
      <c r="A14" s="22" t="s">
        <v>26</v>
      </c>
      <c r="B14" s="24" t="s">
        <v>4</v>
      </c>
      <c r="C14" s="22" t="s">
        <v>1035</v>
      </c>
      <c r="D14" s="22" t="s">
        <v>1036</v>
      </c>
      <c r="E14" s="22" t="s">
        <v>1037</v>
      </c>
      <c r="F14" s="22" t="s">
        <v>1038</v>
      </c>
      <c r="G14" s="22" t="s">
        <v>518</v>
      </c>
      <c r="H14" s="22" t="s">
        <v>901</v>
      </c>
      <c r="I14" s="22" t="s">
        <v>1039</v>
      </c>
      <c r="J14" s="22" t="s">
        <v>1040</v>
      </c>
    </row>
    <row r="15" spans="1:10" x14ac:dyDescent="0.25">
      <c r="A15" s="22" t="s">
        <v>26</v>
      </c>
      <c r="B15" s="24" t="s">
        <v>5</v>
      </c>
      <c r="C15" s="22" t="s">
        <v>1041</v>
      </c>
      <c r="D15" s="22" t="s">
        <v>1042</v>
      </c>
      <c r="E15" s="22" t="s">
        <v>1043</v>
      </c>
      <c r="F15" s="22" t="s">
        <v>1044</v>
      </c>
      <c r="G15" s="22" t="s">
        <v>518</v>
      </c>
      <c r="H15" s="22" t="s">
        <v>1045</v>
      </c>
      <c r="I15" s="22" t="s">
        <v>1046</v>
      </c>
      <c r="J15" s="22" t="s">
        <v>1047</v>
      </c>
    </row>
    <row r="16" spans="1:10" x14ac:dyDescent="0.25">
      <c r="A16" s="22" t="s">
        <v>26</v>
      </c>
      <c r="B16" s="24" t="s">
        <v>6</v>
      </c>
      <c r="C16" s="22" t="s">
        <v>1048</v>
      </c>
      <c r="D16" s="22" t="s">
        <v>1049</v>
      </c>
      <c r="E16" s="22" t="s">
        <v>1050</v>
      </c>
      <c r="F16" s="22" t="s">
        <v>1051</v>
      </c>
      <c r="G16" s="22" t="s">
        <v>1052</v>
      </c>
      <c r="H16" s="22" t="s">
        <v>1053</v>
      </c>
      <c r="I16" s="22" t="s">
        <v>1054</v>
      </c>
      <c r="J16" s="22" t="s">
        <v>1055</v>
      </c>
    </row>
    <row r="17" spans="1:10" x14ac:dyDescent="0.25">
      <c r="A17" s="22" t="s">
        <v>26</v>
      </c>
      <c r="B17" s="24" t="s">
        <v>7</v>
      </c>
      <c r="C17" s="22" t="s">
        <v>1056</v>
      </c>
      <c r="D17" s="22" t="s">
        <v>1057</v>
      </c>
      <c r="E17" s="22" t="s">
        <v>1058</v>
      </c>
      <c r="F17" s="22" t="s">
        <v>1059</v>
      </c>
      <c r="G17" s="22" t="s">
        <v>1060</v>
      </c>
      <c r="H17" s="22" t="s">
        <v>1061</v>
      </c>
      <c r="I17" s="22" t="s">
        <v>1062</v>
      </c>
      <c r="J17" s="22" t="s">
        <v>1063</v>
      </c>
    </row>
    <row r="18" spans="1:10" x14ac:dyDescent="0.25">
      <c r="A18" s="22" t="s">
        <v>27</v>
      </c>
      <c r="B18" s="24" t="s">
        <v>4</v>
      </c>
      <c r="C18" s="22" t="s">
        <v>1168</v>
      </c>
      <c r="D18" s="22" t="s">
        <v>1036</v>
      </c>
      <c r="E18" s="22" t="s">
        <v>1169</v>
      </c>
      <c r="F18" s="22" t="s">
        <v>1170</v>
      </c>
      <c r="G18" s="22" t="s">
        <v>1171</v>
      </c>
      <c r="H18" s="22" t="s">
        <v>1060</v>
      </c>
      <c r="I18" s="22" t="s">
        <v>1172</v>
      </c>
      <c r="J18" s="22" t="s">
        <v>1173</v>
      </c>
    </row>
    <row r="19" spans="1:10" x14ac:dyDescent="0.25">
      <c r="A19" s="22" t="s">
        <v>27</v>
      </c>
      <c r="B19" s="24" t="s">
        <v>5</v>
      </c>
      <c r="C19" s="22" t="s">
        <v>1174</v>
      </c>
      <c r="D19" s="22" t="s">
        <v>1175</v>
      </c>
      <c r="E19" s="22" t="s">
        <v>1176</v>
      </c>
      <c r="F19" s="22" t="s">
        <v>1177</v>
      </c>
      <c r="G19" s="22" t="s">
        <v>1178</v>
      </c>
      <c r="H19" s="22" t="s">
        <v>1060</v>
      </c>
      <c r="I19" s="22" t="s">
        <v>1179</v>
      </c>
      <c r="J19" s="22" t="s">
        <v>1180</v>
      </c>
    </row>
    <row r="20" spans="1:10" x14ac:dyDescent="0.25">
      <c r="A20" s="22" t="s">
        <v>27</v>
      </c>
      <c r="B20" s="24" t="s">
        <v>6</v>
      </c>
      <c r="C20" s="22" t="s">
        <v>1181</v>
      </c>
      <c r="D20" s="22" t="s">
        <v>1182</v>
      </c>
      <c r="E20" s="22" t="s">
        <v>1183</v>
      </c>
      <c r="F20" s="22" t="s">
        <v>1184</v>
      </c>
      <c r="G20" s="22" t="s">
        <v>1185</v>
      </c>
      <c r="H20" s="22" t="s">
        <v>727</v>
      </c>
      <c r="I20" s="22" t="s">
        <v>1186</v>
      </c>
      <c r="J20" s="22" t="s">
        <v>1187</v>
      </c>
    </row>
    <row r="21" spans="1:10" x14ac:dyDescent="0.25">
      <c r="A21" s="22" t="s">
        <v>27</v>
      </c>
      <c r="B21" s="24" t="s">
        <v>7</v>
      </c>
      <c r="C21" s="22" t="s">
        <v>1188</v>
      </c>
      <c r="D21" s="22" t="s">
        <v>1189</v>
      </c>
      <c r="E21" s="22" t="s">
        <v>1190</v>
      </c>
      <c r="F21" s="22" t="s">
        <v>1191</v>
      </c>
      <c r="G21" s="22" t="s">
        <v>415</v>
      </c>
      <c r="H21" s="22" t="s">
        <v>781</v>
      </c>
      <c r="I21" s="22" t="s">
        <v>1192</v>
      </c>
      <c r="J21" s="22" t="s">
        <v>1111</v>
      </c>
    </row>
    <row r="22" spans="1:10" x14ac:dyDescent="0.25">
      <c r="A22" s="22" t="s">
        <v>32</v>
      </c>
      <c r="B22" s="24" t="s">
        <v>4</v>
      </c>
      <c r="C22" s="22" t="s">
        <v>1294</v>
      </c>
      <c r="D22" s="22" t="s">
        <v>1295</v>
      </c>
      <c r="E22" s="22" t="s">
        <v>1296</v>
      </c>
      <c r="F22" s="22" t="s">
        <v>1297</v>
      </c>
      <c r="G22" s="22" t="s">
        <v>209</v>
      </c>
      <c r="H22" s="22" t="s">
        <v>1211</v>
      </c>
      <c r="I22" s="22" t="s">
        <v>1298</v>
      </c>
      <c r="J22" s="22" t="s">
        <v>1167</v>
      </c>
    </row>
    <row r="23" spans="1:10" x14ac:dyDescent="0.25">
      <c r="A23" s="22" t="s">
        <v>32</v>
      </c>
      <c r="B23" s="24" t="s">
        <v>5</v>
      </c>
      <c r="C23" s="22" t="s">
        <v>1299</v>
      </c>
      <c r="D23" s="22" t="s">
        <v>1300</v>
      </c>
      <c r="E23" s="22" t="s">
        <v>1301</v>
      </c>
      <c r="F23" s="22" t="s">
        <v>1302</v>
      </c>
      <c r="G23" s="22" t="s">
        <v>1303</v>
      </c>
      <c r="H23" s="22" t="s">
        <v>900</v>
      </c>
      <c r="I23" s="22" t="s">
        <v>1304</v>
      </c>
      <c r="J23" s="22" t="s">
        <v>489</v>
      </c>
    </row>
    <row r="24" spans="1:10" x14ac:dyDescent="0.25">
      <c r="A24" s="22" t="s">
        <v>32</v>
      </c>
      <c r="B24" s="24" t="s">
        <v>6</v>
      </c>
      <c r="C24" s="22" t="s">
        <v>1305</v>
      </c>
      <c r="D24" s="22" t="s">
        <v>1306</v>
      </c>
      <c r="E24" s="22" t="s">
        <v>1307</v>
      </c>
      <c r="F24" s="22" t="s">
        <v>1308</v>
      </c>
      <c r="G24" s="22" t="s">
        <v>425</v>
      </c>
      <c r="H24" s="22" t="s">
        <v>1309</v>
      </c>
      <c r="I24" s="22" t="s">
        <v>1310</v>
      </c>
      <c r="J24" s="22" t="s">
        <v>230</v>
      </c>
    </row>
    <row r="25" spans="1:10" x14ac:dyDescent="0.25">
      <c r="A25" s="22" t="s">
        <v>32</v>
      </c>
      <c r="B25" s="24" t="s">
        <v>7</v>
      </c>
      <c r="C25" s="22" t="s">
        <v>1311</v>
      </c>
      <c r="D25" s="22" t="s">
        <v>1312</v>
      </c>
      <c r="E25" s="22" t="s">
        <v>1313</v>
      </c>
      <c r="F25" s="22" t="s">
        <v>1314</v>
      </c>
      <c r="G25" s="22" t="s">
        <v>378</v>
      </c>
      <c r="H25" s="22" t="s">
        <v>202</v>
      </c>
      <c r="I25" s="22" t="s">
        <v>1315</v>
      </c>
      <c r="J25" s="22" t="s">
        <v>1316</v>
      </c>
    </row>
    <row r="26" spans="1:10" x14ac:dyDescent="0.25">
      <c r="A26" s="22" t="s">
        <v>31</v>
      </c>
      <c r="B26" s="24" t="s">
        <v>4</v>
      </c>
      <c r="C26" s="22" t="s">
        <v>1405</v>
      </c>
      <c r="D26" s="22" t="s">
        <v>1406</v>
      </c>
      <c r="E26" s="22" t="s">
        <v>1407</v>
      </c>
      <c r="F26" s="22" t="s">
        <v>1408</v>
      </c>
      <c r="G26" s="22" t="s">
        <v>369</v>
      </c>
      <c r="H26" s="22" t="s">
        <v>727</v>
      </c>
      <c r="I26" s="22" t="s">
        <v>1409</v>
      </c>
      <c r="J26" s="22" t="s">
        <v>1187</v>
      </c>
    </row>
    <row r="27" spans="1:10" x14ac:dyDescent="0.25">
      <c r="A27" s="22" t="s">
        <v>31</v>
      </c>
      <c r="B27" s="24" t="s">
        <v>5</v>
      </c>
      <c r="C27" s="22" t="s">
        <v>1410</v>
      </c>
      <c r="D27" s="22" t="s">
        <v>1411</v>
      </c>
      <c r="E27" s="22" t="s">
        <v>1412</v>
      </c>
      <c r="F27" s="22" t="s">
        <v>1413</v>
      </c>
      <c r="G27" s="22" t="s">
        <v>405</v>
      </c>
      <c r="H27" s="22" t="s">
        <v>1060</v>
      </c>
      <c r="I27" s="22" t="s">
        <v>1414</v>
      </c>
      <c r="J27" s="22" t="s">
        <v>849</v>
      </c>
    </row>
    <row r="28" spans="1:10" x14ac:dyDescent="0.25">
      <c r="A28" s="22" t="s">
        <v>31</v>
      </c>
      <c r="B28" s="24" t="s">
        <v>6</v>
      </c>
      <c r="C28" s="22" t="s">
        <v>1415</v>
      </c>
      <c r="D28" s="22" t="s">
        <v>1416</v>
      </c>
      <c r="E28" s="22" t="s">
        <v>1417</v>
      </c>
      <c r="F28" s="22" t="s">
        <v>1418</v>
      </c>
      <c r="G28" s="22" t="s">
        <v>338</v>
      </c>
      <c r="H28" s="22" t="s">
        <v>751</v>
      </c>
      <c r="I28" s="22" t="s">
        <v>1419</v>
      </c>
      <c r="J28" s="22" t="s">
        <v>1420</v>
      </c>
    </row>
    <row r="29" spans="1:10" x14ac:dyDescent="0.25">
      <c r="A29" s="22" t="s">
        <v>31</v>
      </c>
      <c r="B29" s="24" t="s">
        <v>7</v>
      </c>
      <c r="C29" s="22" t="s">
        <v>1421</v>
      </c>
      <c r="D29" s="22" t="s">
        <v>1422</v>
      </c>
      <c r="E29" s="22" t="s">
        <v>1423</v>
      </c>
      <c r="F29" s="22" t="s">
        <v>1424</v>
      </c>
      <c r="G29" s="22" t="s">
        <v>462</v>
      </c>
      <c r="H29" s="22" t="s">
        <v>1425</v>
      </c>
      <c r="I29" s="22" t="s">
        <v>1426</v>
      </c>
      <c r="J29" s="22" t="s">
        <v>1427</v>
      </c>
    </row>
    <row r="30" spans="1:10" x14ac:dyDescent="0.25">
      <c r="A30" s="22" t="s">
        <v>34</v>
      </c>
      <c r="B30" s="24" t="s">
        <v>4</v>
      </c>
      <c r="C30" s="22" t="s">
        <v>1519</v>
      </c>
      <c r="D30" s="22" t="s">
        <v>1520</v>
      </c>
      <c r="E30" s="22" t="s">
        <v>1521</v>
      </c>
      <c r="F30" s="22" t="s">
        <v>1522</v>
      </c>
      <c r="G30" s="22" t="s">
        <v>1523</v>
      </c>
      <c r="H30" s="22" t="s">
        <v>1524</v>
      </c>
      <c r="I30" s="22" t="s">
        <v>1525</v>
      </c>
      <c r="J30" s="22" t="s">
        <v>1526</v>
      </c>
    </row>
    <row r="31" spans="1:10" x14ac:dyDescent="0.25">
      <c r="A31" s="22" t="s">
        <v>34</v>
      </c>
      <c r="B31" s="24" t="s">
        <v>5</v>
      </c>
      <c r="C31" s="22" t="s">
        <v>1527</v>
      </c>
      <c r="D31" s="22" t="s">
        <v>1528</v>
      </c>
      <c r="E31" s="22" t="s">
        <v>1529</v>
      </c>
      <c r="F31" s="22" t="s">
        <v>1530</v>
      </c>
      <c r="G31" s="22" t="s">
        <v>668</v>
      </c>
      <c r="H31" s="22" t="s">
        <v>1462</v>
      </c>
      <c r="I31" s="22" t="s">
        <v>1531</v>
      </c>
      <c r="J31" s="22" t="s">
        <v>1532</v>
      </c>
    </row>
    <row r="32" spans="1:10" x14ac:dyDescent="0.25">
      <c r="A32" s="22" t="s">
        <v>34</v>
      </c>
      <c r="B32" s="24" t="s">
        <v>6</v>
      </c>
      <c r="C32" s="22" t="s">
        <v>1533</v>
      </c>
      <c r="D32" s="22" t="s">
        <v>1534</v>
      </c>
      <c r="E32" s="22" t="s">
        <v>1535</v>
      </c>
      <c r="F32" s="22" t="s">
        <v>1536</v>
      </c>
      <c r="G32" s="22" t="s">
        <v>1523</v>
      </c>
      <c r="H32" s="22" t="s">
        <v>384</v>
      </c>
      <c r="I32" s="22" t="s">
        <v>1537</v>
      </c>
      <c r="J32" s="22" t="s">
        <v>1538</v>
      </c>
    </row>
    <row r="33" spans="1:10" x14ac:dyDescent="0.25">
      <c r="A33" s="22" t="s">
        <v>34</v>
      </c>
      <c r="B33" s="24" t="s">
        <v>7</v>
      </c>
      <c r="C33" s="22" t="s">
        <v>1539</v>
      </c>
      <c r="D33" s="22" t="s">
        <v>1540</v>
      </c>
      <c r="E33" s="22" t="s">
        <v>1541</v>
      </c>
      <c r="F33" s="22" t="s">
        <v>1542</v>
      </c>
      <c r="G33" s="22" t="s">
        <v>1045</v>
      </c>
      <c r="H33" s="22" t="s">
        <v>425</v>
      </c>
      <c r="I33" s="22" t="s">
        <v>1543</v>
      </c>
      <c r="J33" s="22" t="s">
        <v>1532</v>
      </c>
    </row>
    <row r="34" spans="1:10" x14ac:dyDescent="0.25">
      <c r="A34" s="22" t="s">
        <v>28</v>
      </c>
      <c r="B34" s="24" t="s">
        <v>4</v>
      </c>
      <c r="C34" s="22" t="s">
        <v>1625</v>
      </c>
      <c r="D34" s="22" t="s">
        <v>1626</v>
      </c>
      <c r="E34" s="22" t="s">
        <v>1627</v>
      </c>
      <c r="F34" s="22" t="s">
        <v>1628</v>
      </c>
      <c r="G34" s="22" t="s">
        <v>1116</v>
      </c>
      <c r="H34" s="22" t="s">
        <v>1629</v>
      </c>
      <c r="I34" s="22" t="s">
        <v>1630</v>
      </c>
      <c r="J34" s="22" t="s">
        <v>473</v>
      </c>
    </row>
    <row r="35" spans="1:10" x14ac:dyDescent="0.25">
      <c r="A35" s="22" t="s">
        <v>28</v>
      </c>
      <c r="B35" s="24" t="s">
        <v>5</v>
      </c>
      <c r="C35" s="22" t="s">
        <v>1631</v>
      </c>
      <c r="D35" s="22" t="s">
        <v>1632</v>
      </c>
      <c r="E35" s="22" t="s">
        <v>1633</v>
      </c>
      <c r="F35" s="22" t="s">
        <v>1634</v>
      </c>
      <c r="G35" s="22" t="s">
        <v>1635</v>
      </c>
      <c r="H35" s="22" t="s">
        <v>1636</v>
      </c>
      <c r="I35" s="22" t="s">
        <v>1637</v>
      </c>
      <c r="J35" s="22" t="s">
        <v>1638</v>
      </c>
    </row>
    <row r="36" spans="1:10" x14ac:dyDescent="0.25">
      <c r="A36" s="22" t="s">
        <v>28</v>
      </c>
      <c r="B36" s="24" t="s">
        <v>6</v>
      </c>
      <c r="C36" s="22" t="s">
        <v>1639</v>
      </c>
      <c r="D36" s="22" t="s">
        <v>1640</v>
      </c>
      <c r="E36" s="22" t="s">
        <v>1641</v>
      </c>
      <c r="F36" s="22" t="s">
        <v>1642</v>
      </c>
      <c r="G36" s="22" t="s">
        <v>1643</v>
      </c>
      <c r="H36" s="22" t="s">
        <v>1218</v>
      </c>
      <c r="I36" s="22" t="s">
        <v>1644</v>
      </c>
      <c r="J36" s="22" t="s">
        <v>201</v>
      </c>
    </row>
    <row r="37" spans="1:10" x14ac:dyDescent="0.25">
      <c r="A37" s="22" t="s">
        <v>28</v>
      </c>
      <c r="B37" s="24" t="s">
        <v>7</v>
      </c>
      <c r="C37" s="22" t="s">
        <v>1645</v>
      </c>
      <c r="D37" s="22" t="s">
        <v>1646</v>
      </c>
      <c r="E37" s="22" t="s">
        <v>1647</v>
      </c>
      <c r="F37" s="22" t="s">
        <v>1648</v>
      </c>
      <c r="G37" s="22" t="s">
        <v>1649</v>
      </c>
      <c r="H37" s="22" t="s">
        <v>342</v>
      </c>
      <c r="I37" s="22" t="s">
        <v>1650</v>
      </c>
      <c r="J37" s="22" t="s">
        <v>1651</v>
      </c>
    </row>
    <row r="38" spans="1:10" x14ac:dyDescent="0.25">
      <c r="A38" s="22" t="s">
        <v>30</v>
      </c>
      <c r="B38" s="24" t="s">
        <v>4</v>
      </c>
      <c r="C38" s="22" t="s">
        <v>1744</v>
      </c>
      <c r="D38" s="22" t="s">
        <v>1745</v>
      </c>
      <c r="E38" s="22" t="s">
        <v>1746</v>
      </c>
      <c r="F38" s="22" t="s">
        <v>1747</v>
      </c>
      <c r="G38" s="22" t="s">
        <v>1203</v>
      </c>
      <c r="H38" s="22" t="s">
        <v>1372</v>
      </c>
      <c r="I38" s="22" t="s">
        <v>1748</v>
      </c>
      <c r="J38" s="22" t="s">
        <v>936</v>
      </c>
    </row>
    <row r="39" spans="1:10" x14ac:dyDescent="0.25">
      <c r="A39" s="22" t="s">
        <v>30</v>
      </c>
      <c r="B39" s="24" t="s">
        <v>5</v>
      </c>
      <c r="C39" s="22" t="s">
        <v>1749</v>
      </c>
      <c r="D39" s="22" t="s">
        <v>1312</v>
      </c>
      <c r="E39" s="22" t="s">
        <v>1750</v>
      </c>
      <c r="F39" s="22" t="s">
        <v>1751</v>
      </c>
      <c r="G39" s="22" t="s">
        <v>1752</v>
      </c>
      <c r="H39" s="22" t="s">
        <v>1474</v>
      </c>
      <c r="I39" s="22" t="s">
        <v>1753</v>
      </c>
      <c r="J39" s="22" t="s">
        <v>1538</v>
      </c>
    </row>
    <row r="40" spans="1:10" x14ac:dyDescent="0.25">
      <c r="A40" s="22" t="s">
        <v>30</v>
      </c>
      <c r="B40" s="24" t="s">
        <v>6</v>
      </c>
      <c r="C40" s="22" t="s">
        <v>1754</v>
      </c>
      <c r="D40" s="22" t="s">
        <v>1755</v>
      </c>
      <c r="E40" s="22" t="s">
        <v>1756</v>
      </c>
      <c r="F40" s="22" t="s">
        <v>1757</v>
      </c>
      <c r="G40" s="22" t="s">
        <v>1758</v>
      </c>
      <c r="H40" s="22" t="s">
        <v>1759</v>
      </c>
      <c r="I40" s="22" t="s">
        <v>1760</v>
      </c>
      <c r="J40" s="22" t="s">
        <v>1761</v>
      </c>
    </row>
    <row r="41" spans="1:10" x14ac:dyDescent="0.25">
      <c r="A41" s="22" t="s">
        <v>30</v>
      </c>
      <c r="B41" s="24" t="s">
        <v>7</v>
      </c>
      <c r="C41" s="22" t="s">
        <v>1762</v>
      </c>
      <c r="D41" s="22" t="s">
        <v>1763</v>
      </c>
      <c r="E41" s="22" t="s">
        <v>1764</v>
      </c>
      <c r="F41" s="22" t="s">
        <v>1765</v>
      </c>
      <c r="G41" s="22" t="s">
        <v>1129</v>
      </c>
      <c r="H41" s="22" t="s">
        <v>1766</v>
      </c>
      <c r="I41" s="22" t="s">
        <v>1767</v>
      </c>
      <c r="J41" s="22" t="s">
        <v>1187</v>
      </c>
    </row>
    <row r="42" spans="1:10" x14ac:dyDescent="0.25">
      <c r="A42" s="22" t="s">
        <v>44</v>
      </c>
      <c r="B42" s="24" t="s">
        <v>4</v>
      </c>
      <c r="C42" s="22" t="s">
        <v>1859</v>
      </c>
      <c r="D42" s="22" t="s">
        <v>1860</v>
      </c>
      <c r="E42" s="22" t="s">
        <v>1169</v>
      </c>
      <c r="F42" s="22" t="s">
        <v>1861</v>
      </c>
      <c r="G42" s="22" t="s">
        <v>1862</v>
      </c>
      <c r="H42" s="22" t="s">
        <v>1251</v>
      </c>
      <c r="I42" s="22" t="s">
        <v>1863</v>
      </c>
      <c r="J42" s="22" t="s">
        <v>1864</v>
      </c>
    </row>
    <row r="43" spans="1:10" x14ac:dyDescent="0.25">
      <c r="A43" s="22" t="s">
        <v>44</v>
      </c>
      <c r="B43" s="24" t="s">
        <v>5</v>
      </c>
      <c r="C43" s="22" t="s">
        <v>1865</v>
      </c>
      <c r="D43" s="22" t="s">
        <v>1866</v>
      </c>
      <c r="E43" s="22" t="s">
        <v>1176</v>
      </c>
      <c r="F43" s="22" t="s">
        <v>1867</v>
      </c>
      <c r="G43" s="22" t="s">
        <v>707</v>
      </c>
      <c r="H43" s="22" t="s">
        <v>441</v>
      </c>
      <c r="I43" s="22" t="s">
        <v>1868</v>
      </c>
      <c r="J43" s="22" t="s">
        <v>1869</v>
      </c>
    </row>
    <row r="44" spans="1:10" x14ac:dyDescent="0.25">
      <c r="A44" s="22" t="s">
        <v>44</v>
      </c>
      <c r="B44" s="24" t="s">
        <v>6</v>
      </c>
      <c r="C44" s="22" t="s">
        <v>1870</v>
      </c>
      <c r="D44" s="22" t="s">
        <v>1871</v>
      </c>
      <c r="E44" s="22" t="s">
        <v>1183</v>
      </c>
      <c r="F44" s="22" t="s">
        <v>1872</v>
      </c>
      <c r="G44" s="22" t="s">
        <v>1873</v>
      </c>
      <c r="H44" s="22" t="s">
        <v>429</v>
      </c>
      <c r="I44" s="22" t="s">
        <v>1874</v>
      </c>
      <c r="J44" s="22" t="s">
        <v>1875</v>
      </c>
    </row>
    <row r="45" spans="1:10" x14ac:dyDescent="0.25">
      <c r="A45" s="22" t="s">
        <v>44</v>
      </c>
      <c r="B45" s="24" t="s">
        <v>7</v>
      </c>
      <c r="C45" s="22" t="s">
        <v>1876</v>
      </c>
      <c r="D45" s="22" t="s">
        <v>1877</v>
      </c>
      <c r="E45" s="22" t="s">
        <v>1190</v>
      </c>
      <c r="F45" s="22" t="s">
        <v>1878</v>
      </c>
      <c r="G45" s="22" t="s">
        <v>1879</v>
      </c>
      <c r="H45" s="22" t="s">
        <v>1880</v>
      </c>
      <c r="I45" s="22" t="s">
        <v>1881</v>
      </c>
      <c r="J45" s="22" t="s">
        <v>1882</v>
      </c>
    </row>
    <row r="46" spans="1:10" x14ac:dyDescent="0.25">
      <c r="A46" s="22" t="s">
        <v>33</v>
      </c>
      <c r="B46" s="24" t="s">
        <v>4</v>
      </c>
      <c r="C46" s="22" t="s">
        <v>1960</v>
      </c>
      <c r="D46" s="22" t="s">
        <v>355</v>
      </c>
      <c r="E46" s="22" t="s">
        <v>1961</v>
      </c>
      <c r="F46" s="22" t="s">
        <v>1962</v>
      </c>
      <c r="G46" s="22" t="s">
        <v>357</v>
      </c>
      <c r="H46" s="22" t="s">
        <v>353</v>
      </c>
      <c r="I46" s="22" t="s">
        <v>1963</v>
      </c>
      <c r="J46" s="22" t="s">
        <v>356</v>
      </c>
    </row>
    <row r="47" spans="1:10" x14ac:dyDescent="0.25">
      <c r="A47" s="22" t="s">
        <v>33</v>
      </c>
      <c r="B47" s="24" t="s">
        <v>5</v>
      </c>
      <c r="C47" s="22" t="s">
        <v>1964</v>
      </c>
      <c r="D47" s="22" t="s">
        <v>359</v>
      </c>
      <c r="E47" s="22" t="s">
        <v>1965</v>
      </c>
      <c r="F47" s="22" t="s">
        <v>1966</v>
      </c>
      <c r="G47" s="22" t="s">
        <v>316</v>
      </c>
      <c r="H47" s="22" t="s">
        <v>361</v>
      </c>
      <c r="I47" s="22" t="s">
        <v>1967</v>
      </c>
      <c r="J47" s="22" t="s">
        <v>360</v>
      </c>
    </row>
    <row r="48" spans="1:10" x14ac:dyDescent="0.25">
      <c r="A48" s="22" t="s">
        <v>33</v>
      </c>
      <c r="B48" s="24" t="s">
        <v>6</v>
      </c>
      <c r="C48" s="22" t="s">
        <v>1968</v>
      </c>
      <c r="D48" s="22" t="s">
        <v>363</v>
      </c>
      <c r="E48" s="22" t="s">
        <v>1969</v>
      </c>
      <c r="F48" s="22" t="s">
        <v>1970</v>
      </c>
      <c r="G48" s="22" t="s">
        <v>357</v>
      </c>
      <c r="H48" s="22" t="s">
        <v>365</v>
      </c>
      <c r="I48" s="22" t="s">
        <v>1971</v>
      </c>
      <c r="J48" s="22" t="s">
        <v>364</v>
      </c>
    </row>
    <row r="49" spans="1:10" x14ac:dyDescent="0.25">
      <c r="A49" s="22" t="s">
        <v>33</v>
      </c>
      <c r="B49" s="24" t="s">
        <v>7</v>
      </c>
      <c r="C49" s="22" t="s">
        <v>1972</v>
      </c>
      <c r="D49" s="22" t="s">
        <v>367</v>
      </c>
      <c r="E49" s="22" t="s">
        <v>1973</v>
      </c>
      <c r="F49" s="22" t="s">
        <v>1974</v>
      </c>
      <c r="G49" s="22" t="s">
        <v>370</v>
      </c>
      <c r="H49" s="22" t="s">
        <v>369</v>
      </c>
      <c r="I49" s="22" t="s">
        <v>1975</v>
      </c>
      <c r="J49" s="22" t="s">
        <v>368</v>
      </c>
    </row>
    <row r="50" spans="1:10" x14ac:dyDescent="0.25">
      <c r="A50" s="22" t="s">
        <v>39</v>
      </c>
      <c r="B50" s="24" t="s">
        <v>4</v>
      </c>
      <c r="C50" s="22" t="s">
        <v>2042</v>
      </c>
      <c r="D50" s="22" t="s">
        <v>2043</v>
      </c>
      <c r="E50" s="22" t="s">
        <v>2044</v>
      </c>
      <c r="F50" s="22" t="s">
        <v>2045</v>
      </c>
      <c r="G50" s="22" t="s">
        <v>344</v>
      </c>
      <c r="H50" s="22" t="s">
        <v>1873</v>
      </c>
      <c r="I50" s="22" t="s">
        <v>2046</v>
      </c>
      <c r="J50" s="22" t="s">
        <v>888</v>
      </c>
    </row>
    <row r="51" spans="1:10" x14ac:dyDescent="0.25">
      <c r="A51" s="22" t="s">
        <v>39</v>
      </c>
      <c r="B51" s="24" t="s">
        <v>5</v>
      </c>
      <c r="C51" s="22" t="s">
        <v>2047</v>
      </c>
      <c r="D51" s="22" t="s">
        <v>2048</v>
      </c>
      <c r="E51" s="22" t="s">
        <v>2049</v>
      </c>
      <c r="F51" s="22" t="s">
        <v>2050</v>
      </c>
      <c r="G51" s="22" t="s">
        <v>350</v>
      </c>
      <c r="H51" s="22" t="s">
        <v>2051</v>
      </c>
      <c r="I51" s="22" t="s">
        <v>2052</v>
      </c>
      <c r="J51" s="22" t="s">
        <v>2053</v>
      </c>
    </row>
    <row r="52" spans="1:10" x14ac:dyDescent="0.25">
      <c r="A52" s="22" t="s">
        <v>39</v>
      </c>
      <c r="B52" s="24" t="s">
        <v>6</v>
      </c>
      <c r="C52" s="22" t="s">
        <v>2054</v>
      </c>
      <c r="D52" s="22" t="s">
        <v>2055</v>
      </c>
      <c r="E52" s="22" t="s">
        <v>2056</v>
      </c>
      <c r="F52" s="22" t="s">
        <v>2057</v>
      </c>
      <c r="G52" s="22" t="s">
        <v>1146</v>
      </c>
      <c r="H52" s="22" t="s">
        <v>2058</v>
      </c>
      <c r="I52" s="22" t="s">
        <v>2059</v>
      </c>
      <c r="J52" s="22" t="s">
        <v>2060</v>
      </c>
    </row>
    <row r="53" spans="1:10" x14ac:dyDescent="0.25">
      <c r="A53" s="22" t="s">
        <v>39</v>
      </c>
      <c r="B53" s="24" t="s">
        <v>7</v>
      </c>
      <c r="C53" s="22" t="s">
        <v>2061</v>
      </c>
      <c r="D53" s="22" t="s">
        <v>2062</v>
      </c>
      <c r="E53" s="22" t="s">
        <v>2063</v>
      </c>
      <c r="F53" s="22" t="s">
        <v>2064</v>
      </c>
      <c r="G53" s="22" t="s">
        <v>893</v>
      </c>
      <c r="H53" s="22" t="s">
        <v>969</v>
      </c>
      <c r="I53" s="22" t="s">
        <v>2065</v>
      </c>
      <c r="J53" s="22" t="s">
        <v>2066</v>
      </c>
    </row>
    <row r="54" spans="1:10" x14ac:dyDescent="0.25">
      <c r="A54" s="22" t="s">
        <v>36</v>
      </c>
      <c r="B54" s="24" t="s">
        <v>4</v>
      </c>
      <c r="C54" s="22" t="s">
        <v>2157</v>
      </c>
      <c r="D54" s="22" t="s">
        <v>1604</v>
      </c>
      <c r="E54" s="22" t="s">
        <v>2158</v>
      </c>
      <c r="F54" s="22" t="s">
        <v>2159</v>
      </c>
      <c r="G54" s="22" t="s">
        <v>494</v>
      </c>
      <c r="H54" s="22" t="s">
        <v>491</v>
      </c>
      <c r="I54" s="22" t="s">
        <v>2160</v>
      </c>
      <c r="J54" s="22" t="s">
        <v>2161</v>
      </c>
    </row>
    <row r="55" spans="1:10" x14ac:dyDescent="0.25">
      <c r="A55" s="22" t="s">
        <v>36</v>
      </c>
      <c r="B55" s="24" t="s">
        <v>5</v>
      </c>
      <c r="C55" s="22" t="s">
        <v>2162</v>
      </c>
      <c r="D55" s="22" t="s">
        <v>2163</v>
      </c>
      <c r="E55" s="22" t="s">
        <v>2164</v>
      </c>
      <c r="F55" s="22" t="s">
        <v>2165</v>
      </c>
      <c r="G55" s="22" t="s">
        <v>499</v>
      </c>
      <c r="H55" s="22" t="s">
        <v>498</v>
      </c>
      <c r="I55" s="22" t="s">
        <v>2166</v>
      </c>
      <c r="J55" s="22" t="s">
        <v>2167</v>
      </c>
    </row>
    <row r="56" spans="1:10" x14ac:dyDescent="0.25">
      <c r="A56" s="22" t="s">
        <v>36</v>
      </c>
      <c r="B56" s="24" t="s">
        <v>6</v>
      </c>
      <c r="C56" s="22" t="s">
        <v>2168</v>
      </c>
      <c r="D56" s="22" t="s">
        <v>2169</v>
      </c>
      <c r="E56" s="22" t="s">
        <v>2170</v>
      </c>
      <c r="F56" s="22" t="s">
        <v>2171</v>
      </c>
      <c r="G56" s="22" t="s">
        <v>502</v>
      </c>
      <c r="H56" s="22" t="s">
        <v>207</v>
      </c>
      <c r="I56" s="22" t="s">
        <v>2172</v>
      </c>
      <c r="J56" s="22" t="s">
        <v>2173</v>
      </c>
    </row>
    <row r="57" spans="1:10" x14ac:dyDescent="0.25">
      <c r="A57" s="22" t="s">
        <v>36</v>
      </c>
      <c r="B57" s="24" t="s">
        <v>7</v>
      </c>
      <c r="C57" s="22" t="s">
        <v>2174</v>
      </c>
      <c r="D57" s="22" t="s">
        <v>2175</v>
      </c>
      <c r="E57" s="22" t="s">
        <v>2176</v>
      </c>
      <c r="F57" s="22" t="s">
        <v>2177</v>
      </c>
      <c r="G57" s="22" t="s">
        <v>492</v>
      </c>
      <c r="H57" s="22" t="s">
        <v>265</v>
      </c>
      <c r="I57" s="22" t="s">
        <v>2178</v>
      </c>
      <c r="J57" s="22" t="s">
        <v>368</v>
      </c>
    </row>
    <row r="58" spans="1:10" x14ac:dyDescent="0.25">
      <c r="A58" s="22" t="s">
        <v>38</v>
      </c>
      <c r="B58" s="24" t="s">
        <v>4</v>
      </c>
      <c r="C58" s="22" t="s">
        <v>2261</v>
      </c>
      <c r="D58" s="22" t="s">
        <v>1453</v>
      </c>
      <c r="E58" s="22" t="s">
        <v>2262</v>
      </c>
      <c r="F58" s="22" t="s">
        <v>2263</v>
      </c>
      <c r="G58" s="22" t="s">
        <v>807</v>
      </c>
      <c r="H58" s="22" t="s">
        <v>1938</v>
      </c>
      <c r="I58" s="22" t="s">
        <v>2264</v>
      </c>
      <c r="J58" s="22" t="s">
        <v>2265</v>
      </c>
    </row>
    <row r="59" spans="1:10" x14ac:dyDescent="0.25">
      <c r="A59" s="22" t="s">
        <v>38</v>
      </c>
      <c r="B59" s="24" t="s">
        <v>5</v>
      </c>
      <c r="C59" s="22" t="s">
        <v>2266</v>
      </c>
      <c r="D59" s="22" t="s">
        <v>2267</v>
      </c>
      <c r="E59" s="22" t="s">
        <v>2268</v>
      </c>
      <c r="F59" s="22" t="s">
        <v>2269</v>
      </c>
      <c r="G59" s="22" t="s">
        <v>495</v>
      </c>
      <c r="H59" s="22" t="s">
        <v>2270</v>
      </c>
      <c r="I59" s="22" t="s">
        <v>2271</v>
      </c>
      <c r="J59" s="22" t="s">
        <v>903</v>
      </c>
    </row>
    <row r="60" spans="1:10" x14ac:dyDescent="0.25">
      <c r="A60" s="22" t="s">
        <v>38</v>
      </c>
      <c r="B60" s="24" t="s">
        <v>6</v>
      </c>
      <c r="C60" s="22" t="s">
        <v>2272</v>
      </c>
      <c r="D60" s="22" t="s">
        <v>2273</v>
      </c>
      <c r="E60" s="22" t="s">
        <v>2274</v>
      </c>
      <c r="F60" s="22" t="s">
        <v>2275</v>
      </c>
      <c r="G60" s="22" t="s">
        <v>2276</v>
      </c>
      <c r="H60" s="22" t="s">
        <v>527</v>
      </c>
      <c r="I60" s="22" t="s">
        <v>2277</v>
      </c>
      <c r="J60" s="22" t="s">
        <v>2053</v>
      </c>
    </row>
    <row r="61" spans="1:10" x14ac:dyDescent="0.25">
      <c r="A61" s="22" t="s">
        <v>38</v>
      </c>
      <c r="B61" s="24" t="s">
        <v>7</v>
      </c>
      <c r="C61" s="22" t="s">
        <v>2278</v>
      </c>
      <c r="D61" s="22" t="s">
        <v>1416</v>
      </c>
      <c r="E61" s="22" t="s">
        <v>2279</v>
      </c>
      <c r="F61" s="22" t="s">
        <v>2280</v>
      </c>
      <c r="G61" s="22" t="s">
        <v>2281</v>
      </c>
      <c r="H61" s="22" t="s">
        <v>1524</v>
      </c>
      <c r="I61" s="22" t="s">
        <v>2282</v>
      </c>
      <c r="J61" s="22" t="s">
        <v>2283</v>
      </c>
    </row>
    <row r="62" spans="1:10" x14ac:dyDescent="0.25">
      <c r="A62" s="22" t="s">
        <v>41</v>
      </c>
      <c r="B62" s="24" t="s">
        <v>4</v>
      </c>
      <c r="C62" s="22" t="s">
        <v>2367</v>
      </c>
      <c r="D62" s="22" t="s">
        <v>2368</v>
      </c>
      <c r="E62" s="22" t="s">
        <v>2369</v>
      </c>
      <c r="F62" s="22" t="s">
        <v>2370</v>
      </c>
      <c r="G62" s="22" t="s">
        <v>2330</v>
      </c>
      <c r="H62" s="22" t="s">
        <v>1559</v>
      </c>
      <c r="I62" s="22" t="s">
        <v>2371</v>
      </c>
      <c r="J62" s="22" t="s">
        <v>238</v>
      </c>
    </row>
    <row r="63" spans="1:10" x14ac:dyDescent="0.25">
      <c r="A63" s="22" t="s">
        <v>41</v>
      </c>
      <c r="B63" s="24" t="s">
        <v>5</v>
      </c>
      <c r="C63" s="22" t="s">
        <v>2372</v>
      </c>
      <c r="D63" s="22" t="s">
        <v>2373</v>
      </c>
      <c r="E63" s="22" t="s">
        <v>2374</v>
      </c>
      <c r="F63" s="22" t="s">
        <v>2375</v>
      </c>
      <c r="G63" s="22" t="s">
        <v>309</v>
      </c>
      <c r="H63" s="22" t="s">
        <v>2299</v>
      </c>
      <c r="I63" s="22" t="s">
        <v>2376</v>
      </c>
      <c r="J63" s="22" t="s">
        <v>315</v>
      </c>
    </row>
    <row r="64" spans="1:10" x14ac:dyDescent="0.25">
      <c r="A64" s="22" t="s">
        <v>41</v>
      </c>
      <c r="B64" s="24" t="s">
        <v>6</v>
      </c>
      <c r="C64" s="22" t="s">
        <v>2377</v>
      </c>
      <c r="D64" s="22" t="s">
        <v>2378</v>
      </c>
      <c r="E64" s="22" t="s">
        <v>2379</v>
      </c>
      <c r="F64" s="22" t="s">
        <v>2380</v>
      </c>
      <c r="G64" s="22" t="s">
        <v>369</v>
      </c>
      <c r="H64" s="22" t="s">
        <v>492</v>
      </c>
      <c r="I64" s="22" t="s">
        <v>2381</v>
      </c>
      <c r="J64" s="22" t="s">
        <v>315</v>
      </c>
    </row>
    <row r="65" spans="1:10" x14ac:dyDescent="0.25">
      <c r="A65" s="22" t="s">
        <v>41</v>
      </c>
      <c r="B65" s="24" t="s">
        <v>7</v>
      </c>
      <c r="C65" s="22" t="s">
        <v>2382</v>
      </c>
      <c r="D65" s="22" t="s">
        <v>2383</v>
      </c>
      <c r="E65" s="22" t="s">
        <v>2384</v>
      </c>
      <c r="F65" s="22" t="s">
        <v>2385</v>
      </c>
      <c r="G65" s="22" t="s">
        <v>203</v>
      </c>
      <c r="H65" s="22" t="s">
        <v>2386</v>
      </c>
      <c r="I65" s="22" t="s">
        <v>2387</v>
      </c>
      <c r="J65" s="22" t="s">
        <v>692</v>
      </c>
    </row>
    <row r="66" spans="1:10" x14ac:dyDescent="0.25">
      <c r="A66" s="22" t="s">
        <v>37</v>
      </c>
      <c r="B66" s="24" t="s">
        <v>4</v>
      </c>
      <c r="C66" s="22" t="s">
        <v>2483</v>
      </c>
      <c r="D66" s="22" t="s">
        <v>2484</v>
      </c>
      <c r="E66" s="22" t="s">
        <v>2485</v>
      </c>
      <c r="F66" s="22" t="s">
        <v>2486</v>
      </c>
      <c r="G66" s="22" t="s">
        <v>2487</v>
      </c>
      <c r="H66" s="22" t="s">
        <v>1095</v>
      </c>
      <c r="I66" s="22" t="s">
        <v>2488</v>
      </c>
      <c r="J66" s="22" t="s">
        <v>1330</v>
      </c>
    </row>
    <row r="67" spans="1:10" x14ac:dyDescent="0.25">
      <c r="A67" s="22" t="s">
        <v>37</v>
      </c>
      <c r="B67" s="24" t="s">
        <v>5</v>
      </c>
      <c r="C67" s="22" t="s">
        <v>2489</v>
      </c>
      <c r="D67" s="22" t="s">
        <v>2490</v>
      </c>
      <c r="E67" s="22" t="s">
        <v>2491</v>
      </c>
      <c r="F67" s="22" t="s">
        <v>2492</v>
      </c>
      <c r="G67" s="22" t="s">
        <v>2493</v>
      </c>
      <c r="H67" s="22" t="s">
        <v>2494</v>
      </c>
      <c r="I67" s="22" t="s">
        <v>2495</v>
      </c>
      <c r="J67" s="22" t="s">
        <v>1552</v>
      </c>
    </row>
    <row r="68" spans="1:10" x14ac:dyDescent="0.25">
      <c r="A68" s="22" t="s">
        <v>37</v>
      </c>
      <c r="B68" s="24" t="s">
        <v>6</v>
      </c>
      <c r="C68" s="22" t="s">
        <v>2496</v>
      </c>
      <c r="D68" s="22" t="s">
        <v>2497</v>
      </c>
      <c r="E68" s="22" t="s">
        <v>2498</v>
      </c>
      <c r="F68" s="22" t="s">
        <v>2499</v>
      </c>
      <c r="G68" s="22" t="s">
        <v>2500</v>
      </c>
      <c r="H68" s="22" t="s">
        <v>1821</v>
      </c>
      <c r="I68" s="22" t="s">
        <v>2501</v>
      </c>
      <c r="J68" s="22" t="s">
        <v>2502</v>
      </c>
    </row>
    <row r="69" spans="1:10" x14ac:dyDescent="0.25">
      <c r="A69" s="22" t="s">
        <v>37</v>
      </c>
      <c r="B69" s="24" t="s">
        <v>7</v>
      </c>
      <c r="C69" s="22" t="s">
        <v>2503</v>
      </c>
      <c r="D69" s="22" t="s">
        <v>2504</v>
      </c>
      <c r="E69" s="22" t="s">
        <v>2505</v>
      </c>
      <c r="F69" s="22" t="s">
        <v>2506</v>
      </c>
      <c r="G69" s="22" t="s">
        <v>2507</v>
      </c>
      <c r="H69" s="22" t="s">
        <v>2293</v>
      </c>
      <c r="I69" s="22" t="s">
        <v>2508</v>
      </c>
      <c r="J69" s="22" t="s">
        <v>425</v>
      </c>
    </row>
    <row r="70" spans="1:10" x14ac:dyDescent="0.25">
      <c r="A70" s="22" t="s">
        <v>42</v>
      </c>
      <c r="B70" s="24" t="s">
        <v>4</v>
      </c>
      <c r="C70" s="22" t="s">
        <v>2607</v>
      </c>
      <c r="D70" s="22" t="s">
        <v>2608</v>
      </c>
      <c r="E70" s="22" t="s">
        <v>2609</v>
      </c>
      <c r="F70" s="22" t="s">
        <v>2610</v>
      </c>
      <c r="G70" s="22" t="s">
        <v>2611</v>
      </c>
      <c r="H70" s="22" t="s">
        <v>2612</v>
      </c>
      <c r="I70" s="22" t="s">
        <v>2613</v>
      </c>
      <c r="J70" s="22" t="s">
        <v>1526</v>
      </c>
    </row>
    <row r="71" spans="1:10" x14ac:dyDescent="0.25">
      <c r="A71" s="22" t="s">
        <v>42</v>
      </c>
      <c r="B71" s="24" t="s">
        <v>5</v>
      </c>
      <c r="C71" s="22" t="s">
        <v>2614</v>
      </c>
      <c r="D71" s="22" t="s">
        <v>2615</v>
      </c>
      <c r="E71" s="22" t="s">
        <v>2616</v>
      </c>
      <c r="F71" s="22" t="s">
        <v>2617</v>
      </c>
      <c r="G71" s="22" t="s">
        <v>2618</v>
      </c>
      <c r="H71" s="22" t="s">
        <v>1779</v>
      </c>
      <c r="I71" s="22" t="s">
        <v>2619</v>
      </c>
      <c r="J71" s="22" t="s">
        <v>1246</v>
      </c>
    </row>
    <row r="72" spans="1:10" x14ac:dyDescent="0.25">
      <c r="A72" s="22" t="s">
        <v>42</v>
      </c>
      <c r="B72" s="24" t="s">
        <v>6</v>
      </c>
      <c r="C72" s="22" t="s">
        <v>2620</v>
      </c>
      <c r="D72" s="22" t="s">
        <v>2621</v>
      </c>
      <c r="E72" s="22" t="s">
        <v>2622</v>
      </c>
      <c r="F72" s="22" t="s">
        <v>2623</v>
      </c>
      <c r="G72" s="22" t="s">
        <v>1224</v>
      </c>
      <c r="H72" s="22" t="s">
        <v>2624</v>
      </c>
      <c r="I72" s="22" t="s">
        <v>2625</v>
      </c>
      <c r="J72" s="22" t="s">
        <v>348</v>
      </c>
    </row>
    <row r="73" spans="1:10" x14ac:dyDescent="0.25">
      <c r="A73" s="22" t="s">
        <v>42</v>
      </c>
      <c r="B73" s="24" t="s">
        <v>7</v>
      </c>
      <c r="C73" s="22" t="s">
        <v>2626</v>
      </c>
      <c r="D73" s="22" t="s">
        <v>2627</v>
      </c>
      <c r="E73" s="22" t="s">
        <v>2628</v>
      </c>
      <c r="F73" s="22" t="s">
        <v>2629</v>
      </c>
      <c r="G73" s="22" t="s">
        <v>2630</v>
      </c>
      <c r="H73" s="22" t="s">
        <v>2631</v>
      </c>
      <c r="I73" s="22" t="s">
        <v>2632</v>
      </c>
      <c r="J73" s="22" t="s">
        <v>1636</v>
      </c>
    </row>
    <row r="74" spans="1:10" x14ac:dyDescent="0.25">
      <c r="A74" s="22" t="s">
        <v>45</v>
      </c>
      <c r="B74" s="24" t="s">
        <v>4</v>
      </c>
      <c r="C74" s="22" t="s">
        <v>2727</v>
      </c>
      <c r="D74" s="22" t="s">
        <v>2728</v>
      </c>
      <c r="E74" s="22" t="s">
        <v>2729</v>
      </c>
      <c r="F74" s="22" t="s">
        <v>2730</v>
      </c>
      <c r="G74" s="22" t="s">
        <v>2731</v>
      </c>
      <c r="H74" s="22" t="s">
        <v>2732</v>
      </c>
      <c r="I74" s="22" t="s">
        <v>2733</v>
      </c>
      <c r="J74" s="22" t="s">
        <v>1427</v>
      </c>
    </row>
    <row r="75" spans="1:10" x14ac:dyDescent="0.25">
      <c r="A75" s="22" t="s">
        <v>45</v>
      </c>
      <c r="B75" s="24" t="s">
        <v>5</v>
      </c>
      <c r="C75" s="22" t="s">
        <v>2734</v>
      </c>
      <c r="D75" s="22" t="s">
        <v>2735</v>
      </c>
      <c r="E75" s="22" t="s">
        <v>2736</v>
      </c>
      <c r="F75" s="22" t="s">
        <v>2737</v>
      </c>
      <c r="G75" s="22" t="s">
        <v>1238</v>
      </c>
      <c r="H75" s="22" t="s">
        <v>2738</v>
      </c>
      <c r="I75" s="22" t="s">
        <v>2739</v>
      </c>
      <c r="J75" s="22" t="s">
        <v>1232</v>
      </c>
    </row>
    <row r="76" spans="1:10" x14ac:dyDescent="0.25">
      <c r="A76" s="22" t="s">
        <v>45</v>
      </c>
      <c r="B76" s="24" t="s">
        <v>6</v>
      </c>
      <c r="C76" s="22" t="s">
        <v>2740</v>
      </c>
      <c r="D76" s="22" t="s">
        <v>2741</v>
      </c>
      <c r="E76" s="22" t="s">
        <v>2742</v>
      </c>
      <c r="F76" s="22" t="s">
        <v>2743</v>
      </c>
      <c r="G76" s="22" t="s">
        <v>1231</v>
      </c>
      <c r="H76" s="22" t="s">
        <v>2655</v>
      </c>
      <c r="I76" s="22" t="s">
        <v>2744</v>
      </c>
      <c r="J76" s="22" t="s">
        <v>1154</v>
      </c>
    </row>
    <row r="77" spans="1:10" x14ac:dyDescent="0.25">
      <c r="A77" s="22" t="s">
        <v>45</v>
      </c>
      <c r="B77" s="24" t="s">
        <v>7</v>
      </c>
      <c r="C77" s="22" t="s">
        <v>2745</v>
      </c>
      <c r="D77" s="22" t="s">
        <v>2746</v>
      </c>
      <c r="E77" s="22" t="s">
        <v>2747</v>
      </c>
      <c r="F77" s="22" t="s">
        <v>2748</v>
      </c>
      <c r="G77" s="22" t="s">
        <v>2667</v>
      </c>
      <c r="H77" s="22" t="s">
        <v>1697</v>
      </c>
      <c r="I77" s="22" t="s">
        <v>2749</v>
      </c>
      <c r="J77" s="22" t="s">
        <v>2750</v>
      </c>
    </row>
    <row r="78" spans="1:10" x14ac:dyDescent="0.25">
      <c r="A78" s="22" t="s">
        <v>35</v>
      </c>
      <c r="B78" s="24" t="s">
        <v>4</v>
      </c>
      <c r="C78" s="22" t="s">
        <v>2839</v>
      </c>
      <c r="D78" s="22" t="s">
        <v>2840</v>
      </c>
      <c r="E78" s="22" t="s">
        <v>2841</v>
      </c>
      <c r="F78" s="22" t="s">
        <v>2842</v>
      </c>
      <c r="G78" s="22" t="s">
        <v>2549</v>
      </c>
      <c r="H78" s="22" t="s">
        <v>370</v>
      </c>
      <c r="I78" s="22" t="s">
        <v>2843</v>
      </c>
      <c r="J78" s="22" t="s">
        <v>1934</v>
      </c>
    </row>
    <row r="79" spans="1:10" x14ac:dyDescent="0.25">
      <c r="A79" s="22" t="s">
        <v>35</v>
      </c>
      <c r="B79" s="24" t="s">
        <v>5</v>
      </c>
      <c r="C79" s="22" t="s">
        <v>2844</v>
      </c>
      <c r="D79" s="22" t="s">
        <v>739</v>
      </c>
      <c r="E79" s="22" t="s">
        <v>2845</v>
      </c>
      <c r="F79" s="22" t="s">
        <v>2846</v>
      </c>
      <c r="G79" s="22" t="s">
        <v>969</v>
      </c>
      <c r="H79" s="22" t="s">
        <v>365</v>
      </c>
      <c r="I79" s="22" t="s">
        <v>2847</v>
      </c>
      <c r="J79" s="22" t="s">
        <v>1476</v>
      </c>
    </row>
    <row r="80" spans="1:10" x14ac:dyDescent="0.25">
      <c r="A80" s="22" t="s">
        <v>35</v>
      </c>
      <c r="B80" s="24" t="s">
        <v>6</v>
      </c>
      <c r="C80" s="22" t="s">
        <v>2848</v>
      </c>
      <c r="D80" s="22" t="s">
        <v>2735</v>
      </c>
      <c r="E80" s="22" t="s">
        <v>2849</v>
      </c>
      <c r="F80" s="22" t="s">
        <v>2850</v>
      </c>
      <c r="G80" s="22" t="s">
        <v>1135</v>
      </c>
      <c r="H80" s="22" t="s">
        <v>1303</v>
      </c>
      <c r="I80" s="22" t="s">
        <v>2851</v>
      </c>
      <c r="J80" s="22" t="s">
        <v>1434</v>
      </c>
    </row>
    <row r="81" spans="1:10" x14ac:dyDescent="0.25">
      <c r="A81" s="22" t="s">
        <v>35</v>
      </c>
      <c r="B81" s="24" t="s">
        <v>7</v>
      </c>
      <c r="C81" s="22" t="s">
        <v>2852</v>
      </c>
      <c r="D81" s="22" t="s">
        <v>2853</v>
      </c>
      <c r="E81" s="22" t="s">
        <v>2854</v>
      </c>
      <c r="F81" s="22" t="s">
        <v>2855</v>
      </c>
      <c r="G81" s="22" t="s">
        <v>1462</v>
      </c>
      <c r="H81" s="22" t="s">
        <v>1135</v>
      </c>
      <c r="I81" s="22" t="s">
        <v>2856</v>
      </c>
      <c r="J81" s="22" t="s">
        <v>1705</v>
      </c>
    </row>
    <row r="82" spans="1:10" x14ac:dyDescent="0.25">
      <c r="A82" s="22" t="s">
        <v>43</v>
      </c>
      <c r="B82" s="24" t="s">
        <v>4</v>
      </c>
      <c r="C82" s="22" t="s">
        <v>2939</v>
      </c>
      <c r="D82" s="22" t="s">
        <v>2940</v>
      </c>
      <c r="E82" s="22" t="s">
        <v>2941</v>
      </c>
      <c r="F82" s="22" t="s">
        <v>2942</v>
      </c>
      <c r="G82" s="22" t="s">
        <v>2943</v>
      </c>
      <c r="H82" s="22" t="s">
        <v>820</v>
      </c>
      <c r="I82" s="22" t="s">
        <v>2944</v>
      </c>
      <c r="J82" s="22" t="s">
        <v>1263</v>
      </c>
    </row>
    <row r="83" spans="1:10" x14ac:dyDescent="0.25">
      <c r="A83" s="22" t="s">
        <v>43</v>
      </c>
      <c r="B83" s="24" t="s">
        <v>5</v>
      </c>
      <c r="C83" s="22" t="s">
        <v>2945</v>
      </c>
      <c r="D83" s="22" t="s">
        <v>2946</v>
      </c>
      <c r="E83" s="22" t="s">
        <v>2947</v>
      </c>
      <c r="F83" s="22" t="s">
        <v>2948</v>
      </c>
      <c r="G83" s="22" t="s">
        <v>2949</v>
      </c>
      <c r="H83" s="22" t="s">
        <v>1063</v>
      </c>
      <c r="I83" s="22" t="s">
        <v>2950</v>
      </c>
      <c r="J83" s="22" t="s">
        <v>2124</v>
      </c>
    </row>
    <row r="84" spans="1:10" x14ac:dyDescent="0.25">
      <c r="A84" s="22" t="s">
        <v>43</v>
      </c>
      <c r="B84" s="24" t="s">
        <v>6</v>
      </c>
      <c r="C84" s="22" t="s">
        <v>2951</v>
      </c>
      <c r="D84" s="22" t="s">
        <v>2952</v>
      </c>
      <c r="E84" s="22" t="s">
        <v>2953</v>
      </c>
      <c r="F84" s="22" t="s">
        <v>2954</v>
      </c>
      <c r="G84" s="22" t="s">
        <v>2955</v>
      </c>
      <c r="H84" s="22" t="s">
        <v>903</v>
      </c>
      <c r="I84" s="22" t="s">
        <v>2956</v>
      </c>
      <c r="J84" s="22" t="s">
        <v>951</v>
      </c>
    </row>
    <row r="85" spans="1:10" x14ac:dyDescent="0.25">
      <c r="A85" s="22" t="s">
        <v>43</v>
      </c>
      <c r="B85" s="24" t="s">
        <v>7</v>
      </c>
      <c r="C85" s="22" t="s">
        <v>2957</v>
      </c>
      <c r="D85" s="22" t="s">
        <v>2958</v>
      </c>
      <c r="E85" s="22" t="s">
        <v>2959</v>
      </c>
      <c r="F85" s="22" t="s">
        <v>2960</v>
      </c>
      <c r="G85" s="22" t="s">
        <v>2961</v>
      </c>
      <c r="H85" s="22" t="s">
        <v>2962</v>
      </c>
      <c r="I85" s="22" t="s">
        <v>2963</v>
      </c>
      <c r="J85" s="22" t="s">
        <v>685</v>
      </c>
    </row>
    <row r="86" spans="1:10" x14ac:dyDescent="0.25">
      <c r="A86" s="22" t="s">
        <v>46</v>
      </c>
      <c r="B86" s="24" t="s">
        <v>4</v>
      </c>
      <c r="C86" s="22" t="s">
        <v>3060</v>
      </c>
      <c r="D86" s="22" t="s">
        <v>3061</v>
      </c>
      <c r="E86" s="22" t="s">
        <v>3062</v>
      </c>
      <c r="F86" s="22" t="s">
        <v>3063</v>
      </c>
      <c r="G86" s="22" t="s">
        <v>2414</v>
      </c>
      <c r="H86" s="22" t="s">
        <v>2631</v>
      </c>
      <c r="I86" s="22" t="s">
        <v>3064</v>
      </c>
      <c r="J86" s="22" t="s">
        <v>2862</v>
      </c>
    </row>
    <row r="87" spans="1:10" x14ac:dyDescent="0.25">
      <c r="A87" s="22" t="s">
        <v>46</v>
      </c>
      <c r="B87" s="24" t="s">
        <v>5</v>
      </c>
      <c r="C87" s="22" t="s">
        <v>3065</v>
      </c>
      <c r="D87" s="22" t="s">
        <v>3066</v>
      </c>
      <c r="E87" s="22" t="s">
        <v>3067</v>
      </c>
      <c r="F87" s="22" t="s">
        <v>3068</v>
      </c>
      <c r="G87" s="22" t="s">
        <v>3069</v>
      </c>
      <c r="H87" s="22" t="s">
        <v>1095</v>
      </c>
      <c r="I87" s="22" t="s">
        <v>3070</v>
      </c>
      <c r="J87" s="22" t="s">
        <v>1636</v>
      </c>
    </row>
    <row r="88" spans="1:10" x14ac:dyDescent="0.25">
      <c r="A88" s="22" t="s">
        <v>46</v>
      </c>
      <c r="B88" s="24" t="s">
        <v>6</v>
      </c>
      <c r="C88" s="22" t="s">
        <v>3071</v>
      </c>
      <c r="D88" s="22" t="s">
        <v>2510</v>
      </c>
      <c r="E88" s="22" t="s">
        <v>3072</v>
      </c>
      <c r="F88" s="22" t="s">
        <v>3073</v>
      </c>
      <c r="G88" s="22" t="s">
        <v>3069</v>
      </c>
      <c r="H88" s="22" t="s">
        <v>765</v>
      </c>
      <c r="I88" s="22" t="s">
        <v>3074</v>
      </c>
      <c r="J88" s="22" t="s">
        <v>266</v>
      </c>
    </row>
    <row r="89" spans="1:10" x14ac:dyDescent="0.25">
      <c r="A89" s="22" t="s">
        <v>46</v>
      </c>
      <c r="B89" s="24" t="s">
        <v>7</v>
      </c>
      <c r="C89" s="22" t="s">
        <v>3075</v>
      </c>
      <c r="D89" s="22" t="s">
        <v>3076</v>
      </c>
      <c r="E89" s="22" t="s">
        <v>3077</v>
      </c>
      <c r="F89" s="22" t="s">
        <v>3078</v>
      </c>
      <c r="G89" s="22" t="s">
        <v>1268</v>
      </c>
      <c r="H89" s="22" t="s">
        <v>608</v>
      </c>
      <c r="I89" s="22" t="s">
        <v>3079</v>
      </c>
      <c r="J89" s="22" t="s">
        <v>3080</v>
      </c>
    </row>
    <row r="90" spans="1:10" x14ac:dyDescent="0.25">
      <c r="A90" s="22" t="s">
        <v>47</v>
      </c>
      <c r="B90" s="24" t="s">
        <v>4</v>
      </c>
      <c r="C90" s="22" t="s">
        <v>3173</v>
      </c>
      <c r="D90" s="22" t="s">
        <v>3174</v>
      </c>
      <c r="E90" s="22" t="s">
        <v>3175</v>
      </c>
      <c r="F90" s="22" t="s">
        <v>3176</v>
      </c>
      <c r="G90" s="22" t="s">
        <v>3177</v>
      </c>
      <c r="H90" s="22" t="s">
        <v>3178</v>
      </c>
      <c r="I90" s="22" t="s">
        <v>3179</v>
      </c>
      <c r="J90" s="22" t="s">
        <v>1827</v>
      </c>
    </row>
    <row r="91" spans="1:10" x14ac:dyDescent="0.25">
      <c r="A91" s="22" t="s">
        <v>47</v>
      </c>
      <c r="B91" s="24" t="s">
        <v>5</v>
      </c>
      <c r="C91" s="22" t="s">
        <v>3180</v>
      </c>
      <c r="D91" s="22" t="s">
        <v>3181</v>
      </c>
      <c r="E91" s="22" t="s">
        <v>3182</v>
      </c>
      <c r="F91" s="22" t="s">
        <v>3183</v>
      </c>
      <c r="G91" s="22" t="s">
        <v>3184</v>
      </c>
      <c r="H91" s="22" t="s">
        <v>3185</v>
      </c>
      <c r="I91" s="22" t="s">
        <v>3186</v>
      </c>
      <c r="J91" s="22" t="s">
        <v>1124</v>
      </c>
    </row>
    <row r="92" spans="1:10" x14ac:dyDescent="0.25">
      <c r="A92" s="22" t="s">
        <v>47</v>
      </c>
      <c r="B92" s="24" t="s">
        <v>6</v>
      </c>
      <c r="C92" s="22" t="s">
        <v>3187</v>
      </c>
      <c r="D92" s="22" t="s">
        <v>3188</v>
      </c>
      <c r="E92" s="22" t="s">
        <v>3189</v>
      </c>
      <c r="F92" s="22" t="s">
        <v>3190</v>
      </c>
      <c r="G92" s="22" t="s">
        <v>3191</v>
      </c>
      <c r="H92" s="22" t="s">
        <v>3192</v>
      </c>
      <c r="I92" s="22" t="s">
        <v>3193</v>
      </c>
      <c r="J92" s="22" t="s">
        <v>1077</v>
      </c>
    </row>
    <row r="93" spans="1:10" x14ac:dyDescent="0.25">
      <c r="A93" s="22" t="s">
        <v>47</v>
      </c>
      <c r="B93" s="24" t="s">
        <v>7</v>
      </c>
      <c r="C93" s="22" t="s">
        <v>3194</v>
      </c>
      <c r="D93" s="22" t="s">
        <v>367</v>
      </c>
      <c r="E93" s="22" t="s">
        <v>3195</v>
      </c>
      <c r="F93" s="22" t="s">
        <v>3196</v>
      </c>
      <c r="G93" s="22" t="s">
        <v>3197</v>
      </c>
      <c r="H93" s="22" t="s">
        <v>3198</v>
      </c>
      <c r="I93" s="22" t="s">
        <v>3199</v>
      </c>
      <c r="J93" s="22" t="s">
        <v>491</v>
      </c>
    </row>
    <row r="94" spans="1:10" x14ac:dyDescent="0.25">
      <c r="A94" s="22" t="s">
        <v>40</v>
      </c>
      <c r="B94" s="24" t="s">
        <v>4</v>
      </c>
      <c r="C94" s="22" t="s">
        <v>3300</v>
      </c>
      <c r="D94" s="22" t="s">
        <v>3301</v>
      </c>
      <c r="E94" s="22" t="s">
        <v>3302</v>
      </c>
      <c r="F94" s="22" t="s">
        <v>3303</v>
      </c>
      <c r="G94" s="22" t="s">
        <v>2828</v>
      </c>
      <c r="H94" s="22" t="s">
        <v>780</v>
      </c>
      <c r="I94" s="22" t="s">
        <v>3304</v>
      </c>
      <c r="J94" s="22" t="s">
        <v>242</v>
      </c>
    </row>
    <row r="95" spans="1:10" x14ac:dyDescent="0.25">
      <c r="A95" s="22" t="s">
        <v>40</v>
      </c>
      <c r="B95" s="24" t="s">
        <v>5</v>
      </c>
      <c r="C95" s="22" t="s">
        <v>3305</v>
      </c>
      <c r="D95" s="22" t="s">
        <v>2322</v>
      </c>
      <c r="E95" s="22" t="s">
        <v>3306</v>
      </c>
      <c r="F95" s="22" t="s">
        <v>3307</v>
      </c>
      <c r="G95" s="22" t="s">
        <v>3308</v>
      </c>
      <c r="H95" s="22" t="s">
        <v>3309</v>
      </c>
      <c r="I95" s="22" t="s">
        <v>3310</v>
      </c>
      <c r="J95" s="22" t="s">
        <v>3311</v>
      </c>
    </row>
    <row r="96" spans="1:10" x14ac:dyDescent="0.25">
      <c r="A96" s="22" t="s">
        <v>40</v>
      </c>
      <c r="B96" s="24" t="s">
        <v>6</v>
      </c>
      <c r="C96" s="22" t="s">
        <v>3312</v>
      </c>
      <c r="D96" s="22" t="s">
        <v>3313</v>
      </c>
      <c r="E96" s="22" t="s">
        <v>3314</v>
      </c>
      <c r="F96" s="22" t="s">
        <v>3315</v>
      </c>
      <c r="G96" s="22" t="s">
        <v>3316</v>
      </c>
      <c r="H96" s="22" t="s">
        <v>3317</v>
      </c>
      <c r="I96" s="22" t="s">
        <v>3318</v>
      </c>
      <c r="J96" s="22" t="s">
        <v>314</v>
      </c>
    </row>
    <row r="97" spans="1:10" x14ac:dyDescent="0.25">
      <c r="A97" s="22" t="s">
        <v>40</v>
      </c>
      <c r="B97" s="24" t="s">
        <v>7</v>
      </c>
      <c r="C97" s="22" t="s">
        <v>3319</v>
      </c>
      <c r="D97" s="22" t="s">
        <v>3320</v>
      </c>
      <c r="E97" s="22" t="s">
        <v>3321</v>
      </c>
      <c r="F97" s="22" t="s">
        <v>3322</v>
      </c>
      <c r="G97" s="22" t="s">
        <v>3323</v>
      </c>
      <c r="H97" s="22" t="s">
        <v>2720</v>
      </c>
      <c r="I97" s="22" t="s">
        <v>3324</v>
      </c>
      <c r="J97" s="22" t="s">
        <v>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BE10-15AC-4363-8D48-E8852A146FA0}">
  <dimension ref="A1:AF483"/>
  <sheetViews>
    <sheetView topLeftCell="C1" workbookViewId="0">
      <selection activeCell="L1" sqref="L1:U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s="3" t="s">
        <v>50</v>
      </c>
      <c r="D1" s="3" t="s">
        <v>51</v>
      </c>
      <c r="E1" t="s">
        <v>638</v>
      </c>
      <c r="F1" t="s">
        <v>53</v>
      </c>
      <c r="G1" s="3" t="s">
        <v>54</v>
      </c>
      <c r="H1" s="3" t="s">
        <v>55</v>
      </c>
      <c r="I1" t="s">
        <v>56</v>
      </c>
      <c r="J1" s="3" t="s">
        <v>57</v>
      </c>
      <c r="L1" s="22" t="s">
        <v>634</v>
      </c>
      <c r="M1" s="22" t="s">
        <v>1</v>
      </c>
      <c r="N1" s="23" t="s">
        <v>49</v>
      </c>
      <c r="O1" s="23" t="s">
        <v>51</v>
      </c>
      <c r="P1" s="22" t="s">
        <v>638</v>
      </c>
      <c r="Q1" s="22" t="s">
        <v>53</v>
      </c>
      <c r="R1" s="23" t="s">
        <v>54</v>
      </c>
      <c r="S1" s="23" t="s">
        <v>55</v>
      </c>
      <c r="T1" s="22" t="s">
        <v>56</v>
      </c>
      <c r="U1" s="23" t="s">
        <v>57</v>
      </c>
    </row>
    <row r="2" spans="1:21" x14ac:dyDescent="0.25">
      <c r="A2" t="s">
        <v>24</v>
      </c>
      <c r="B2" s="1" t="s">
        <v>4</v>
      </c>
      <c r="C2">
        <v>2.3282879817007149</v>
      </c>
      <c r="D2" s="17">
        <v>20.74</v>
      </c>
      <c r="E2">
        <v>26.034996168923985</v>
      </c>
      <c r="F2">
        <v>20.785989150966934</v>
      </c>
      <c r="G2" s="18">
        <v>3.35</v>
      </c>
      <c r="H2" s="18">
        <v>2.39</v>
      </c>
      <c r="I2">
        <v>4.3472596598788344</v>
      </c>
      <c r="J2" s="17">
        <v>7.49</v>
      </c>
      <c r="L2" s="22" t="s">
        <v>24</v>
      </c>
      <c r="M2" s="24" t="s">
        <v>4</v>
      </c>
      <c r="N2" s="22" t="str">
        <f>SUBSTITUTE(C2,",",".")</f>
        <v>2.32828798170071</v>
      </c>
      <c r="O2" s="22" t="str">
        <f>SUBSTITUTE(D2,",",".")</f>
        <v>20.74</v>
      </c>
      <c r="P2" s="22" t="str">
        <f>SUBSTITUTE(E2,",",".")</f>
        <v>26.034996168924</v>
      </c>
      <c r="Q2" s="22" t="str">
        <f>SUBSTITUTE(F2,",",".")</f>
        <v>20.7859891509669</v>
      </c>
      <c r="R2" s="22" t="str">
        <f>SUBSTITUTE(G2,",",".")</f>
        <v>3.35</v>
      </c>
      <c r="S2" s="22" t="str">
        <f>SUBSTITUTE(H2,",",".")</f>
        <v>2.39</v>
      </c>
      <c r="T2" s="22" t="str">
        <f>SUBSTITUTE(I2,",",".")</f>
        <v>4.34725965987883</v>
      </c>
      <c r="U2" s="22" t="str">
        <f>SUBSTITUTE(J2,",",".")</f>
        <v>7.49</v>
      </c>
    </row>
    <row r="3" spans="1:21" x14ac:dyDescent="0.25">
      <c r="A3" t="s">
        <v>24</v>
      </c>
      <c r="B3" s="1" t="s">
        <v>5</v>
      </c>
      <c r="C3">
        <v>4.7579695510577702</v>
      </c>
      <c r="D3" s="17">
        <v>20.13</v>
      </c>
      <c r="E3">
        <v>26.057371622501975</v>
      </c>
      <c r="F3">
        <v>20.816180825113509</v>
      </c>
      <c r="G3" s="16">
        <v>3.37</v>
      </c>
      <c r="H3" s="18">
        <v>2.33</v>
      </c>
      <c r="I3">
        <v>4.4665689532211017</v>
      </c>
      <c r="J3" s="17">
        <v>7.64</v>
      </c>
      <c r="L3" s="22" t="s">
        <v>24</v>
      </c>
      <c r="M3" s="24" t="s">
        <v>5</v>
      </c>
      <c r="N3" s="22" t="str">
        <f>SUBSTITUTE(C3,",",".")</f>
        <v>4.75796955105777</v>
      </c>
      <c r="O3" s="22" t="str">
        <f>SUBSTITUTE(D3,",",".")</f>
        <v>20.13</v>
      </c>
      <c r="P3" s="22" t="str">
        <f>SUBSTITUTE(E3,",",".")</f>
        <v>26.057371622502</v>
      </c>
      <c r="Q3" s="22" t="str">
        <f>SUBSTITUTE(F3,",",".")</f>
        <v>20.8161808251135</v>
      </c>
      <c r="R3" s="22" t="str">
        <f>SUBSTITUTE(G3,",",".")</f>
        <v>3.37</v>
      </c>
      <c r="S3" s="22" t="str">
        <f>SUBSTITUTE(H3,",",".")</f>
        <v>2.33</v>
      </c>
      <c r="T3" s="22" t="str">
        <f>SUBSTITUTE(I3,",",".")</f>
        <v>4.4665689532211</v>
      </c>
      <c r="U3" s="22" t="str">
        <f>SUBSTITUTE(J3,",",".")</f>
        <v>7.64</v>
      </c>
    </row>
    <row r="4" spans="1:21" x14ac:dyDescent="0.25">
      <c r="A4" t="s">
        <v>24</v>
      </c>
      <c r="B4" s="1" t="s">
        <v>6</v>
      </c>
      <c r="C4">
        <v>1.8153405346921492</v>
      </c>
      <c r="D4" s="17">
        <v>21.02</v>
      </c>
      <c r="E4">
        <v>24.21338794816684</v>
      </c>
      <c r="F4">
        <v>20.841405010955778</v>
      </c>
      <c r="G4" s="18">
        <v>3.6</v>
      </c>
      <c r="H4" s="16">
        <v>2.46</v>
      </c>
      <c r="I4">
        <v>4.4710407521532112</v>
      </c>
      <c r="J4" s="17">
        <v>7.61</v>
      </c>
      <c r="L4" s="22" t="s">
        <v>24</v>
      </c>
      <c r="M4" s="24" t="s">
        <v>6</v>
      </c>
      <c r="N4" s="22" t="str">
        <f>SUBSTITUTE(C4,",",".")</f>
        <v>1.81534053469215</v>
      </c>
      <c r="O4" s="22" t="str">
        <f>SUBSTITUTE(D4,",",".")</f>
        <v>21.02</v>
      </c>
      <c r="P4" s="22" t="str">
        <f>SUBSTITUTE(E4,",",".")</f>
        <v>24.2133879481668</v>
      </c>
      <c r="Q4" s="22" t="str">
        <f>SUBSTITUTE(F4,",",".")</f>
        <v>20.8414050109558</v>
      </c>
      <c r="R4" s="22" t="str">
        <f>SUBSTITUTE(G4,",",".")</f>
        <v>3.6</v>
      </c>
      <c r="S4" s="22" t="str">
        <f>SUBSTITUTE(H4,",",".")</f>
        <v>2.46</v>
      </c>
      <c r="T4" s="22" t="str">
        <f>SUBSTITUTE(I4,",",".")</f>
        <v>4.47104075215321</v>
      </c>
      <c r="U4" s="22" t="str">
        <f>SUBSTITUTE(J4,",",".")</f>
        <v>7.61</v>
      </c>
    </row>
    <row r="5" spans="1:21" x14ac:dyDescent="0.25">
      <c r="A5" t="s">
        <v>24</v>
      </c>
      <c r="B5" s="1" t="s">
        <v>7</v>
      </c>
      <c r="C5">
        <v>4.0908884149045397</v>
      </c>
      <c r="D5" s="17">
        <v>21.21</v>
      </c>
      <c r="E5">
        <v>28.556094138966397</v>
      </c>
      <c r="F5">
        <v>20.933688855450658</v>
      </c>
      <c r="G5" s="18">
        <v>3.68</v>
      </c>
      <c r="H5" s="16">
        <v>2.14</v>
      </c>
      <c r="I5">
        <v>4.2978289536785459</v>
      </c>
      <c r="J5" s="17">
        <v>7.45</v>
      </c>
      <c r="L5" s="22" t="s">
        <v>24</v>
      </c>
      <c r="M5" s="24" t="s">
        <v>7</v>
      </c>
      <c r="N5" s="22" t="str">
        <f>SUBSTITUTE(C5,",",".")</f>
        <v>4.09088841490454</v>
      </c>
      <c r="O5" s="22" t="str">
        <f>SUBSTITUTE(D5,",",".")</f>
        <v>21.21</v>
      </c>
      <c r="P5" s="22" t="str">
        <f>SUBSTITUTE(E5,",",".")</f>
        <v>28.5560941389664</v>
      </c>
      <c r="Q5" s="22" t="str">
        <f>SUBSTITUTE(F5,",",".")</f>
        <v>20.9336888554507</v>
      </c>
      <c r="R5" s="22" t="str">
        <f>SUBSTITUTE(G5,",",".")</f>
        <v>3.68</v>
      </c>
      <c r="S5" s="22" t="str">
        <f>SUBSTITUTE(H5,",",".")</f>
        <v>2.14</v>
      </c>
      <c r="T5" s="22" t="str">
        <f>SUBSTITUTE(I5,",",".")</f>
        <v>4.29782895367855</v>
      </c>
      <c r="U5" s="22" t="str">
        <f>SUBSTITUTE(J5,",",".")</f>
        <v>7.45</v>
      </c>
    </row>
    <row r="6" spans="1:21" x14ac:dyDescent="0.25">
      <c r="A6" t="s">
        <v>24</v>
      </c>
      <c r="B6" s="1" t="s">
        <v>8</v>
      </c>
      <c r="C6">
        <v>1.2702258294914199</v>
      </c>
      <c r="D6" s="17">
        <v>20.12</v>
      </c>
      <c r="E6">
        <v>25.917815200287357</v>
      </c>
      <c r="F6">
        <v>20.919098668977927</v>
      </c>
      <c r="G6" s="18">
        <v>3.35</v>
      </c>
      <c r="H6" s="18">
        <v>2.31</v>
      </c>
      <c r="I6">
        <v>4.4933026038626345</v>
      </c>
      <c r="J6" s="17">
        <v>7.64</v>
      </c>
      <c r="L6" s="22" t="s">
        <v>24</v>
      </c>
      <c r="M6" s="24" t="s">
        <v>8</v>
      </c>
      <c r="N6" s="22" t="str">
        <f>SUBSTITUTE(C6,",",".")</f>
        <v>1.27022582949142</v>
      </c>
      <c r="O6" s="22" t="str">
        <f>SUBSTITUTE(D6,",",".")</f>
        <v>20.12</v>
      </c>
      <c r="P6" s="22" t="str">
        <f>SUBSTITUTE(E6,",",".")</f>
        <v>25.9178152002874</v>
      </c>
      <c r="Q6" s="22" t="str">
        <f>SUBSTITUTE(F6,",",".")</f>
        <v>20.9190986689779</v>
      </c>
      <c r="R6" s="22" t="str">
        <f>SUBSTITUTE(G6,",",".")</f>
        <v>3.35</v>
      </c>
      <c r="S6" s="22" t="str">
        <f>SUBSTITUTE(H6,",",".")</f>
        <v>2.31</v>
      </c>
      <c r="T6" s="22" t="str">
        <f>SUBSTITUTE(I6,",",".")</f>
        <v>4.49330260386263</v>
      </c>
      <c r="U6" s="22" t="str">
        <f>SUBSTITUTE(J6,",",".")</f>
        <v>7.64</v>
      </c>
    </row>
    <row r="7" spans="1:21" x14ac:dyDescent="0.25">
      <c r="A7" t="s">
        <v>24</v>
      </c>
      <c r="B7" s="1" t="s">
        <v>9</v>
      </c>
      <c r="C7">
        <v>3.680697816953665</v>
      </c>
      <c r="D7" s="17">
        <v>20.77</v>
      </c>
      <c r="E7">
        <v>23.831198767899572</v>
      </c>
      <c r="F7">
        <v>20.925715330045936</v>
      </c>
      <c r="G7" s="16">
        <v>3.31</v>
      </c>
      <c r="H7" s="18">
        <v>2.33</v>
      </c>
      <c r="I7">
        <v>4.5331841223022229</v>
      </c>
      <c r="J7" s="17">
        <v>7.02</v>
      </c>
      <c r="L7" s="22" t="s">
        <v>24</v>
      </c>
      <c r="M7" s="24" t="s">
        <v>9</v>
      </c>
      <c r="N7" s="22" t="str">
        <f>SUBSTITUTE(C7,",",".")</f>
        <v>3.68069781695367</v>
      </c>
      <c r="O7" s="22" t="str">
        <f>SUBSTITUTE(D7,",",".")</f>
        <v>20.77</v>
      </c>
      <c r="P7" s="22" t="str">
        <f>SUBSTITUTE(E7,",",".")</f>
        <v>23.8311987678996</v>
      </c>
      <c r="Q7" s="22" t="str">
        <f>SUBSTITUTE(F7,",",".")</f>
        <v>20.9257153300459</v>
      </c>
      <c r="R7" s="22" t="str">
        <f>SUBSTITUTE(G7,",",".")</f>
        <v>3.31</v>
      </c>
      <c r="S7" s="22" t="str">
        <f>SUBSTITUTE(H7,",",".")</f>
        <v>2.33</v>
      </c>
      <c r="T7" s="22" t="str">
        <f>SUBSTITUTE(I7,",",".")</f>
        <v>4.53318412230222</v>
      </c>
      <c r="U7" s="22" t="str">
        <f>SUBSTITUTE(J7,",",".")</f>
        <v>7.02</v>
      </c>
    </row>
    <row r="8" spans="1:21" x14ac:dyDescent="0.25">
      <c r="A8" t="s">
        <v>24</v>
      </c>
      <c r="B8" s="1" t="s">
        <v>10</v>
      </c>
      <c r="C8">
        <v>1.5071729402629395</v>
      </c>
      <c r="D8" s="17">
        <v>21.63</v>
      </c>
      <c r="E8">
        <v>25.146041932600859</v>
      </c>
      <c r="F8">
        <v>20.937294189171823</v>
      </c>
      <c r="G8" s="18">
        <v>3.42</v>
      </c>
      <c r="H8" s="18">
        <v>2.94</v>
      </c>
      <c r="I8">
        <v>4.6986646630324476</v>
      </c>
      <c r="J8" s="17">
        <v>7.02</v>
      </c>
      <c r="L8" s="22" t="s">
        <v>24</v>
      </c>
      <c r="M8" s="24" t="s">
        <v>10</v>
      </c>
      <c r="N8" s="22" t="str">
        <f>SUBSTITUTE(C8,",",".")</f>
        <v>1.50717294026294</v>
      </c>
      <c r="O8" s="22" t="str">
        <f>SUBSTITUTE(D8,",",".")</f>
        <v>21.63</v>
      </c>
      <c r="P8" s="22" t="str">
        <f>SUBSTITUTE(E8,",",".")</f>
        <v>25.1460419326009</v>
      </c>
      <c r="Q8" s="22" t="str">
        <f>SUBSTITUTE(F8,",",".")</f>
        <v>20.9372941891718</v>
      </c>
      <c r="R8" s="22" t="str">
        <f>SUBSTITUTE(G8,",",".")</f>
        <v>3.42</v>
      </c>
      <c r="S8" s="22" t="str">
        <f>SUBSTITUTE(H8,",",".")</f>
        <v>2.94</v>
      </c>
      <c r="T8" s="22" t="str">
        <f>SUBSTITUTE(I8,",",".")</f>
        <v>4.69866466303245</v>
      </c>
      <c r="U8" s="22" t="str">
        <f>SUBSTITUTE(J8,",",".")</f>
        <v>7.02</v>
      </c>
    </row>
    <row r="9" spans="1:21" x14ac:dyDescent="0.25">
      <c r="A9" t="s">
        <v>24</v>
      </c>
      <c r="B9" s="1" t="s">
        <v>11</v>
      </c>
      <c r="C9">
        <v>0.2666520823277409</v>
      </c>
      <c r="D9" s="17">
        <v>22.55</v>
      </c>
      <c r="E9">
        <v>30.062156411393754</v>
      </c>
      <c r="F9">
        <v>21.018229727490588</v>
      </c>
      <c r="G9" s="18">
        <v>3.5</v>
      </c>
      <c r="H9" s="18">
        <v>2.62</v>
      </c>
      <c r="I9">
        <v>4.3670552375429894</v>
      </c>
      <c r="J9" s="17">
        <v>6.98</v>
      </c>
      <c r="L9" s="22" t="s">
        <v>24</v>
      </c>
      <c r="M9" s="24" t="s">
        <v>11</v>
      </c>
      <c r="N9" s="22" t="str">
        <f>SUBSTITUTE(C9,",",".")</f>
        <v>0.266652082327741</v>
      </c>
      <c r="O9" s="22" t="str">
        <f>SUBSTITUTE(D9,",",".")</f>
        <v>22.55</v>
      </c>
      <c r="P9" s="22" t="str">
        <f>SUBSTITUTE(E9,",",".")</f>
        <v>30.0621564113938</v>
      </c>
      <c r="Q9" s="22" t="str">
        <f>SUBSTITUTE(F9,",",".")</f>
        <v>21.0182297274906</v>
      </c>
      <c r="R9" s="22" t="str">
        <f>SUBSTITUTE(G9,",",".")</f>
        <v>3.5</v>
      </c>
      <c r="S9" s="22" t="str">
        <f>SUBSTITUTE(H9,",",".")</f>
        <v>2.62</v>
      </c>
      <c r="T9" s="22" t="str">
        <f>SUBSTITUTE(I9,",",".")</f>
        <v>4.36705523754299</v>
      </c>
      <c r="U9" s="22" t="str">
        <f>SUBSTITUTE(J9,",",".")</f>
        <v>6.98</v>
      </c>
    </row>
    <row r="10" spans="1:21" x14ac:dyDescent="0.25">
      <c r="A10" t="s">
        <v>24</v>
      </c>
      <c r="B10" s="1" t="s">
        <v>12</v>
      </c>
      <c r="C10">
        <v>2.8733162467139679</v>
      </c>
      <c r="D10" s="17">
        <v>18.23</v>
      </c>
      <c r="E10">
        <v>25.691629517011343</v>
      </c>
      <c r="F10">
        <v>20.975652658785521</v>
      </c>
      <c r="G10" s="18">
        <v>3.19</v>
      </c>
      <c r="H10" s="18">
        <v>2.81</v>
      </c>
      <c r="I10">
        <v>6.29132688070366</v>
      </c>
      <c r="J10" s="17">
        <v>20.39</v>
      </c>
      <c r="L10" s="22" t="s">
        <v>24</v>
      </c>
      <c r="M10" s="24" t="s">
        <v>12</v>
      </c>
      <c r="N10" s="22" t="str">
        <f>SUBSTITUTE(C10,",",".")</f>
        <v>2.87331624671397</v>
      </c>
      <c r="O10" s="22" t="str">
        <f>SUBSTITUTE(D10,",",".")</f>
        <v>18.23</v>
      </c>
      <c r="P10" s="22" t="str">
        <f>SUBSTITUTE(E10,",",".")</f>
        <v>25.6916295170113</v>
      </c>
      <c r="Q10" s="22" t="str">
        <f>SUBSTITUTE(F10,",",".")</f>
        <v>20.9756526587855</v>
      </c>
      <c r="R10" s="22" t="str">
        <f>SUBSTITUTE(G10,",",".")</f>
        <v>3.19</v>
      </c>
      <c r="S10" s="22" t="str">
        <f>SUBSTITUTE(H10,",",".")</f>
        <v>2.81</v>
      </c>
      <c r="T10" s="22" t="str">
        <f>SUBSTITUTE(I10,",",".")</f>
        <v>6.29132688070366</v>
      </c>
      <c r="U10" s="22" t="str">
        <f>SUBSTITUTE(J10,",",".")</f>
        <v>20.39</v>
      </c>
    </row>
    <row r="11" spans="1:21" x14ac:dyDescent="0.25">
      <c r="A11" t="s">
        <v>24</v>
      </c>
      <c r="B11" s="1" t="s">
        <v>13</v>
      </c>
      <c r="C11">
        <v>-1.7204331781634021</v>
      </c>
      <c r="D11" s="17">
        <v>19.829999999999998</v>
      </c>
      <c r="E11">
        <v>26.394772412956584</v>
      </c>
      <c r="F11">
        <v>20.992774417594848</v>
      </c>
      <c r="G11" s="18">
        <v>2.41</v>
      </c>
      <c r="H11" s="16">
        <v>2.98</v>
      </c>
      <c r="I11">
        <v>5.9660200064142028</v>
      </c>
      <c r="J11" s="17">
        <v>5.72</v>
      </c>
      <c r="L11" s="22" t="s">
        <v>24</v>
      </c>
      <c r="M11" s="24" t="s">
        <v>13</v>
      </c>
      <c r="N11" s="22" t="str">
        <f>SUBSTITUTE(C11,",",".")</f>
        <v>-1.7204331781634</v>
      </c>
      <c r="O11" s="22" t="str">
        <f>SUBSTITUTE(D11,",",".")</f>
        <v>19.83</v>
      </c>
      <c r="P11" s="22" t="str">
        <f>SUBSTITUTE(E11,",",".")</f>
        <v>26.3947724129566</v>
      </c>
      <c r="Q11" s="22" t="str">
        <f>SUBSTITUTE(F11,",",".")</f>
        <v>20.9927744175948</v>
      </c>
      <c r="R11" s="22" t="str">
        <f>SUBSTITUTE(G11,",",".")</f>
        <v>2.41</v>
      </c>
      <c r="S11" s="22" t="str">
        <f>SUBSTITUTE(H11,",",".")</f>
        <v>2.98</v>
      </c>
      <c r="T11" s="22" t="str">
        <f>SUBSTITUTE(I11,",",".")</f>
        <v>5.9660200064142</v>
      </c>
      <c r="U11" s="22" t="str">
        <f>SUBSTITUTE(J11,",",".")</f>
        <v>5.72</v>
      </c>
    </row>
    <row r="12" spans="1:21" x14ac:dyDescent="0.25">
      <c r="A12" t="s">
        <v>24</v>
      </c>
      <c r="B12" s="1" t="s">
        <v>14</v>
      </c>
      <c r="C12">
        <v>0.97863671662918628</v>
      </c>
      <c r="D12" s="17">
        <v>20.38</v>
      </c>
      <c r="E12">
        <v>32.274650401194343</v>
      </c>
      <c r="F12">
        <v>21.03042368916789</v>
      </c>
      <c r="G12" s="18">
        <v>2.0699999999999998</v>
      </c>
      <c r="H12" s="18">
        <v>3.02</v>
      </c>
      <c r="I12">
        <v>6.5011761625364706</v>
      </c>
      <c r="J12" s="17">
        <v>5.76</v>
      </c>
      <c r="L12" s="22" t="s">
        <v>24</v>
      </c>
      <c r="M12" s="24" t="s">
        <v>14</v>
      </c>
      <c r="N12" s="22" t="str">
        <f>SUBSTITUTE(C12,",",".")</f>
        <v>0.978636716629186</v>
      </c>
      <c r="O12" s="22" t="str">
        <f>SUBSTITUTE(D12,",",".")</f>
        <v>20.38</v>
      </c>
      <c r="P12" s="22" t="str">
        <f>SUBSTITUTE(E12,",",".")</f>
        <v>32.2746504011943</v>
      </c>
      <c r="Q12" s="22" t="str">
        <f>SUBSTITUTE(F12,",",".")</f>
        <v>21.0304236891679</v>
      </c>
      <c r="R12" s="22" t="str">
        <f>SUBSTITUTE(G12,",",".")</f>
        <v>2.07</v>
      </c>
      <c r="S12" s="22" t="str">
        <f>SUBSTITUTE(H12,",",".")</f>
        <v>3.02</v>
      </c>
      <c r="T12" s="22" t="str">
        <f>SUBSTITUTE(I12,",",".")</f>
        <v>6.50117616253647</v>
      </c>
      <c r="U12" s="22" t="str">
        <f>SUBSTITUTE(J12,",",".")</f>
        <v>5.76</v>
      </c>
    </row>
    <row r="13" spans="1:21" x14ac:dyDescent="0.25">
      <c r="A13" t="s">
        <v>24</v>
      </c>
      <c r="B13" s="1" t="s">
        <v>15</v>
      </c>
      <c r="C13">
        <v>0.35606415111459117</v>
      </c>
      <c r="D13" s="17">
        <v>20.61</v>
      </c>
      <c r="E13">
        <v>32.670939397520314</v>
      </c>
      <c r="F13">
        <v>21.075178966320362</v>
      </c>
      <c r="G13" s="18">
        <v>1.98</v>
      </c>
      <c r="H13" s="18">
        <v>2.94</v>
      </c>
      <c r="I13">
        <v>7.281745410363996</v>
      </c>
      <c r="J13" s="17">
        <v>6</v>
      </c>
      <c r="L13" s="22" t="s">
        <v>24</v>
      </c>
      <c r="M13" s="24" t="s">
        <v>15</v>
      </c>
      <c r="N13" s="22" t="str">
        <f>SUBSTITUTE(C13,",",".")</f>
        <v>0.356064151114591</v>
      </c>
      <c r="O13" s="22" t="str">
        <f>SUBSTITUTE(D13,",",".")</f>
        <v>20.61</v>
      </c>
      <c r="P13" s="22" t="str">
        <f>SUBSTITUTE(E13,",",".")</f>
        <v>32.6709393975203</v>
      </c>
      <c r="Q13" s="22" t="str">
        <f>SUBSTITUTE(F13,",",".")</f>
        <v>21.0751789663204</v>
      </c>
      <c r="R13" s="22" t="str">
        <f>SUBSTITUTE(G13,",",".")</f>
        <v>1.98</v>
      </c>
      <c r="S13" s="22" t="str">
        <f>SUBSTITUTE(H13,",",".")</f>
        <v>2.94</v>
      </c>
      <c r="T13" s="22" t="str">
        <f>SUBSTITUTE(I13,",",".")</f>
        <v>7.281745410364</v>
      </c>
      <c r="U13" s="22" t="str">
        <f>SUBSTITUTE(J13,",",".")</f>
        <v>6</v>
      </c>
    </row>
    <row r="14" spans="1:21" x14ac:dyDescent="0.25">
      <c r="A14" t="s">
        <v>24</v>
      </c>
      <c r="B14" s="1" t="s">
        <v>16</v>
      </c>
      <c r="C14">
        <v>1.7986891420608293</v>
      </c>
      <c r="D14" s="17">
        <v>19.399999999999999</v>
      </c>
      <c r="E14">
        <v>30.97491749583574</v>
      </c>
      <c r="F14">
        <v>21.041269454415357</v>
      </c>
      <c r="G14" s="16">
        <v>2.65</v>
      </c>
      <c r="H14" s="16">
        <v>3.12</v>
      </c>
      <c r="I14">
        <v>7.9535870317135364</v>
      </c>
      <c r="J14" s="17">
        <v>7</v>
      </c>
      <c r="L14" s="22" t="s">
        <v>24</v>
      </c>
      <c r="M14" s="24" t="s">
        <v>16</v>
      </c>
      <c r="N14" s="22" t="str">
        <f>SUBSTITUTE(C14,",",".")</f>
        <v>1.79868914206083</v>
      </c>
      <c r="O14" s="22" t="str">
        <f>SUBSTITUTE(D14,",",".")</f>
        <v>19.4</v>
      </c>
      <c r="P14" s="22" t="str">
        <f>SUBSTITUTE(E14,",",".")</f>
        <v>30.9749174958357</v>
      </c>
      <c r="Q14" s="22" t="str">
        <f>SUBSTITUTE(F14,",",".")</f>
        <v>21.0412694544154</v>
      </c>
      <c r="R14" s="22" t="str">
        <f>SUBSTITUTE(G14,",",".")</f>
        <v>2.65</v>
      </c>
      <c r="S14" s="22" t="str">
        <f>SUBSTITUTE(H14,",",".")</f>
        <v>3.12</v>
      </c>
      <c r="T14" s="22" t="str">
        <f>SUBSTITUTE(I14,",",".")</f>
        <v>7.95358703171354</v>
      </c>
      <c r="U14" s="22" t="str">
        <f>SUBSTITUTE(J14,",",".")</f>
        <v>7</v>
      </c>
    </row>
    <row r="15" spans="1:21" x14ac:dyDescent="0.25">
      <c r="A15" t="s">
        <v>24</v>
      </c>
      <c r="B15" s="1" t="s">
        <v>17</v>
      </c>
      <c r="C15">
        <v>1.7352184220436939</v>
      </c>
      <c r="D15" s="17">
        <v>19.64</v>
      </c>
      <c r="E15">
        <v>31.751535160150752</v>
      </c>
      <c r="F15">
        <v>21.068007384093825</v>
      </c>
      <c r="G15" s="18">
        <v>2.38</v>
      </c>
      <c r="H15" s="18">
        <v>3.27</v>
      </c>
      <c r="I15">
        <v>8.447582769022203</v>
      </c>
      <c r="J15" s="17">
        <v>7.02</v>
      </c>
      <c r="L15" s="22" t="s">
        <v>24</v>
      </c>
      <c r="M15" s="24" t="s">
        <v>17</v>
      </c>
      <c r="N15" s="22" t="str">
        <f>SUBSTITUTE(C15,",",".")</f>
        <v>1.73521842204369</v>
      </c>
      <c r="O15" s="22" t="str">
        <f>SUBSTITUTE(D15,",",".")</f>
        <v>19.64</v>
      </c>
      <c r="P15" s="22" t="str">
        <f>SUBSTITUTE(E15,",",".")</f>
        <v>31.7515351601508</v>
      </c>
      <c r="Q15" s="22" t="str">
        <f>SUBSTITUTE(F15,",",".")</f>
        <v>21.0680073840938</v>
      </c>
      <c r="R15" s="22" t="str">
        <f>SUBSTITUTE(G15,",",".")</f>
        <v>2.38</v>
      </c>
      <c r="S15" s="22" t="str">
        <f>SUBSTITUTE(H15,",",".")</f>
        <v>3.27</v>
      </c>
      <c r="T15" s="22" t="str">
        <f>SUBSTITUTE(I15,",",".")</f>
        <v>8.4475827690222</v>
      </c>
      <c r="U15" s="22" t="str">
        <f>SUBSTITUTE(J15,",",".")</f>
        <v>7.02</v>
      </c>
    </row>
    <row r="16" spans="1:21" x14ac:dyDescent="0.25">
      <c r="A16" t="s">
        <v>24</v>
      </c>
      <c r="B16" s="1" t="s">
        <v>18</v>
      </c>
      <c r="C16">
        <v>2.0796567073235219</v>
      </c>
      <c r="D16" s="17">
        <v>24.37</v>
      </c>
      <c r="E16">
        <v>32.050367761119993</v>
      </c>
      <c r="F16">
        <v>21.154084121863381</v>
      </c>
      <c r="G16" s="18">
        <v>2.52</v>
      </c>
      <c r="H16" s="16">
        <v>3.29</v>
      </c>
      <c r="I16">
        <v>8.5449547978269038</v>
      </c>
      <c r="J16" s="17">
        <v>6.86</v>
      </c>
      <c r="L16" s="22" t="s">
        <v>24</v>
      </c>
      <c r="M16" s="24" t="s">
        <v>18</v>
      </c>
      <c r="N16" s="22" t="str">
        <f>SUBSTITUTE(C16,",",".")</f>
        <v>2.07965670732352</v>
      </c>
      <c r="O16" s="22" t="str">
        <f>SUBSTITUTE(D16,",",".")</f>
        <v>24.37</v>
      </c>
      <c r="P16" s="22" t="str">
        <f>SUBSTITUTE(E16,",",".")</f>
        <v>32.05036776112</v>
      </c>
      <c r="Q16" s="22" t="str">
        <f>SUBSTITUTE(F16,",",".")</f>
        <v>21.1540841218634</v>
      </c>
      <c r="R16" s="22" t="str">
        <f>SUBSTITUTE(G16,",",".")</f>
        <v>2.52</v>
      </c>
      <c r="S16" s="22" t="str">
        <f>SUBSTITUTE(H16,",",".")</f>
        <v>3.29</v>
      </c>
      <c r="T16" s="22" t="str">
        <f>SUBSTITUTE(I16,",",".")</f>
        <v>8.5449547978269</v>
      </c>
      <c r="U16" s="22" t="str">
        <f>SUBSTITUTE(J16,",",".")</f>
        <v>6.86</v>
      </c>
    </row>
    <row r="17" spans="1:21" x14ac:dyDescent="0.25">
      <c r="A17" t="s">
        <v>24</v>
      </c>
      <c r="B17" s="1" t="s">
        <v>19</v>
      </c>
      <c r="C17">
        <v>1.3588577358263263</v>
      </c>
      <c r="D17" s="17">
        <v>25.28</v>
      </c>
      <c r="E17">
        <v>32.668793260128041</v>
      </c>
      <c r="F17">
        <v>21.176098532762396</v>
      </c>
      <c r="G17" s="18">
        <v>2.72</v>
      </c>
      <c r="H17" s="18">
        <v>3.08</v>
      </c>
      <c r="I17">
        <v>8.5738033387173971</v>
      </c>
      <c r="J17" s="17">
        <v>6.89</v>
      </c>
      <c r="L17" s="22" t="s">
        <v>24</v>
      </c>
      <c r="M17" s="24" t="s">
        <v>19</v>
      </c>
      <c r="N17" s="22" t="str">
        <f>SUBSTITUTE(C17,",",".")</f>
        <v>1.35885773582633</v>
      </c>
      <c r="O17" s="22" t="str">
        <f>SUBSTITUTE(D17,",",".")</f>
        <v>25.28</v>
      </c>
      <c r="P17" s="22" t="str">
        <f>SUBSTITUTE(E17,",",".")</f>
        <v>32.668793260128</v>
      </c>
      <c r="Q17" s="22" t="str">
        <f>SUBSTITUTE(F17,",",".")</f>
        <v>21.1760985327624</v>
      </c>
      <c r="R17" s="22" t="str">
        <f>SUBSTITUTE(G17,",",".")</f>
        <v>2.72</v>
      </c>
      <c r="S17" s="22" t="str">
        <f>SUBSTITUTE(H17,",",".")</f>
        <v>3.08</v>
      </c>
      <c r="T17" s="22" t="str">
        <f>SUBSTITUTE(I17,",",".")</f>
        <v>8.5738033387174</v>
      </c>
      <c r="U17" s="22" t="str">
        <f>SUBSTITUTE(J17,",",".")</f>
        <v>6.89</v>
      </c>
    </row>
    <row r="18" spans="1:21" x14ac:dyDescent="0.25">
      <c r="A18" t="s">
        <v>24</v>
      </c>
      <c r="B18" s="1" t="s">
        <v>20</v>
      </c>
      <c r="C18">
        <v>3.2954198637642333</v>
      </c>
      <c r="D18" s="17">
        <v>22.39</v>
      </c>
      <c r="E18">
        <v>31.141284132003761</v>
      </c>
      <c r="F18">
        <v>21.155604032664254</v>
      </c>
      <c r="G18" s="16">
        <v>3.56</v>
      </c>
      <c r="H18" s="16">
        <v>3.15</v>
      </c>
      <c r="I18">
        <v>8.6920108534612162</v>
      </c>
      <c r="J18" s="16">
        <v>6.85</v>
      </c>
      <c r="L18" s="22" t="s">
        <v>24</v>
      </c>
      <c r="M18" s="24" t="s">
        <v>20</v>
      </c>
      <c r="N18" s="22" t="str">
        <f>SUBSTITUTE(C18,",",".")</f>
        <v>3.29541986376423</v>
      </c>
      <c r="O18" s="22" t="str">
        <f>SUBSTITUTE(D18,",",".")</f>
        <v>22.39</v>
      </c>
      <c r="P18" s="22" t="str">
        <f>SUBSTITUTE(E18,",",".")</f>
        <v>31.1412841320038</v>
      </c>
      <c r="Q18" s="22" t="str">
        <f>SUBSTITUTE(F18,",",".")</f>
        <v>21.1556040326643</v>
      </c>
      <c r="R18" s="22" t="str">
        <f>SUBSTITUTE(G18,",",".")</f>
        <v>3.56</v>
      </c>
      <c r="S18" s="22" t="str">
        <f>SUBSTITUTE(H18,",",".")</f>
        <v>3.15</v>
      </c>
      <c r="T18" s="22" t="str">
        <f>SUBSTITUTE(I18,",",".")</f>
        <v>8.69201085346122</v>
      </c>
      <c r="U18" s="22" t="str">
        <f>SUBSTITUTE(J18,",",".")</f>
        <v>6.85</v>
      </c>
    </row>
    <row r="19" spans="1:21" x14ac:dyDescent="0.25">
      <c r="A19" t="s">
        <v>24</v>
      </c>
      <c r="B19" s="1" t="s">
        <v>21</v>
      </c>
      <c r="C19">
        <v>2.955874842227777</v>
      </c>
      <c r="D19" s="16">
        <v>22.97</v>
      </c>
      <c r="E19">
        <v>30.065688056482482</v>
      </c>
      <c r="F19">
        <v>21.156860506352977</v>
      </c>
      <c r="G19" s="16">
        <v>3.82</v>
      </c>
      <c r="H19" s="16">
        <v>3.32</v>
      </c>
      <c r="I19">
        <v>8.8100515889163518</v>
      </c>
      <c r="J19" s="16">
        <v>7.35</v>
      </c>
      <c r="L19" s="22" t="s">
        <v>24</v>
      </c>
      <c r="M19" s="24" t="s">
        <v>21</v>
      </c>
      <c r="N19" s="22" t="str">
        <f>SUBSTITUTE(C19,",",".")</f>
        <v>2.95587484222778</v>
      </c>
      <c r="O19" s="22" t="str">
        <f>SUBSTITUTE(D19,",",".")</f>
        <v>22.97</v>
      </c>
      <c r="P19" s="22" t="str">
        <f>SUBSTITUTE(E19,",",".")</f>
        <v>30.0656880564825</v>
      </c>
      <c r="Q19" s="22" t="str">
        <f>SUBSTITUTE(F19,",",".")</f>
        <v>21.156860506353</v>
      </c>
      <c r="R19" s="22" t="str">
        <f>SUBSTITUTE(G19,",",".")</f>
        <v>3.82</v>
      </c>
      <c r="S19" s="22" t="str">
        <f>SUBSTITUTE(H19,",",".")</f>
        <v>3.32</v>
      </c>
      <c r="T19" s="22" t="str">
        <f>SUBSTITUTE(I19,",",".")</f>
        <v>8.81005158891635</v>
      </c>
      <c r="U19" s="22" t="str">
        <f>SUBSTITUTE(J19,",",".")</f>
        <v>7.35</v>
      </c>
    </row>
    <row r="20" spans="1:21" x14ac:dyDescent="0.25">
      <c r="A20" t="s">
        <v>24</v>
      </c>
      <c r="B20" s="1" t="s">
        <v>22</v>
      </c>
      <c r="C20">
        <v>0.34901132303670029</v>
      </c>
      <c r="D20" s="17">
        <v>24</v>
      </c>
      <c r="E20">
        <v>30.125700175881757</v>
      </c>
      <c r="F20">
        <v>21.178003738771373</v>
      </c>
      <c r="G20" s="16">
        <v>3.97</v>
      </c>
      <c r="H20" s="16">
        <v>3.14</v>
      </c>
      <c r="I20">
        <v>8.6564422776832295</v>
      </c>
      <c r="J20" s="16">
        <v>7.23</v>
      </c>
      <c r="L20" s="22" t="s">
        <v>24</v>
      </c>
      <c r="M20" s="24" t="s">
        <v>22</v>
      </c>
      <c r="N20" s="22" t="str">
        <f>SUBSTITUTE(C20,",",".")</f>
        <v>0.3490113230367</v>
      </c>
      <c r="O20" s="22" t="str">
        <f>SUBSTITUTE(D20,",",".")</f>
        <v>24</v>
      </c>
      <c r="P20" s="22" t="str">
        <f>SUBSTITUTE(E20,",",".")</f>
        <v>30.1257001758818</v>
      </c>
      <c r="Q20" s="22" t="str">
        <f>SUBSTITUTE(F20,",",".")</f>
        <v>21.1780037387714</v>
      </c>
      <c r="R20" s="22" t="str">
        <f>SUBSTITUTE(G20,",",".")</f>
        <v>3.97</v>
      </c>
      <c r="S20" s="22" t="str">
        <f>SUBSTITUTE(H20,",",".")</f>
        <v>3.14</v>
      </c>
      <c r="T20" s="22" t="str">
        <f>SUBSTITUTE(I20,",",".")</f>
        <v>8.65644227768323</v>
      </c>
      <c r="U20" s="22" t="str">
        <f>SUBSTITUTE(J20,",",".")</f>
        <v>7.23</v>
      </c>
    </row>
    <row r="21" spans="1:21" x14ac:dyDescent="0.25">
      <c r="A21" t="s">
        <v>24</v>
      </c>
      <c r="B21" s="1" t="s">
        <v>23</v>
      </c>
      <c r="C21">
        <v>2.2523908879233683</v>
      </c>
      <c r="D21" s="19">
        <v>23.3</v>
      </c>
      <c r="E21">
        <v>33.155021311706754</v>
      </c>
      <c r="F21">
        <v>21.283449847983935</v>
      </c>
      <c r="G21" s="18">
        <v>3.76</v>
      </c>
      <c r="H21" s="18">
        <v>2.82</v>
      </c>
      <c r="I21">
        <v>8.2131102784831036</v>
      </c>
      <c r="J21" s="19">
        <v>6.8</v>
      </c>
      <c r="L21" s="22" t="s">
        <v>24</v>
      </c>
      <c r="M21" s="24" t="s">
        <v>23</v>
      </c>
      <c r="N21" s="22" t="str">
        <f>SUBSTITUTE(C21,",",".")</f>
        <v>2.25239088792337</v>
      </c>
      <c r="O21" s="22" t="str">
        <f>SUBSTITUTE(D21,",",".")</f>
        <v>23.3</v>
      </c>
      <c r="P21" s="22" t="str">
        <f>SUBSTITUTE(E21,",",".")</f>
        <v>33.1550213117068</v>
      </c>
      <c r="Q21" s="22" t="str">
        <f>SUBSTITUTE(F21,",",".")</f>
        <v>21.2834498479839</v>
      </c>
      <c r="R21" s="22" t="str">
        <f>SUBSTITUTE(G21,",",".")</f>
        <v>3.76</v>
      </c>
      <c r="S21" s="22" t="str">
        <f>SUBSTITUTE(H21,",",".")</f>
        <v>2.82</v>
      </c>
      <c r="T21" s="22" t="str">
        <f>SUBSTITUTE(I21,",",".")</f>
        <v>8.2131102784831</v>
      </c>
      <c r="U21" s="22" t="str">
        <f>SUBSTITUTE(J21,",",".")</f>
        <v>6.8</v>
      </c>
    </row>
    <row r="22" spans="1:21" x14ac:dyDescent="0.25">
      <c r="A22" t="s">
        <v>25</v>
      </c>
      <c r="B22" s="1" t="s">
        <v>4</v>
      </c>
      <c r="C22">
        <v>-4.5982721552190515</v>
      </c>
      <c r="D22" s="17">
        <v>20.94</v>
      </c>
      <c r="E22">
        <v>24.580040913017854</v>
      </c>
      <c r="F22">
        <v>20.667350632706945</v>
      </c>
      <c r="G22" s="18">
        <v>3.17</v>
      </c>
      <c r="H22" s="16">
        <v>3.35</v>
      </c>
      <c r="I22">
        <v>4.8058128127673854</v>
      </c>
      <c r="J22" s="17">
        <v>5.61</v>
      </c>
      <c r="L22" s="22" t="s">
        <v>25</v>
      </c>
      <c r="M22" s="24" t="s">
        <v>4</v>
      </c>
      <c r="N22" s="22" t="str">
        <f>SUBSTITUTE(C22,",",".")</f>
        <v>-4.59827215521905</v>
      </c>
      <c r="O22" s="22" t="str">
        <f>SUBSTITUTE(D22,",",".")</f>
        <v>20.94</v>
      </c>
      <c r="P22" s="22" t="str">
        <f>SUBSTITUTE(E22,",",".")</f>
        <v>24.5800409130179</v>
      </c>
      <c r="Q22" s="22" t="str">
        <f>SUBSTITUTE(F22,",",".")</f>
        <v>20.6673506327069</v>
      </c>
      <c r="R22" s="22" t="str">
        <f>SUBSTITUTE(G22,",",".")</f>
        <v>3.17</v>
      </c>
      <c r="S22" s="22" t="str">
        <f>SUBSTITUTE(H22,",",".")</f>
        <v>3.35</v>
      </c>
      <c r="T22" s="22" t="str">
        <f>SUBSTITUTE(I22,",",".")</f>
        <v>4.80581281276739</v>
      </c>
      <c r="U22" s="22" t="str">
        <f>SUBSTITUTE(J22,",",".")</f>
        <v>5.61</v>
      </c>
    </row>
    <row r="23" spans="1:21" x14ac:dyDescent="0.25">
      <c r="A23" t="s">
        <v>25</v>
      </c>
      <c r="B23" s="1" t="s">
        <v>5</v>
      </c>
      <c r="C23">
        <v>9.198808181209376</v>
      </c>
      <c r="D23" s="17">
        <v>20.64</v>
      </c>
      <c r="E23">
        <v>23.432879627324837</v>
      </c>
      <c r="F23">
        <v>20.726724628424808</v>
      </c>
      <c r="G23" s="18">
        <v>3.04</v>
      </c>
      <c r="H23" s="18">
        <v>3.13</v>
      </c>
      <c r="I23">
        <v>4.4895124895201537</v>
      </c>
      <c r="J23" s="17">
        <v>5.51</v>
      </c>
      <c r="L23" s="22" t="s">
        <v>25</v>
      </c>
      <c r="M23" s="24" t="s">
        <v>5</v>
      </c>
      <c r="N23" s="22" t="str">
        <f>SUBSTITUTE(C23,",",".")</f>
        <v>9.19880818120938</v>
      </c>
      <c r="O23" s="22" t="str">
        <f>SUBSTITUTE(D23,",",".")</f>
        <v>20.64</v>
      </c>
      <c r="P23" s="22" t="str">
        <f>SUBSTITUTE(E23,",",".")</f>
        <v>23.4328796273248</v>
      </c>
      <c r="Q23" s="22" t="str">
        <f>SUBSTITUTE(F23,",",".")</f>
        <v>20.7267246284248</v>
      </c>
      <c r="R23" s="22" t="str">
        <f>SUBSTITUTE(G23,",",".")</f>
        <v>3.04</v>
      </c>
      <c r="S23" s="22" t="str">
        <f>SUBSTITUTE(H23,",",".")</f>
        <v>3.13</v>
      </c>
      <c r="T23" s="22" t="str">
        <f>SUBSTITUTE(I23,",",".")</f>
        <v>4.48951248952015</v>
      </c>
      <c r="U23" s="22" t="str">
        <f>SUBSTITUTE(J23,",",".")</f>
        <v>5.51</v>
      </c>
    </row>
    <row r="24" spans="1:21" x14ac:dyDescent="0.25">
      <c r="A24" t="s">
        <v>25</v>
      </c>
      <c r="B24" s="1" t="s">
        <v>6</v>
      </c>
      <c r="C24">
        <v>2.0092973781479322</v>
      </c>
      <c r="D24" s="17">
        <v>21.38</v>
      </c>
      <c r="E24">
        <v>22.243116977941686</v>
      </c>
      <c r="F24">
        <v>20.74044133990084</v>
      </c>
      <c r="G24" s="18">
        <v>2.96</v>
      </c>
      <c r="H24" s="18">
        <v>3.04</v>
      </c>
      <c r="I24">
        <v>4.3588038844215244</v>
      </c>
      <c r="J24" s="17">
        <v>5.52</v>
      </c>
      <c r="L24" s="22" t="s">
        <v>25</v>
      </c>
      <c r="M24" s="24" t="s">
        <v>6</v>
      </c>
      <c r="N24" s="22" t="str">
        <f>SUBSTITUTE(C24,",",".")</f>
        <v>2.00929737814793</v>
      </c>
      <c r="O24" s="22" t="str">
        <f>SUBSTITUTE(D24,",",".")</f>
        <v>21.38</v>
      </c>
      <c r="P24" s="22" t="str">
        <f>SUBSTITUTE(E24,",",".")</f>
        <v>22.2431169779417</v>
      </c>
      <c r="Q24" s="22" t="str">
        <f>SUBSTITUTE(F24,",",".")</f>
        <v>20.7404413399008</v>
      </c>
      <c r="R24" s="22" t="str">
        <f>SUBSTITUTE(G24,",",".")</f>
        <v>2.96</v>
      </c>
      <c r="S24" s="22" t="str">
        <f>SUBSTITUTE(H24,",",".")</f>
        <v>3.04</v>
      </c>
      <c r="T24" s="22" t="str">
        <f>SUBSTITUTE(I24,",",".")</f>
        <v>4.35880388442152</v>
      </c>
      <c r="U24" s="22" t="str">
        <f>SUBSTITUTE(J24,",",".")</f>
        <v>5.52</v>
      </c>
    </row>
    <row r="25" spans="1:21" x14ac:dyDescent="0.25">
      <c r="A25" t="s">
        <v>25</v>
      </c>
      <c r="B25" s="1" t="s">
        <v>7</v>
      </c>
      <c r="C25">
        <v>5.0111822713553762</v>
      </c>
      <c r="D25" s="17">
        <v>20.96</v>
      </c>
      <c r="E25">
        <v>20.796856875365435</v>
      </c>
      <c r="F25">
        <v>20.759672793273126</v>
      </c>
      <c r="G25" s="18">
        <v>3.17</v>
      </c>
      <c r="H25" s="18">
        <v>2.79</v>
      </c>
      <c r="I25">
        <v>4.0919950848470696</v>
      </c>
      <c r="J25" s="17">
        <v>5.52</v>
      </c>
      <c r="L25" s="22" t="s">
        <v>25</v>
      </c>
      <c r="M25" s="24" t="s">
        <v>7</v>
      </c>
      <c r="N25" s="22" t="str">
        <f>SUBSTITUTE(C25,",",".")</f>
        <v>5.01118227135538</v>
      </c>
      <c r="O25" s="22" t="str">
        <f>SUBSTITUTE(D25,",",".")</f>
        <v>20.96</v>
      </c>
      <c r="P25" s="22" t="str">
        <f>SUBSTITUTE(E25,",",".")</f>
        <v>20.7968568753654</v>
      </c>
      <c r="Q25" s="22" t="str">
        <f>SUBSTITUTE(F25,",",".")</f>
        <v>20.7596727932731</v>
      </c>
      <c r="R25" s="22" t="str">
        <f>SUBSTITUTE(G25,",",".")</f>
        <v>3.17</v>
      </c>
      <c r="S25" s="22" t="str">
        <f>SUBSTITUTE(H25,",",".")</f>
        <v>2.79</v>
      </c>
      <c r="T25" s="22" t="str">
        <f>SUBSTITUTE(I25,",",".")</f>
        <v>4.09199508484707</v>
      </c>
      <c r="U25" s="22" t="str">
        <f>SUBSTITUTE(J25,",",".")</f>
        <v>5.52</v>
      </c>
    </row>
    <row r="26" spans="1:21" x14ac:dyDescent="0.25">
      <c r="A26" t="s">
        <v>25</v>
      </c>
      <c r="B26" s="1" t="s">
        <v>8</v>
      </c>
      <c r="C26">
        <v>-4.7897553540319997</v>
      </c>
      <c r="D26" s="17">
        <v>22.47</v>
      </c>
      <c r="E26">
        <v>23.307132731195949</v>
      </c>
      <c r="F26">
        <v>20.758552401282437</v>
      </c>
      <c r="G26" s="16">
        <v>3.42</v>
      </c>
      <c r="H26" s="16">
        <v>2.73</v>
      </c>
      <c r="I26">
        <v>4.093507106049171</v>
      </c>
      <c r="J26" s="17">
        <v>5.55</v>
      </c>
      <c r="L26" s="22" t="s">
        <v>25</v>
      </c>
      <c r="M26" s="24" t="s">
        <v>8</v>
      </c>
      <c r="N26" s="22" t="str">
        <f>SUBSTITUTE(C26,",",".")</f>
        <v>-4.789755354032</v>
      </c>
      <c r="O26" s="22" t="str">
        <f>SUBSTITUTE(D26,",",".")</f>
        <v>22.47</v>
      </c>
      <c r="P26" s="22" t="str">
        <f>SUBSTITUTE(E26,",",".")</f>
        <v>23.3071327311959</v>
      </c>
      <c r="Q26" s="22" t="str">
        <f>SUBSTITUTE(F26,",",".")</f>
        <v>20.7585524012824</v>
      </c>
      <c r="R26" s="22" t="str">
        <f>SUBSTITUTE(G26,",",".")</f>
        <v>3.42</v>
      </c>
      <c r="S26" s="22" t="str">
        <f>SUBSTITUTE(H26,",",".")</f>
        <v>2.73</v>
      </c>
      <c r="T26" s="22" t="str">
        <f>SUBSTITUTE(I26,",",".")</f>
        <v>4.09350710604917</v>
      </c>
      <c r="U26" s="22" t="str">
        <f>SUBSTITUTE(J26,",",".")</f>
        <v>5.55</v>
      </c>
    </row>
    <row r="27" spans="1:21" x14ac:dyDescent="0.25">
      <c r="A27" t="s">
        <v>25</v>
      </c>
      <c r="B27" s="1" t="s">
        <v>9</v>
      </c>
      <c r="C27">
        <v>5.9548915989000939</v>
      </c>
      <c r="D27" s="17">
        <v>21.01</v>
      </c>
      <c r="E27">
        <v>21.107999459181322</v>
      </c>
      <c r="F27">
        <v>20.779977894184071</v>
      </c>
      <c r="G27" s="18">
        <v>3.08</v>
      </c>
      <c r="H27" s="16">
        <v>2.64</v>
      </c>
      <c r="I27">
        <v>3.9964548512371243</v>
      </c>
      <c r="J27" s="17">
        <v>5.49</v>
      </c>
      <c r="L27" s="22" t="s">
        <v>25</v>
      </c>
      <c r="M27" s="24" t="s">
        <v>9</v>
      </c>
      <c r="N27" s="22" t="str">
        <f>SUBSTITUTE(C27,",",".")</f>
        <v>5.95489159890009</v>
      </c>
      <c r="O27" s="22" t="str">
        <f>SUBSTITUTE(D27,",",".")</f>
        <v>21.01</v>
      </c>
      <c r="P27" s="22" t="str">
        <f>SUBSTITUTE(E27,",",".")</f>
        <v>21.1079994591813</v>
      </c>
      <c r="Q27" s="22" t="str">
        <f>SUBSTITUTE(F27,",",".")</f>
        <v>20.7799778941841</v>
      </c>
      <c r="R27" s="22" t="str">
        <f>SUBSTITUTE(G27,",",".")</f>
        <v>3.08</v>
      </c>
      <c r="S27" s="22" t="str">
        <f>SUBSTITUTE(H27,",",".")</f>
        <v>2.64</v>
      </c>
      <c r="T27" s="22" t="str">
        <f>SUBSTITUTE(I27,",",".")</f>
        <v>3.99645485123712</v>
      </c>
      <c r="U27" s="22" t="str">
        <f>SUBSTITUTE(J27,",",".")</f>
        <v>5.49</v>
      </c>
    </row>
    <row r="28" spans="1:21" x14ac:dyDescent="0.25">
      <c r="A28" t="s">
        <v>25</v>
      </c>
      <c r="B28" s="1" t="s">
        <v>10</v>
      </c>
      <c r="C28">
        <v>0.39005678253243814</v>
      </c>
      <c r="D28" s="17">
        <v>22.5</v>
      </c>
      <c r="E28">
        <v>23.92129364957621</v>
      </c>
      <c r="F28">
        <v>20.816444989542507</v>
      </c>
      <c r="G28" s="18">
        <v>3.01</v>
      </c>
      <c r="H28" s="16">
        <v>2.61</v>
      </c>
      <c r="I28">
        <v>4.0779924168028323</v>
      </c>
      <c r="J28" s="17">
        <v>5.49</v>
      </c>
      <c r="L28" s="22" t="s">
        <v>25</v>
      </c>
      <c r="M28" s="24" t="s">
        <v>10</v>
      </c>
      <c r="N28" s="22" t="str">
        <f>SUBSTITUTE(C28,",",".")</f>
        <v>0.390056782532438</v>
      </c>
      <c r="O28" s="22" t="str">
        <f>SUBSTITUTE(D28,",",".")</f>
        <v>22.5</v>
      </c>
      <c r="P28" s="22" t="str">
        <f>SUBSTITUTE(E28,",",".")</f>
        <v>23.9212936495762</v>
      </c>
      <c r="Q28" s="22" t="str">
        <f>SUBSTITUTE(F28,",",".")</f>
        <v>20.8164449895425</v>
      </c>
      <c r="R28" s="22" t="str">
        <f>SUBSTITUTE(G28,",",".")</f>
        <v>3.01</v>
      </c>
      <c r="S28" s="22" t="str">
        <f>SUBSTITUTE(H28,",",".")</f>
        <v>2.61</v>
      </c>
      <c r="T28" s="22" t="str">
        <f>SUBSTITUTE(I28,",",".")</f>
        <v>4.07799241680283</v>
      </c>
      <c r="U28" s="22" t="str">
        <f>SUBSTITUTE(J28,",",".")</f>
        <v>5.49</v>
      </c>
    </row>
    <row r="29" spans="1:21" x14ac:dyDescent="0.25">
      <c r="A29" t="s">
        <v>25</v>
      </c>
      <c r="B29" s="1" t="s">
        <v>11</v>
      </c>
      <c r="C29">
        <v>8.8211767724865044</v>
      </c>
      <c r="D29" s="16">
        <v>21.39</v>
      </c>
      <c r="E29">
        <v>20.001920378281294</v>
      </c>
      <c r="F29">
        <v>20.844318078476679</v>
      </c>
      <c r="G29" s="18">
        <v>3.03</v>
      </c>
      <c r="H29" s="18">
        <v>2.39</v>
      </c>
      <c r="I29">
        <v>3.5101058613135012</v>
      </c>
      <c r="J29" s="16">
        <v>21.39</v>
      </c>
      <c r="L29" s="22" t="s">
        <v>25</v>
      </c>
      <c r="M29" s="24" t="s">
        <v>11</v>
      </c>
      <c r="N29" s="22" t="str">
        <f>SUBSTITUTE(C29,",",".")</f>
        <v>8.8211767724865</v>
      </c>
      <c r="O29" s="22" t="str">
        <f>SUBSTITUTE(D29,",",".")</f>
        <v>21.39</v>
      </c>
      <c r="P29" s="22" t="str">
        <f>SUBSTITUTE(E29,",",".")</f>
        <v>20.0019203782813</v>
      </c>
      <c r="Q29" s="22" t="str">
        <f>SUBSTITUTE(F29,",",".")</f>
        <v>20.8443180784767</v>
      </c>
      <c r="R29" s="22" t="str">
        <f>SUBSTITUTE(G29,",",".")</f>
        <v>3.03</v>
      </c>
      <c r="S29" s="22" t="str">
        <f>SUBSTITUTE(H29,",",".")</f>
        <v>2.39</v>
      </c>
      <c r="T29" s="22" t="str">
        <f>SUBSTITUTE(I29,",",".")</f>
        <v>3.5101058613135</v>
      </c>
      <c r="U29" s="22" t="str">
        <f>SUBSTITUTE(J29,",",".")</f>
        <v>21.39</v>
      </c>
    </row>
    <row r="30" spans="1:21" x14ac:dyDescent="0.25">
      <c r="A30" t="s">
        <v>25</v>
      </c>
      <c r="B30" s="1" t="s">
        <v>12</v>
      </c>
      <c r="C30">
        <v>-0.78785867351784145</v>
      </c>
      <c r="D30" s="18">
        <v>17.649999999999999</v>
      </c>
      <c r="E30">
        <v>22.495591975799829</v>
      </c>
      <c r="F30">
        <v>20.846109676217274</v>
      </c>
      <c r="G30" s="18">
        <v>3.55</v>
      </c>
      <c r="H30" s="16">
        <v>2.4</v>
      </c>
      <c r="I30">
        <v>6.5573521141502455</v>
      </c>
      <c r="J30" s="18">
        <v>5.26</v>
      </c>
      <c r="L30" s="22" t="s">
        <v>25</v>
      </c>
      <c r="M30" s="24" t="s">
        <v>12</v>
      </c>
      <c r="N30" s="22" t="str">
        <f>SUBSTITUTE(C30,",",".")</f>
        <v>-0.787858673517841</v>
      </c>
      <c r="O30" s="22" t="str">
        <f>SUBSTITUTE(D30,",",".")</f>
        <v>17.65</v>
      </c>
      <c r="P30" s="22" t="str">
        <f>SUBSTITUTE(E30,",",".")</f>
        <v>22.4955919757998</v>
      </c>
      <c r="Q30" s="22" t="str">
        <f>SUBSTITUTE(F30,",",".")</f>
        <v>20.8461096762173</v>
      </c>
      <c r="R30" s="22" t="str">
        <f>SUBSTITUTE(G30,",",".")</f>
        <v>3.55</v>
      </c>
      <c r="S30" s="22" t="str">
        <f>SUBSTITUTE(H30,",",".")</f>
        <v>2.4</v>
      </c>
      <c r="T30" s="22" t="str">
        <f>SUBSTITUTE(I30,",",".")</f>
        <v>6.55735211415025</v>
      </c>
      <c r="U30" s="22" t="str">
        <f>SUBSTITUTE(J30,",",".")</f>
        <v>5.26</v>
      </c>
    </row>
    <row r="31" spans="1:21" x14ac:dyDescent="0.25">
      <c r="A31" t="s">
        <v>25</v>
      </c>
      <c r="B31" s="1" t="s">
        <v>13</v>
      </c>
      <c r="C31">
        <v>-3.9767595188608249</v>
      </c>
      <c r="D31" s="18">
        <v>19.21</v>
      </c>
      <c r="E31">
        <v>27.645443206506741</v>
      </c>
      <c r="F31">
        <v>20.878853830200807</v>
      </c>
      <c r="G31" s="16">
        <v>2.23</v>
      </c>
      <c r="H31" s="18">
        <v>3.42</v>
      </c>
      <c r="I31">
        <v>6.9146601012908757</v>
      </c>
      <c r="J31" s="16">
        <v>4.76</v>
      </c>
      <c r="L31" s="22" t="s">
        <v>25</v>
      </c>
      <c r="M31" s="24" t="s">
        <v>13</v>
      </c>
      <c r="N31" s="22" t="str">
        <f>SUBSTITUTE(C31,",",".")</f>
        <v>-3.97675951886082</v>
      </c>
      <c r="O31" s="22" t="str">
        <f>SUBSTITUTE(D31,",",".")</f>
        <v>19.21</v>
      </c>
      <c r="P31" s="22" t="str">
        <f>SUBSTITUTE(E31,",",".")</f>
        <v>27.6454432065067</v>
      </c>
      <c r="Q31" s="22" t="str">
        <f>SUBSTITUTE(F31,",",".")</f>
        <v>20.8788538302008</v>
      </c>
      <c r="R31" s="22" t="str">
        <f>SUBSTITUTE(G31,",",".")</f>
        <v>2.23</v>
      </c>
      <c r="S31" s="22" t="str">
        <f>SUBSTITUTE(H31,",",".")</f>
        <v>3.42</v>
      </c>
      <c r="T31" s="22" t="str">
        <f>SUBSTITUTE(I31,",",".")</f>
        <v>6.91466010129088</v>
      </c>
      <c r="U31" s="22" t="str">
        <f>SUBSTITUTE(J31,",",".")</f>
        <v>4.76</v>
      </c>
    </row>
    <row r="32" spans="1:21" x14ac:dyDescent="0.25">
      <c r="A32" t="s">
        <v>25</v>
      </c>
      <c r="B32" s="1" t="s">
        <v>14</v>
      </c>
      <c r="C32">
        <v>-0.48890061959785713</v>
      </c>
      <c r="D32" s="18">
        <v>19.829999999999998</v>
      </c>
      <c r="E32">
        <v>25.971796915440461</v>
      </c>
      <c r="F32">
        <v>20.910257300233628</v>
      </c>
      <c r="G32" s="18">
        <v>1.95</v>
      </c>
      <c r="H32" s="18">
        <v>3.5</v>
      </c>
      <c r="I32">
        <v>7.3915343016694255</v>
      </c>
      <c r="J32" s="16">
        <v>4.5</v>
      </c>
      <c r="L32" s="22" t="s">
        <v>25</v>
      </c>
      <c r="M32" s="24" t="s">
        <v>14</v>
      </c>
      <c r="N32" s="22" t="str">
        <f>SUBSTITUTE(C32,",",".")</f>
        <v>-0.488900619597857</v>
      </c>
      <c r="O32" s="22" t="str">
        <f>SUBSTITUTE(D32,",",".")</f>
        <v>19.83</v>
      </c>
      <c r="P32" s="22" t="str">
        <f>SUBSTITUTE(E32,",",".")</f>
        <v>25.9717969154405</v>
      </c>
      <c r="Q32" s="22" t="str">
        <f>SUBSTITUTE(F32,",",".")</f>
        <v>20.9102573002336</v>
      </c>
      <c r="R32" s="22" t="str">
        <f>SUBSTITUTE(G32,",",".")</f>
        <v>1.95</v>
      </c>
      <c r="S32" s="22" t="str">
        <f>SUBSTITUTE(H32,",",".")</f>
        <v>3.5</v>
      </c>
      <c r="T32" s="22" t="str">
        <f>SUBSTITUTE(I32,",",".")</f>
        <v>7.39153430166943</v>
      </c>
      <c r="U32" s="22" t="str">
        <f>SUBSTITUTE(J32,",",".")</f>
        <v>4.5</v>
      </c>
    </row>
    <row r="33" spans="1:21" x14ac:dyDescent="0.25">
      <c r="A33" t="s">
        <v>25</v>
      </c>
      <c r="B33" s="1" t="s">
        <v>15</v>
      </c>
      <c r="C33">
        <v>1.6570452928329784</v>
      </c>
      <c r="D33" s="18">
        <v>19.899999999999999</v>
      </c>
      <c r="E33">
        <v>24.700317115707151</v>
      </c>
      <c r="F33">
        <v>20.913096993480686</v>
      </c>
      <c r="G33" s="18">
        <v>1.64</v>
      </c>
      <c r="H33" s="18">
        <v>3.29</v>
      </c>
      <c r="I33">
        <v>7.6599246119663773</v>
      </c>
      <c r="J33" s="18">
        <v>4.4800000000000004</v>
      </c>
      <c r="L33" s="22" t="s">
        <v>25</v>
      </c>
      <c r="M33" s="24" t="s">
        <v>15</v>
      </c>
      <c r="N33" s="22" t="str">
        <f>SUBSTITUTE(C33,",",".")</f>
        <v>1.65704529283298</v>
      </c>
      <c r="O33" s="22" t="str">
        <f>SUBSTITUTE(D33,",",".")</f>
        <v>19.9</v>
      </c>
      <c r="P33" s="22" t="str">
        <f>SUBSTITUTE(E33,",",".")</f>
        <v>24.7003171157072</v>
      </c>
      <c r="Q33" s="22" t="str">
        <f>SUBSTITUTE(F33,",",".")</f>
        <v>20.9130969934807</v>
      </c>
      <c r="R33" s="22" t="str">
        <f>SUBSTITUTE(G33,",",".")</f>
        <v>1.64</v>
      </c>
      <c r="S33" s="22" t="str">
        <f>SUBSTITUTE(H33,",",".")</f>
        <v>3.29</v>
      </c>
      <c r="T33" s="22" t="str">
        <f>SUBSTITUTE(I33,",",".")</f>
        <v>7.65992461196638</v>
      </c>
      <c r="U33" s="22" t="str">
        <f>SUBSTITUTE(J33,",",".")</f>
        <v>4.48</v>
      </c>
    </row>
    <row r="34" spans="1:21" x14ac:dyDescent="0.25">
      <c r="A34" t="s">
        <v>25</v>
      </c>
      <c r="B34" s="1" t="s">
        <v>16</v>
      </c>
      <c r="C34">
        <v>2.010370524586548</v>
      </c>
      <c r="D34" s="18">
        <v>18.510000000000002</v>
      </c>
      <c r="E34">
        <v>27.415197448966218</v>
      </c>
      <c r="F34">
        <v>20.949129153543669</v>
      </c>
      <c r="G34" s="18">
        <v>2.2200000000000002</v>
      </c>
      <c r="H34" s="18">
        <v>3.3</v>
      </c>
      <c r="I34">
        <v>7.7045762742287627</v>
      </c>
      <c r="J34" s="18">
        <v>4.6500000000000004</v>
      </c>
      <c r="L34" s="22" t="s">
        <v>25</v>
      </c>
      <c r="M34" s="24" t="s">
        <v>16</v>
      </c>
      <c r="N34" s="22" t="str">
        <f>SUBSTITUTE(C34,",",".")</f>
        <v>2.01037052458655</v>
      </c>
      <c r="O34" s="22" t="str">
        <f>SUBSTITUTE(D34,",",".")</f>
        <v>18.51</v>
      </c>
      <c r="P34" s="22" t="str">
        <f>SUBSTITUTE(E34,",",".")</f>
        <v>27.4151974489662</v>
      </c>
      <c r="Q34" s="22" t="str">
        <f>SUBSTITUTE(F34,",",".")</f>
        <v>20.9491291535437</v>
      </c>
      <c r="R34" s="22" t="str">
        <f>SUBSTITUTE(G34,",",".")</f>
        <v>2.22</v>
      </c>
      <c r="S34" s="22" t="str">
        <f>SUBSTITUTE(H34,",",".")</f>
        <v>3.3</v>
      </c>
      <c r="T34" s="22" t="str">
        <f>SUBSTITUTE(I34,",",".")</f>
        <v>7.70457627422876</v>
      </c>
      <c r="U34" s="22" t="str">
        <f>SUBSTITUTE(J34,",",".")</f>
        <v>4.65</v>
      </c>
    </row>
    <row r="35" spans="1:21" x14ac:dyDescent="0.25">
      <c r="A35" t="s">
        <v>25</v>
      </c>
      <c r="B35" s="1" t="s">
        <v>17</v>
      </c>
      <c r="C35">
        <v>3.3698339423533645</v>
      </c>
      <c r="D35" s="18">
        <v>18.940000000000001</v>
      </c>
      <c r="E35">
        <v>26.24751454821601</v>
      </c>
      <c r="F35">
        <v>20.935977256704131</v>
      </c>
      <c r="G35" s="18">
        <v>2.4300000000000002</v>
      </c>
      <c r="H35" s="18">
        <v>3.19</v>
      </c>
      <c r="I35">
        <v>7.4795410301367387</v>
      </c>
      <c r="J35" s="18">
        <v>4.63</v>
      </c>
      <c r="L35" s="22" t="s">
        <v>25</v>
      </c>
      <c r="M35" s="24" t="s">
        <v>17</v>
      </c>
      <c r="N35" s="22" t="str">
        <f>SUBSTITUTE(C35,",",".")</f>
        <v>3.36983394235336</v>
      </c>
      <c r="O35" s="22" t="str">
        <f>SUBSTITUTE(D35,",",".")</f>
        <v>18.94</v>
      </c>
      <c r="P35" s="22" t="str">
        <f>SUBSTITUTE(E35,",",".")</f>
        <v>26.247514548216</v>
      </c>
      <c r="Q35" s="22" t="str">
        <f>SUBSTITUTE(F35,",",".")</f>
        <v>20.9359772567041</v>
      </c>
      <c r="R35" s="22" t="str">
        <f>SUBSTITUTE(G35,",",".")</f>
        <v>2.43</v>
      </c>
      <c r="S35" s="22" t="str">
        <f>SUBSTITUTE(H35,",",".")</f>
        <v>3.19</v>
      </c>
      <c r="T35" s="22" t="str">
        <f>SUBSTITUTE(I35,",",".")</f>
        <v>7.47954103013674</v>
      </c>
      <c r="U35" s="22" t="str">
        <f>SUBSTITUTE(J35,",",".")</f>
        <v>4.63</v>
      </c>
    </row>
    <row r="36" spans="1:21" x14ac:dyDescent="0.25">
      <c r="A36" t="s">
        <v>25</v>
      </c>
      <c r="B36" s="1" t="s">
        <v>18</v>
      </c>
      <c r="C36">
        <v>0.45450485896835652</v>
      </c>
      <c r="D36" s="18">
        <v>19.399999999999999</v>
      </c>
      <c r="E36">
        <v>28.946918371385351</v>
      </c>
      <c r="F36">
        <v>20.972716576526786</v>
      </c>
      <c r="G36" s="18">
        <v>2.42</v>
      </c>
      <c r="H36" s="16">
        <v>3.06</v>
      </c>
      <c r="I36">
        <v>7.5205461804266944</v>
      </c>
      <c r="J36" s="16">
        <v>4.67</v>
      </c>
      <c r="L36" s="22" t="s">
        <v>25</v>
      </c>
      <c r="M36" s="24" t="s">
        <v>18</v>
      </c>
      <c r="N36" s="22" t="str">
        <f>SUBSTITUTE(C36,",",".")</f>
        <v>0.454504858968357</v>
      </c>
      <c r="O36" s="22" t="str">
        <f>SUBSTITUTE(D36,",",".")</f>
        <v>19.4</v>
      </c>
      <c r="P36" s="22" t="str">
        <f>SUBSTITUTE(E36,",",".")</f>
        <v>28.9469183713854</v>
      </c>
      <c r="Q36" s="22" t="str">
        <f>SUBSTITUTE(F36,",",".")</f>
        <v>20.9727165765268</v>
      </c>
      <c r="R36" s="22" t="str">
        <f>SUBSTITUTE(G36,",",".")</f>
        <v>2.42</v>
      </c>
      <c r="S36" s="22" t="str">
        <f>SUBSTITUTE(H36,",",".")</f>
        <v>3.06</v>
      </c>
      <c r="T36" s="22" t="str">
        <f>SUBSTITUTE(I36,",",".")</f>
        <v>7.52054618042669</v>
      </c>
      <c r="U36" s="22" t="str">
        <f>SUBSTITUTE(J36,",",".")</f>
        <v>4.67</v>
      </c>
    </row>
    <row r="37" spans="1:21" x14ac:dyDescent="0.25">
      <c r="A37" t="s">
        <v>25</v>
      </c>
      <c r="B37" s="1" t="s">
        <v>19</v>
      </c>
      <c r="C37">
        <v>2.3798836008055222</v>
      </c>
      <c r="D37" s="16">
        <v>19.600000000000001</v>
      </c>
      <c r="E37">
        <v>30.108628796303329</v>
      </c>
      <c r="F37">
        <v>21.027477222742846</v>
      </c>
      <c r="G37" s="18">
        <v>2.5299999999999998</v>
      </c>
      <c r="H37" s="16">
        <v>2.81</v>
      </c>
      <c r="I37">
        <v>7.3043410698221818</v>
      </c>
      <c r="J37" s="16">
        <v>4.7300000000000004</v>
      </c>
      <c r="L37" s="22" t="s">
        <v>25</v>
      </c>
      <c r="M37" s="24" t="s">
        <v>19</v>
      </c>
      <c r="N37" s="22" t="str">
        <f>SUBSTITUTE(C37,",",".")</f>
        <v>2.37988360080552</v>
      </c>
      <c r="O37" s="22" t="str">
        <f>SUBSTITUTE(D37,",",".")</f>
        <v>19.6</v>
      </c>
      <c r="P37" s="22" t="str">
        <f>SUBSTITUTE(E37,",",".")</f>
        <v>30.1086287963033</v>
      </c>
      <c r="Q37" s="22" t="str">
        <f>SUBSTITUTE(F37,",",".")</f>
        <v>21.0274772227428</v>
      </c>
      <c r="R37" s="22" t="str">
        <f>SUBSTITUTE(G37,",",".")</f>
        <v>2.53</v>
      </c>
      <c r="S37" s="22" t="str">
        <f>SUBSTITUTE(H37,",",".")</f>
        <v>2.81</v>
      </c>
      <c r="T37" s="22" t="str">
        <f>SUBSTITUTE(I37,",",".")</f>
        <v>7.30434106982218</v>
      </c>
      <c r="U37" s="22" t="str">
        <f>SUBSTITUTE(J37,",",".")</f>
        <v>4.73</v>
      </c>
    </row>
    <row r="38" spans="1:21" x14ac:dyDescent="0.25">
      <c r="A38" t="s">
        <v>25</v>
      </c>
      <c r="B38" s="1" t="s">
        <v>20</v>
      </c>
      <c r="C38">
        <v>1.719589374873199</v>
      </c>
      <c r="D38" s="18">
        <v>18.2</v>
      </c>
      <c r="E38">
        <v>30.431567183166923</v>
      </c>
      <c r="F38">
        <v>21.025479976810207</v>
      </c>
      <c r="G38" s="16">
        <v>3.34</v>
      </c>
      <c r="H38" s="16">
        <v>2.74</v>
      </c>
      <c r="I38">
        <v>7.2483990671185978</v>
      </c>
      <c r="J38" s="18">
        <v>5.01</v>
      </c>
      <c r="L38" s="22" t="s">
        <v>25</v>
      </c>
      <c r="M38" s="24" t="s">
        <v>20</v>
      </c>
      <c r="N38" s="22" t="str">
        <f>SUBSTITUTE(C38,",",".")</f>
        <v>1.7195893748732</v>
      </c>
      <c r="O38" s="22" t="str">
        <f>SUBSTITUTE(D38,",",".")</f>
        <v>18.2</v>
      </c>
      <c r="P38" s="22" t="str">
        <f>SUBSTITUTE(E38,",",".")</f>
        <v>30.4315671831669</v>
      </c>
      <c r="Q38" s="22" t="str">
        <f>SUBSTITUTE(F38,",",".")</f>
        <v>21.0254799768102</v>
      </c>
      <c r="R38" s="22" t="str">
        <f>SUBSTITUTE(G38,",",".")</f>
        <v>3.34</v>
      </c>
      <c r="S38" s="22" t="str">
        <f>SUBSTITUTE(H38,",",".")</f>
        <v>2.74</v>
      </c>
      <c r="T38" s="22" t="str">
        <f>SUBSTITUTE(I38,",",".")</f>
        <v>7.2483990671186</v>
      </c>
      <c r="U38" s="22" t="str">
        <f>SUBSTITUTE(J38,",",".")</f>
        <v>5.01</v>
      </c>
    </row>
    <row r="39" spans="1:21" x14ac:dyDescent="0.25">
      <c r="A39" t="s">
        <v>25</v>
      </c>
      <c r="B39" s="1" t="s">
        <v>21</v>
      </c>
      <c r="C39">
        <v>5.7895787025631114</v>
      </c>
      <c r="D39" s="16">
        <v>18.41</v>
      </c>
      <c r="E39">
        <v>28.847290916969591</v>
      </c>
      <c r="F39">
        <v>21.055010059101527</v>
      </c>
      <c r="G39" s="18">
        <v>3.38</v>
      </c>
      <c r="H39" s="16">
        <v>2.4700000000000002</v>
      </c>
      <c r="I39">
        <v>6.7111465460589672</v>
      </c>
      <c r="J39" s="18">
        <v>5.0599999999999996</v>
      </c>
      <c r="L39" s="22" t="s">
        <v>25</v>
      </c>
      <c r="M39" s="24" t="s">
        <v>21</v>
      </c>
      <c r="N39" s="22" t="str">
        <f>SUBSTITUTE(C39,",",".")</f>
        <v>5.78957870256311</v>
      </c>
      <c r="O39" s="22" t="str">
        <f>SUBSTITUTE(D39,",",".")</f>
        <v>18.41</v>
      </c>
      <c r="P39" s="22" t="str">
        <f>SUBSTITUTE(E39,",",".")</f>
        <v>28.8472909169696</v>
      </c>
      <c r="Q39" s="22" t="str">
        <f>SUBSTITUTE(F39,",",".")</f>
        <v>21.0550100591015</v>
      </c>
      <c r="R39" s="22" t="str">
        <f>SUBSTITUTE(G39,",",".")</f>
        <v>3.38</v>
      </c>
      <c r="S39" s="22" t="str">
        <f>SUBSTITUTE(H39,",",".")</f>
        <v>2.47</v>
      </c>
      <c r="T39" s="22" t="str">
        <f>SUBSTITUTE(I39,",",".")</f>
        <v>6.71114654605897</v>
      </c>
      <c r="U39" s="22" t="str">
        <f>SUBSTITUTE(J39,",",".")</f>
        <v>5.06</v>
      </c>
    </row>
    <row r="40" spans="1:21" x14ac:dyDescent="0.25">
      <c r="A40" t="s">
        <v>25</v>
      </c>
      <c r="B40" s="1" t="s">
        <v>22</v>
      </c>
      <c r="C40">
        <v>1.8704309396111605</v>
      </c>
      <c r="D40" s="16">
        <v>19.32</v>
      </c>
      <c r="E40">
        <v>28.744125056605402</v>
      </c>
      <c r="F40">
        <v>21.08999046254543</v>
      </c>
      <c r="G40" s="18">
        <v>3.4</v>
      </c>
      <c r="H40" s="16">
        <v>2.2599999999999998</v>
      </c>
      <c r="I40">
        <v>6.5574644203797812</v>
      </c>
      <c r="J40" s="18">
        <v>5.12</v>
      </c>
      <c r="L40" s="22" t="s">
        <v>25</v>
      </c>
      <c r="M40" s="24" t="s">
        <v>22</v>
      </c>
      <c r="N40" s="22" t="str">
        <f>SUBSTITUTE(C40,",",".")</f>
        <v>1.87043093961116</v>
      </c>
      <c r="O40" s="22" t="str">
        <f>SUBSTITUTE(D40,",",".")</f>
        <v>19.32</v>
      </c>
      <c r="P40" s="22" t="str">
        <f>SUBSTITUTE(E40,",",".")</f>
        <v>28.7441250566054</v>
      </c>
      <c r="Q40" s="22" t="str">
        <f>SUBSTITUTE(F40,",",".")</f>
        <v>21.0899904625454</v>
      </c>
      <c r="R40" s="22" t="str">
        <f>SUBSTITUTE(G40,",",".")</f>
        <v>3.4</v>
      </c>
      <c r="S40" s="22" t="str">
        <f>SUBSTITUTE(H40,",",".")</f>
        <v>2.26</v>
      </c>
      <c r="T40" s="22" t="str">
        <f>SUBSTITUTE(I40,",",".")</f>
        <v>6.55746442037978</v>
      </c>
      <c r="U40" s="22" t="str">
        <f>SUBSTITUTE(J40,",",".")</f>
        <v>5.12</v>
      </c>
    </row>
    <row r="41" spans="1:21" x14ac:dyDescent="0.25">
      <c r="A41" t="s">
        <v>25</v>
      </c>
      <c r="B41" s="1" t="s">
        <v>23</v>
      </c>
      <c r="C41">
        <v>2.7372441216912087</v>
      </c>
      <c r="D41" s="16">
        <v>19.46</v>
      </c>
      <c r="E41">
        <v>30.357668688829413</v>
      </c>
      <c r="F41">
        <v>21.174552939038119</v>
      </c>
      <c r="G41" s="18">
        <v>3.3</v>
      </c>
      <c r="H41" s="16">
        <v>1.88</v>
      </c>
      <c r="I41">
        <v>5.8186944822665376</v>
      </c>
      <c r="J41" s="16">
        <v>5.16</v>
      </c>
      <c r="L41" s="22" t="s">
        <v>25</v>
      </c>
      <c r="M41" s="24" t="s">
        <v>23</v>
      </c>
      <c r="N41" s="22" t="str">
        <f>SUBSTITUTE(C41,",",".")</f>
        <v>2.73724412169121</v>
      </c>
      <c r="O41" s="22" t="str">
        <f>SUBSTITUTE(D41,",",".")</f>
        <v>19.46</v>
      </c>
      <c r="P41" s="22" t="str">
        <f>SUBSTITUTE(E41,",",".")</f>
        <v>30.3576686888294</v>
      </c>
      <c r="Q41" s="22" t="str">
        <f>SUBSTITUTE(F41,",",".")</f>
        <v>21.1745529390381</v>
      </c>
      <c r="R41" s="22" t="str">
        <f>SUBSTITUTE(G41,",",".")</f>
        <v>3.3</v>
      </c>
      <c r="S41" s="22" t="str">
        <f>SUBSTITUTE(H41,",",".")</f>
        <v>1.88</v>
      </c>
      <c r="T41" s="22" t="str">
        <f>SUBSTITUTE(I41,",",".")</f>
        <v>5.81869448226654</v>
      </c>
      <c r="U41" s="22" t="str">
        <f>SUBSTITUTE(J41,",",".")</f>
        <v>5.16</v>
      </c>
    </row>
    <row r="42" spans="1:21" x14ac:dyDescent="0.25">
      <c r="A42" t="s">
        <v>29</v>
      </c>
      <c r="B42" s="1" t="s">
        <v>4</v>
      </c>
      <c r="C42">
        <v>0.52025240569599962</v>
      </c>
      <c r="D42" s="18">
        <v>23.65</v>
      </c>
      <c r="E42">
        <v>28.730394612628057</v>
      </c>
      <c r="F42">
        <v>20.428953151821162</v>
      </c>
      <c r="G42" s="18">
        <v>3.4</v>
      </c>
      <c r="H42" s="18">
        <v>1.54</v>
      </c>
      <c r="I42">
        <v>2.8212018763186295</v>
      </c>
      <c r="J42" s="18">
        <v>6.06</v>
      </c>
      <c r="L42" s="22" t="s">
        <v>29</v>
      </c>
      <c r="M42" s="24" t="s">
        <v>4</v>
      </c>
      <c r="N42" s="22" t="str">
        <f>SUBSTITUTE(C42,",",".")</f>
        <v>0.520252405696</v>
      </c>
      <c r="O42" s="22" t="str">
        <f>SUBSTITUTE(D42,",",".")</f>
        <v>23.65</v>
      </c>
      <c r="P42" s="22" t="str">
        <f>SUBSTITUTE(E42,",",".")</f>
        <v>28.7303946126281</v>
      </c>
      <c r="Q42" s="22" t="str">
        <f>SUBSTITUTE(F42,",",".")</f>
        <v>20.4289531518212</v>
      </c>
      <c r="R42" s="22" t="str">
        <f>SUBSTITUTE(G42,",",".")</f>
        <v>3.4</v>
      </c>
      <c r="S42" s="22" t="str">
        <f>SUBSTITUTE(H42,",",".")</f>
        <v>1.54</v>
      </c>
      <c r="T42" s="22" t="str">
        <f>SUBSTITUTE(I42,",",".")</f>
        <v>2.82120187631863</v>
      </c>
      <c r="U42" s="22" t="str">
        <f>SUBSTITUTE(J42,",",".")</f>
        <v>6.06</v>
      </c>
    </row>
    <row r="43" spans="1:21" x14ac:dyDescent="0.25">
      <c r="A43" t="s">
        <v>29</v>
      </c>
      <c r="B43" s="1" t="s">
        <v>5</v>
      </c>
      <c r="C43">
        <v>5.1839233399445117</v>
      </c>
      <c r="D43" s="18">
        <v>22.81</v>
      </c>
      <c r="E43">
        <v>28.64108048915724</v>
      </c>
      <c r="F43">
        <v>20.470423152619755</v>
      </c>
      <c r="G43" s="18">
        <v>3.59</v>
      </c>
      <c r="H43" s="18">
        <v>1.43</v>
      </c>
      <c r="I43">
        <v>2.6865215922687065</v>
      </c>
      <c r="J43" s="18">
        <v>6.05</v>
      </c>
      <c r="L43" s="22" t="s">
        <v>29</v>
      </c>
      <c r="M43" s="24" t="s">
        <v>5</v>
      </c>
      <c r="N43" s="22" t="str">
        <f>SUBSTITUTE(C43,",",".")</f>
        <v>5.18392333994451</v>
      </c>
      <c r="O43" s="22" t="str">
        <f>SUBSTITUTE(D43,",",".")</f>
        <v>22.81</v>
      </c>
      <c r="P43" s="22" t="str">
        <f>SUBSTITUTE(E43,",",".")</f>
        <v>28.6410804891572</v>
      </c>
      <c r="Q43" s="22" t="str">
        <f>SUBSTITUTE(F43,",",".")</f>
        <v>20.4704231526198</v>
      </c>
      <c r="R43" s="22" t="str">
        <f>SUBSTITUTE(G43,",",".")</f>
        <v>3.59</v>
      </c>
      <c r="S43" s="22" t="str">
        <f>SUBSTITUTE(H43,",",".")</f>
        <v>1.43</v>
      </c>
      <c r="T43" s="22" t="str">
        <f>SUBSTITUTE(I43,",",".")</f>
        <v>2.68652159226871</v>
      </c>
      <c r="U43" s="22" t="str">
        <f>SUBSTITUTE(J43,",",".")</f>
        <v>6.05</v>
      </c>
    </row>
    <row r="44" spans="1:21" x14ac:dyDescent="0.25">
      <c r="A44" t="s">
        <v>29</v>
      </c>
      <c r="B44" s="1" t="s">
        <v>6</v>
      </c>
      <c r="C44">
        <v>4.2764434657811661</v>
      </c>
      <c r="D44" s="18">
        <v>23.19</v>
      </c>
      <c r="E44">
        <v>27.178244657680541</v>
      </c>
      <c r="F44">
        <v>20.479682476228611</v>
      </c>
      <c r="G44" s="18">
        <v>3.86</v>
      </c>
      <c r="H44" s="18">
        <v>1.44</v>
      </c>
      <c r="I44">
        <v>2.6875126251523613</v>
      </c>
      <c r="J44" s="18">
        <v>6.07</v>
      </c>
      <c r="L44" s="22" t="s">
        <v>29</v>
      </c>
      <c r="M44" s="24" t="s">
        <v>6</v>
      </c>
      <c r="N44" s="22" t="str">
        <f>SUBSTITUTE(C44,",",".")</f>
        <v>4.27644346578117</v>
      </c>
      <c r="O44" s="22" t="str">
        <f>SUBSTITUTE(D44,",",".")</f>
        <v>23.19</v>
      </c>
      <c r="P44" s="22" t="str">
        <f>SUBSTITUTE(E44,",",".")</f>
        <v>27.1782446576805</v>
      </c>
      <c r="Q44" s="22" t="str">
        <f>SUBSTITUTE(F44,",",".")</f>
        <v>20.4796824762286</v>
      </c>
      <c r="R44" s="22" t="str">
        <f>SUBSTITUTE(G44,",",".")</f>
        <v>3.86</v>
      </c>
      <c r="S44" s="22" t="str">
        <f>SUBSTITUTE(H44,",",".")</f>
        <v>1.44</v>
      </c>
      <c r="T44" s="22" t="str">
        <f>SUBSTITUTE(I44,",",".")</f>
        <v>2.68751262515236</v>
      </c>
      <c r="U44" s="22" t="str">
        <f>SUBSTITUTE(J44,",",".")</f>
        <v>6.07</v>
      </c>
    </row>
    <row r="45" spans="1:21" x14ac:dyDescent="0.25">
      <c r="A45" t="s">
        <v>29</v>
      </c>
      <c r="B45" s="1" t="s">
        <v>7</v>
      </c>
      <c r="C45">
        <v>4.3353274604600518</v>
      </c>
      <c r="D45" s="18">
        <v>23.39</v>
      </c>
      <c r="E45">
        <v>25.449167093159343</v>
      </c>
      <c r="F45">
        <v>20.510874422428302</v>
      </c>
      <c r="G45" s="18">
        <v>4.01</v>
      </c>
      <c r="H45" s="18">
        <v>1.41</v>
      </c>
      <c r="I45">
        <v>2.5223920697439253</v>
      </c>
      <c r="J45" s="16">
        <v>6.13</v>
      </c>
      <c r="L45" s="22" t="s">
        <v>29</v>
      </c>
      <c r="M45" s="24" t="s">
        <v>7</v>
      </c>
      <c r="N45" s="22" t="str">
        <f>SUBSTITUTE(C45,",",".")</f>
        <v>4.33532746046005</v>
      </c>
      <c r="O45" s="22" t="str">
        <f>SUBSTITUTE(D45,",",".")</f>
        <v>23.39</v>
      </c>
      <c r="P45" s="22" t="str">
        <f>SUBSTITUTE(E45,",",".")</f>
        <v>25.4491670931593</v>
      </c>
      <c r="Q45" s="22" t="str">
        <f>SUBSTITUTE(F45,",",".")</f>
        <v>20.5108744224283</v>
      </c>
      <c r="R45" s="22" t="str">
        <f>SUBSTITUTE(G45,",",".")</f>
        <v>4.01</v>
      </c>
      <c r="S45" s="22" t="str">
        <f>SUBSTITUTE(H45,",",".")</f>
        <v>1.41</v>
      </c>
      <c r="T45" s="22" t="str">
        <f>SUBSTITUTE(I45,",",".")</f>
        <v>2.52239206974393</v>
      </c>
      <c r="U45" s="22" t="str">
        <f>SUBSTITUTE(J45,",",".")</f>
        <v>6.13</v>
      </c>
    </row>
    <row r="46" spans="1:21" x14ac:dyDescent="0.25">
      <c r="A46" t="s">
        <v>29</v>
      </c>
      <c r="B46" s="1" t="s">
        <v>8</v>
      </c>
      <c r="C46">
        <v>-1.0765409226340652</v>
      </c>
      <c r="D46" s="16">
        <v>24.49</v>
      </c>
      <c r="E46">
        <v>27.066694549072047</v>
      </c>
      <c r="F46">
        <v>20.518157527267153</v>
      </c>
      <c r="G46" s="18">
        <v>3.46</v>
      </c>
      <c r="H46" s="18">
        <v>1.47</v>
      </c>
      <c r="I46">
        <v>2.5272834938766215</v>
      </c>
      <c r="J46" s="18">
        <v>6.19</v>
      </c>
      <c r="L46" s="22" t="s">
        <v>29</v>
      </c>
      <c r="M46" s="24" t="s">
        <v>8</v>
      </c>
      <c r="N46" s="22" t="str">
        <f>SUBSTITUTE(C46,",",".")</f>
        <v>-1.07654092263407</v>
      </c>
      <c r="O46" s="22" t="str">
        <f>SUBSTITUTE(D46,",",".")</f>
        <v>24.49</v>
      </c>
      <c r="P46" s="22" t="str">
        <f>SUBSTITUTE(E46,",",".")</f>
        <v>27.066694549072</v>
      </c>
      <c r="Q46" s="22" t="str">
        <f>SUBSTITUTE(F46,",",".")</f>
        <v>20.5181575272672</v>
      </c>
      <c r="R46" s="22" t="str">
        <f>SUBSTITUTE(G46,",",".")</f>
        <v>3.46</v>
      </c>
      <c r="S46" s="22" t="str">
        <f>SUBSTITUTE(H46,",",".")</f>
        <v>1.47</v>
      </c>
      <c r="T46" s="22" t="str">
        <f>SUBSTITUTE(I46,",",".")</f>
        <v>2.52728349387662</v>
      </c>
      <c r="U46" s="22" t="str">
        <f>SUBSTITUTE(J46,",",".")</f>
        <v>6.19</v>
      </c>
    </row>
    <row r="47" spans="1:21" x14ac:dyDescent="0.25">
      <c r="A47" t="s">
        <v>29</v>
      </c>
      <c r="B47" s="1" t="s">
        <v>9</v>
      </c>
      <c r="C47">
        <v>3.6747077789624063</v>
      </c>
      <c r="D47" s="18">
        <v>23.58</v>
      </c>
      <c r="E47">
        <v>25.817441266575297</v>
      </c>
      <c r="F47">
        <v>20.565023394932989</v>
      </c>
      <c r="G47" s="18">
        <v>3.7</v>
      </c>
      <c r="H47" s="18">
        <v>1.41</v>
      </c>
      <c r="I47">
        <v>2.5867585150057311</v>
      </c>
      <c r="J47" s="18">
        <v>6.24</v>
      </c>
      <c r="L47" s="22" t="s">
        <v>29</v>
      </c>
      <c r="M47" s="24" t="s">
        <v>9</v>
      </c>
      <c r="N47" s="22" t="str">
        <f>SUBSTITUTE(C47,",",".")</f>
        <v>3.67470777896241</v>
      </c>
      <c r="O47" s="22" t="str">
        <f>SUBSTITUTE(D47,",",".")</f>
        <v>23.58</v>
      </c>
      <c r="P47" s="22" t="str">
        <f>SUBSTITUTE(E47,",",".")</f>
        <v>25.8174412665753</v>
      </c>
      <c r="Q47" s="22" t="str">
        <f>SUBSTITUTE(F47,",",".")</f>
        <v>20.565023394933</v>
      </c>
      <c r="R47" s="22" t="str">
        <f>SUBSTITUTE(G47,",",".")</f>
        <v>3.7</v>
      </c>
      <c r="S47" s="22" t="str">
        <f>SUBSTITUTE(H47,",",".")</f>
        <v>1.41</v>
      </c>
      <c r="T47" s="22" t="str">
        <f>SUBSTITUTE(I47,",",".")</f>
        <v>2.58675851500573</v>
      </c>
      <c r="U47" s="22" t="str">
        <f>SUBSTITUTE(J47,",",".")</f>
        <v>6.24</v>
      </c>
    </row>
    <row r="48" spans="1:21" x14ac:dyDescent="0.25">
      <c r="A48" t="s">
        <v>29</v>
      </c>
      <c r="B48" s="1" t="s">
        <v>10</v>
      </c>
      <c r="C48">
        <v>3.4346222716512576</v>
      </c>
      <c r="D48" s="18">
        <v>23.79</v>
      </c>
      <c r="E48">
        <v>25.334250662415748</v>
      </c>
      <c r="F48">
        <v>20.590507885710398</v>
      </c>
      <c r="G48" s="18">
        <v>3.98</v>
      </c>
      <c r="H48" s="18">
        <v>1.62</v>
      </c>
      <c r="I48">
        <v>2.6537579571221119</v>
      </c>
      <c r="J48" s="18">
        <v>6.23</v>
      </c>
      <c r="L48" s="22" t="s">
        <v>29</v>
      </c>
      <c r="M48" s="24" t="s">
        <v>10</v>
      </c>
      <c r="N48" s="22" t="str">
        <f>SUBSTITUTE(C48,",",".")</f>
        <v>3.43462227165126</v>
      </c>
      <c r="O48" s="22" t="str">
        <f>SUBSTITUTE(D48,",",".")</f>
        <v>23.79</v>
      </c>
      <c r="P48" s="22" t="str">
        <f>SUBSTITUTE(E48,",",".")</f>
        <v>25.3342506624157</v>
      </c>
      <c r="Q48" s="22" t="str">
        <f>SUBSTITUTE(F48,",",".")</f>
        <v>20.5905078857104</v>
      </c>
      <c r="R48" s="22" t="str">
        <f>SUBSTITUTE(G48,",",".")</f>
        <v>3.98</v>
      </c>
      <c r="S48" s="22" t="str">
        <f>SUBSTITUTE(H48,",",".")</f>
        <v>1.62</v>
      </c>
      <c r="T48" s="22" t="str">
        <f>SUBSTITUTE(I48,",",".")</f>
        <v>2.65375795712211</v>
      </c>
      <c r="U48" s="22" t="str">
        <f>SUBSTITUTE(J48,",",".")</f>
        <v>6.23</v>
      </c>
    </row>
    <row r="49" spans="1:21" x14ac:dyDescent="0.25">
      <c r="A49" t="s">
        <v>29</v>
      </c>
      <c r="B49" s="1" t="s">
        <v>11</v>
      </c>
      <c r="C49">
        <v>3.0887784054689873</v>
      </c>
      <c r="D49" s="18">
        <v>23.8</v>
      </c>
      <c r="E49">
        <v>27.628396916118025</v>
      </c>
      <c r="F49">
        <v>20.61683359386052</v>
      </c>
      <c r="G49" s="18">
        <v>4.0199999999999996</v>
      </c>
      <c r="H49" s="18">
        <v>1.34</v>
      </c>
      <c r="I49">
        <v>2.5337891932006231</v>
      </c>
      <c r="J49" s="18">
        <v>6.24</v>
      </c>
      <c r="L49" s="22" t="s">
        <v>29</v>
      </c>
      <c r="M49" s="24" t="s">
        <v>11</v>
      </c>
      <c r="N49" s="22" t="str">
        <f>SUBSTITUTE(C49,",",".")</f>
        <v>3.08877840546899</v>
      </c>
      <c r="O49" s="22" t="str">
        <f>SUBSTITUTE(D49,",",".")</f>
        <v>23.8</v>
      </c>
      <c r="P49" s="22" t="str">
        <f>SUBSTITUTE(E49,",",".")</f>
        <v>27.628396916118</v>
      </c>
      <c r="Q49" s="22" t="str">
        <f>SUBSTITUTE(F49,",",".")</f>
        <v>20.6168335938605</v>
      </c>
      <c r="R49" s="22" t="str">
        <f>SUBSTITUTE(G49,",",".")</f>
        <v>4.02</v>
      </c>
      <c r="S49" s="22" t="str">
        <f>SUBSTITUTE(H49,",",".")</f>
        <v>1.34</v>
      </c>
      <c r="T49" s="22" t="str">
        <f>SUBSTITUTE(I49,",",".")</f>
        <v>2.53378919320062</v>
      </c>
      <c r="U49" s="22" t="str">
        <f>SUBSTITUTE(J49,",",".")</f>
        <v>6.24</v>
      </c>
    </row>
    <row r="50" spans="1:21" x14ac:dyDescent="0.25">
      <c r="A50" t="s">
        <v>29</v>
      </c>
      <c r="B50" s="1" t="s">
        <v>12</v>
      </c>
      <c r="C50">
        <v>1.6111181800896368</v>
      </c>
      <c r="D50" s="18">
        <v>22.5</v>
      </c>
      <c r="E50">
        <v>29.684631506795068</v>
      </c>
      <c r="F50">
        <v>20.67586173614718</v>
      </c>
      <c r="G50" s="18">
        <v>3.17</v>
      </c>
      <c r="H50" s="18">
        <v>1.6</v>
      </c>
      <c r="I50">
        <v>3.6882151124538893</v>
      </c>
      <c r="J50" s="18">
        <v>6.13</v>
      </c>
      <c r="L50" s="22" t="s">
        <v>29</v>
      </c>
      <c r="M50" s="24" t="s">
        <v>12</v>
      </c>
      <c r="N50" s="22" t="str">
        <f>SUBSTITUTE(C50,",",".")</f>
        <v>1.61111818008964</v>
      </c>
      <c r="O50" s="22" t="str">
        <f>SUBSTITUTE(D50,",",".")</f>
        <v>22.5</v>
      </c>
      <c r="P50" s="22" t="str">
        <f>SUBSTITUTE(E50,",",".")</f>
        <v>29.6846315067951</v>
      </c>
      <c r="Q50" s="22" t="str">
        <f>SUBSTITUTE(F50,",",".")</f>
        <v>20.6758617361472</v>
      </c>
      <c r="R50" s="22" t="str">
        <f>SUBSTITUTE(G50,",",".")</f>
        <v>3.17</v>
      </c>
      <c r="S50" s="22" t="str">
        <f>SUBSTITUTE(H50,",",".")</f>
        <v>1.6</v>
      </c>
      <c r="T50" s="22" t="str">
        <f>SUBSTITUTE(I50,",",".")</f>
        <v>3.68821511245389</v>
      </c>
      <c r="U50" s="22" t="str">
        <f>SUBSTITUTE(J50,",",".")</f>
        <v>6.13</v>
      </c>
    </row>
    <row r="51" spans="1:21" x14ac:dyDescent="0.25">
      <c r="A51" t="s">
        <v>29</v>
      </c>
      <c r="B51" s="1" t="s">
        <v>13</v>
      </c>
      <c r="C51">
        <v>-2.6005556758182844</v>
      </c>
      <c r="D51" s="18">
        <v>22.93</v>
      </c>
      <c r="E51">
        <v>29.251996683819126</v>
      </c>
      <c r="F51">
        <v>20.680039333075833</v>
      </c>
      <c r="G51" s="18">
        <v>3.12</v>
      </c>
      <c r="H51" s="18">
        <v>2.08</v>
      </c>
      <c r="I51">
        <v>4.2629952649566389</v>
      </c>
      <c r="J51" s="18">
        <v>5.96</v>
      </c>
      <c r="L51" s="22" t="s">
        <v>29</v>
      </c>
      <c r="M51" s="24" t="s">
        <v>13</v>
      </c>
      <c r="N51" s="22" t="str">
        <f>SUBSTITUTE(C51,",",".")</f>
        <v>-2.60055567581828</v>
      </c>
      <c r="O51" s="22" t="str">
        <f>SUBSTITUTE(D51,",",".")</f>
        <v>22.93</v>
      </c>
      <c r="P51" s="22" t="str">
        <f>SUBSTITUTE(E51,",",".")</f>
        <v>29.2519966838191</v>
      </c>
      <c r="Q51" s="22" t="str">
        <f>SUBSTITUTE(F51,",",".")</f>
        <v>20.6800393330758</v>
      </c>
      <c r="R51" s="22" t="str">
        <f>SUBSTITUTE(G51,",",".")</f>
        <v>3.12</v>
      </c>
      <c r="S51" s="22" t="str">
        <f>SUBSTITUTE(H51,",",".")</f>
        <v>2.08</v>
      </c>
      <c r="T51" s="22" t="str">
        <f>SUBSTITUTE(I51,",",".")</f>
        <v>4.26299526495664</v>
      </c>
      <c r="U51" s="22" t="str">
        <f>SUBSTITUTE(J51,",",".")</f>
        <v>5.96</v>
      </c>
    </row>
    <row r="52" spans="1:21" x14ac:dyDescent="0.25">
      <c r="A52" t="s">
        <v>29</v>
      </c>
      <c r="B52" s="1" t="s">
        <v>14</v>
      </c>
      <c r="C52">
        <v>-2.2363583613375471</v>
      </c>
      <c r="D52" s="18">
        <v>24.72</v>
      </c>
      <c r="E52">
        <v>26.972706623695842</v>
      </c>
      <c r="F52">
        <v>20.709010644779642</v>
      </c>
      <c r="G52" s="18">
        <v>3.38</v>
      </c>
      <c r="H52" s="18">
        <v>1.93</v>
      </c>
      <c r="I52">
        <v>4.7102221536398101</v>
      </c>
      <c r="J52" s="18">
        <v>5.83</v>
      </c>
      <c r="L52" s="22" t="s">
        <v>29</v>
      </c>
      <c r="M52" s="24" t="s">
        <v>14</v>
      </c>
      <c r="N52" s="22" t="str">
        <f>SUBSTITUTE(C52,",",".")</f>
        <v>-2.23635836133755</v>
      </c>
      <c r="O52" s="22" t="str">
        <f>SUBSTITUTE(D52,",",".")</f>
        <v>24.72</v>
      </c>
      <c r="P52" s="22" t="str">
        <f>SUBSTITUTE(E52,",",".")</f>
        <v>26.9727066236958</v>
      </c>
      <c r="Q52" s="22" t="str">
        <f>SUBSTITUTE(F52,",",".")</f>
        <v>20.7090106447796</v>
      </c>
      <c r="R52" s="22" t="str">
        <f>SUBSTITUTE(G52,",",".")</f>
        <v>3.38</v>
      </c>
      <c r="S52" s="22" t="str">
        <f>SUBSTITUTE(H52,",",".")</f>
        <v>1.93</v>
      </c>
      <c r="T52" s="22" t="str">
        <f>SUBSTITUTE(I52,",",".")</f>
        <v>4.71022215363981</v>
      </c>
      <c r="U52" s="22" t="str">
        <f>SUBSTITUTE(J52,",",".")</f>
        <v>5.83</v>
      </c>
    </row>
    <row r="53" spans="1:21" x14ac:dyDescent="0.25">
      <c r="A53" t="s">
        <v>29</v>
      </c>
      <c r="B53" s="1" t="s">
        <v>15</v>
      </c>
      <c r="C53">
        <v>1.1392752532481889</v>
      </c>
      <c r="D53" s="18">
        <v>25.83</v>
      </c>
      <c r="E53">
        <v>26.940667773365455</v>
      </c>
      <c r="F53">
        <v>20.778096868754925</v>
      </c>
      <c r="G53" s="18">
        <v>3.32</v>
      </c>
      <c r="H53" s="18">
        <v>1.79</v>
      </c>
      <c r="I53">
        <v>4.6807838464198133</v>
      </c>
      <c r="J53" s="18">
        <v>5.7</v>
      </c>
      <c r="L53" s="22" t="s">
        <v>29</v>
      </c>
      <c r="M53" s="24" t="s">
        <v>15</v>
      </c>
      <c r="N53" s="22" t="str">
        <f>SUBSTITUTE(C53,",",".")</f>
        <v>1.13927525324819</v>
      </c>
      <c r="O53" s="22" t="str">
        <f>SUBSTITUTE(D53,",",".")</f>
        <v>25.83</v>
      </c>
      <c r="P53" s="22" t="str">
        <f>SUBSTITUTE(E53,",",".")</f>
        <v>26.9406677733655</v>
      </c>
      <c r="Q53" s="22" t="str">
        <f>SUBSTITUTE(F53,",",".")</f>
        <v>20.7780968687549</v>
      </c>
      <c r="R53" s="22" t="str">
        <f>SUBSTITUTE(G53,",",".")</f>
        <v>3.32</v>
      </c>
      <c r="S53" s="22" t="str">
        <f>SUBSTITUTE(H53,",",".")</f>
        <v>1.79</v>
      </c>
      <c r="T53" s="22" t="str">
        <f>SUBSTITUTE(I53,",",".")</f>
        <v>4.68078384641981</v>
      </c>
      <c r="U53" s="22" t="str">
        <f>SUBSTITUTE(J53,",",".")</f>
        <v>5.7</v>
      </c>
    </row>
    <row r="54" spans="1:21" x14ac:dyDescent="0.25">
      <c r="A54" t="s">
        <v>29</v>
      </c>
      <c r="B54" s="1" t="s">
        <v>16</v>
      </c>
      <c r="C54">
        <v>-0.29791848669657894</v>
      </c>
      <c r="D54" s="18">
        <v>24.53</v>
      </c>
      <c r="E54">
        <v>25.324254837819243</v>
      </c>
      <c r="F54">
        <v>20.792080958503448</v>
      </c>
      <c r="G54" s="18">
        <v>3.05</v>
      </c>
      <c r="H54" s="16">
        <v>1.83</v>
      </c>
      <c r="I54">
        <v>5.1406882624441348</v>
      </c>
      <c r="J54" s="18">
        <v>5.3</v>
      </c>
      <c r="L54" s="22" t="s">
        <v>29</v>
      </c>
      <c r="M54" s="24" t="s">
        <v>16</v>
      </c>
      <c r="N54" s="22" t="str">
        <f>SUBSTITUTE(C54,",",".")</f>
        <v>-0.297918486696579</v>
      </c>
      <c r="O54" s="22" t="str">
        <f>SUBSTITUTE(D54,",",".")</f>
        <v>24.53</v>
      </c>
      <c r="P54" s="22" t="str">
        <f>SUBSTITUTE(E54,",",".")</f>
        <v>25.3242548378192</v>
      </c>
      <c r="Q54" s="22" t="str">
        <f>SUBSTITUTE(F54,",",".")</f>
        <v>20.7920809585034</v>
      </c>
      <c r="R54" s="22" t="str">
        <f>SUBSTITUTE(G54,",",".")</f>
        <v>3.05</v>
      </c>
      <c r="S54" s="22" t="str">
        <f>SUBSTITUTE(H54,",",".")</f>
        <v>1.83</v>
      </c>
      <c r="T54" s="22" t="str">
        <f>SUBSTITUTE(I54,",",".")</f>
        <v>5.14068826244413</v>
      </c>
      <c r="U54" s="22" t="str">
        <f>SUBSTITUTE(J54,",",".")</f>
        <v>5.3</v>
      </c>
    </row>
    <row r="55" spans="1:21" x14ac:dyDescent="0.25">
      <c r="A55" t="s">
        <v>29</v>
      </c>
      <c r="B55" s="1" t="s">
        <v>17</v>
      </c>
      <c r="C55">
        <v>1.041667924433741</v>
      </c>
      <c r="D55" s="18">
        <v>25.33</v>
      </c>
      <c r="E55">
        <v>31.47474817419031</v>
      </c>
      <c r="F55">
        <v>20.827186356607484</v>
      </c>
      <c r="G55" s="18">
        <v>3.14</v>
      </c>
      <c r="H55" s="18">
        <v>2.39</v>
      </c>
      <c r="I55">
        <v>5.5062909474123805</v>
      </c>
      <c r="J55" s="18">
        <v>5.25</v>
      </c>
      <c r="L55" s="22" t="s">
        <v>29</v>
      </c>
      <c r="M55" s="24" t="s">
        <v>17</v>
      </c>
      <c r="N55" s="22" t="str">
        <f>SUBSTITUTE(C55,",",".")</f>
        <v>1.04166792443374</v>
      </c>
      <c r="O55" s="22" t="str">
        <f>SUBSTITUTE(D55,",",".")</f>
        <v>25.33</v>
      </c>
      <c r="P55" s="22" t="str">
        <f>SUBSTITUTE(E55,",",".")</f>
        <v>31.4747481741903</v>
      </c>
      <c r="Q55" s="22" t="str">
        <f>SUBSTITUTE(F55,",",".")</f>
        <v>20.8271863566075</v>
      </c>
      <c r="R55" s="22" t="str">
        <f>SUBSTITUTE(G55,",",".")</f>
        <v>3.14</v>
      </c>
      <c r="S55" s="22" t="str">
        <f>SUBSTITUTE(H55,",",".")</f>
        <v>2.39</v>
      </c>
      <c r="T55" s="22" t="str">
        <f>SUBSTITUTE(I55,",",".")</f>
        <v>5.50629094741238</v>
      </c>
      <c r="U55" s="22" t="str">
        <f>SUBSTITUTE(J55,",",".")</f>
        <v>5.25</v>
      </c>
    </row>
    <row r="56" spans="1:21" x14ac:dyDescent="0.25">
      <c r="A56" t="s">
        <v>29</v>
      </c>
      <c r="B56" s="1" t="s">
        <v>18</v>
      </c>
      <c r="C56">
        <v>1.9746759792134416</v>
      </c>
      <c r="D56" s="18">
        <v>26.15</v>
      </c>
      <c r="E56">
        <v>32.464907078384279</v>
      </c>
      <c r="F56">
        <v>20.862027576676937</v>
      </c>
      <c r="G56" s="18">
        <v>3.49</v>
      </c>
      <c r="H56" s="18">
        <v>2.36</v>
      </c>
      <c r="I56">
        <v>5.4367013225397081</v>
      </c>
      <c r="J56" s="18">
        <v>5.17</v>
      </c>
      <c r="L56" s="22" t="s">
        <v>29</v>
      </c>
      <c r="M56" s="24" t="s">
        <v>18</v>
      </c>
      <c r="N56" s="22" t="str">
        <f>SUBSTITUTE(C56,",",".")</f>
        <v>1.97467597921344</v>
      </c>
      <c r="O56" s="22" t="str">
        <f>SUBSTITUTE(D56,",",".")</f>
        <v>26.15</v>
      </c>
      <c r="P56" s="22" t="str">
        <f>SUBSTITUTE(E56,",",".")</f>
        <v>32.4649070783843</v>
      </c>
      <c r="Q56" s="22" t="str">
        <f>SUBSTITUTE(F56,",",".")</f>
        <v>20.8620275766769</v>
      </c>
      <c r="R56" s="22" t="str">
        <f>SUBSTITUTE(G56,",",".")</f>
        <v>3.49</v>
      </c>
      <c r="S56" s="22" t="str">
        <f>SUBSTITUTE(H56,",",".")</f>
        <v>2.36</v>
      </c>
      <c r="T56" s="22" t="str">
        <f>SUBSTITUTE(I56,",",".")</f>
        <v>5.43670132253971</v>
      </c>
      <c r="U56" s="22" t="str">
        <f>SUBSTITUTE(J56,",",".")</f>
        <v>5.17</v>
      </c>
    </row>
    <row r="57" spans="1:21" x14ac:dyDescent="0.25">
      <c r="A57" t="s">
        <v>29</v>
      </c>
      <c r="B57" s="1" t="s">
        <v>19</v>
      </c>
      <c r="C57">
        <v>4.950674825303726</v>
      </c>
      <c r="D57" s="18">
        <v>25.66</v>
      </c>
      <c r="E57">
        <v>31.609045645610401</v>
      </c>
      <c r="F57">
        <v>20.910153452576047</v>
      </c>
      <c r="G57" s="18">
        <v>3.41</v>
      </c>
      <c r="H57" s="18">
        <v>2.16</v>
      </c>
      <c r="I57">
        <v>5.1865145736772478</v>
      </c>
      <c r="J57" s="18">
        <v>5.0999999999999996</v>
      </c>
      <c r="L57" s="22" t="s">
        <v>29</v>
      </c>
      <c r="M57" s="24" t="s">
        <v>19</v>
      </c>
      <c r="N57" s="22" t="str">
        <f>SUBSTITUTE(C57,",",".")</f>
        <v>4.95067482530373</v>
      </c>
      <c r="O57" s="22" t="str">
        <f>SUBSTITUTE(D57,",",".")</f>
        <v>25.66</v>
      </c>
      <c r="P57" s="22" t="str">
        <f>SUBSTITUTE(E57,",",".")</f>
        <v>31.6090456456104</v>
      </c>
      <c r="Q57" s="22" t="str">
        <f>SUBSTITUTE(F57,",",".")</f>
        <v>20.910153452576</v>
      </c>
      <c r="R57" s="22" t="str">
        <f>SUBSTITUTE(G57,",",".")</f>
        <v>3.41</v>
      </c>
      <c r="S57" s="22" t="str">
        <f>SUBSTITUTE(H57,",",".")</f>
        <v>2.16</v>
      </c>
      <c r="T57" s="22" t="str">
        <f>SUBSTITUTE(I57,",",".")</f>
        <v>5.18651457367725</v>
      </c>
      <c r="U57" s="22" t="str">
        <f>SUBSTITUTE(J57,",",".")</f>
        <v>5.1</v>
      </c>
    </row>
    <row r="58" spans="1:21" x14ac:dyDescent="0.25">
      <c r="A58" t="s">
        <v>29</v>
      </c>
      <c r="B58" s="1" t="s">
        <v>20</v>
      </c>
      <c r="C58">
        <v>-0.12703448533349279</v>
      </c>
      <c r="D58" s="18" t="s">
        <v>229</v>
      </c>
      <c r="E58">
        <v>28.958496930219717</v>
      </c>
      <c r="F58">
        <v>20.933743373489616</v>
      </c>
      <c r="G58" s="18" t="s">
        <v>233</v>
      </c>
      <c r="H58" s="18" t="s">
        <v>231</v>
      </c>
      <c r="I58">
        <v>5.6362319576543491</v>
      </c>
      <c r="J58" s="18" t="s">
        <v>230</v>
      </c>
      <c r="L58" s="22" t="s">
        <v>29</v>
      </c>
      <c r="M58" s="24" t="s">
        <v>20</v>
      </c>
      <c r="N58" s="22" t="str">
        <f>SUBSTITUTE(C58,",",".")</f>
        <v>-0.127034485333493</v>
      </c>
      <c r="O58" s="22" t="str">
        <f>SUBSTITUTE(D58,",",".")</f>
        <v>23.86</v>
      </c>
      <c r="P58" s="22" t="str">
        <f>SUBSTITUTE(E58,",",".")</f>
        <v>28.9584969302197</v>
      </c>
      <c r="Q58" s="22" t="str">
        <f>SUBSTITUTE(F58,",",".")</f>
        <v>20.9337433734896</v>
      </c>
      <c r="R58" s="22" t="str">
        <f>SUBSTITUTE(G58,",",".")</f>
        <v>3.06</v>
      </c>
      <c r="S58" s="22" t="str">
        <f>SUBSTITUTE(H58,",",".")</f>
        <v>2.30</v>
      </c>
      <c r="T58" s="22" t="str">
        <f>SUBSTITUTE(I58,",",".")</f>
        <v>5.63623195765435</v>
      </c>
      <c r="U58" s="22" t="str">
        <f>SUBSTITUTE(J58,",",".")</f>
        <v>4.92</v>
      </c>
    </row>
    <row r="59" spans="1:21" x14ac:dyDescent="0.25">
      <c r="A59" t="s">
        <v>29</v>
      </c>
      <c r="B59" s="1" t="s">
        <v>21</v>
      </c>
      <c r="C59">
        <v>5.9725162618613226</v>
      </c>
      <c r="D59" s="18" t="s">
        <v>236</v>
      </c>
      <c r="E59">
        <v>35.509162643481119</v>
      </c>
      <c r="F59">
        <v>20.936523315278873</v>
      </c>
      <c r="G59" s="18" t="s">
        <v>238</v>
      </c>
      <c r="H59" s="18" t="s">
        <v>237</v>
      </c>
      <c r="I59">
        <v>5.4380899892542454</v>
      </c>
      <c r="J59" s="18" t="s">
        <v>210</v>
      </c>
      <c r="L59" s="22" t="s">
        <v>29</v>
      </c>
      <c r="M59" s="24" t="s">
        <v>21</v>
      </c>
      <c r="N59" s="22" t="str">
        <f>SUBSTITUTE(C59,",",".")</f>
        <v>5.97251626186132</v>
      </c>
      <c r="O59" s="22" t="str">
        <f>SUBSTITUTE(D59,",",".")</f>
        <v>24.72</v>
      </c>
      <c r="P59" s="22" t="str">
        <f>SUBSTITUTE(E59,",",".")</f>
        <v>35.5091626434811</v>
      </c>
      <c r="Q59" s="22" t="str">
        <f>SUBSTITUTE(F59,",",".")</f>
        <v>20.9365233152789</v>
      </c>
      <c r="R59" s="22" t="str">
        <f>SUBSTITUTE(G59,",",".")</f>
        <v>3.47</v>
      </c>
      <c r="S59" s="22" t="str">
        <f>SUBSTITUTE(H59,",",".")</f>
        <v>2.21</v>
      </c>
      <c r="T59" s="22" t="str">
        <f>SUBSTITUTE(I59,",",".")</f>
        <v>5.43808998925425</v>
      </c>
      <c r="U59" s="22" t="str">
        <f>SUBSTITUTE(J59,",",".")</f>
        <v>4.98</v>
      </c>
    </row>
    <row r="60" spans="1:21" x14ac:dyDescent="0.25">
      <c r="A60" t="s">
        <v>29</v>
      </c>
      <c r="B60" s="1" t="s">
        <v>22</v>
      </c>
      <c r="C60">
        <v>0.88326097268463466</v>
      </c>
      <c r="D60" s="18" t="s">
        <v>241</v>
      </c>
      <c r="E60">
        <v>29.674975167712205</v>
      </c>
      <c r="F60">
        <v>20.953974531467455</v>
      </c>
      <c r="G60" s="18" t="s">
        <v>244</v>
      </c>
      <c r="H60" s="18" t="s">
        <v>243</v>
      </c>
      <c r="I60">
        <v>5.3586797276198777</v>
      </c>
      <c r="J60" s="18" t="s">
        <v>242</v>
      </c>
      <c r="L60" s="22" t="s">
        <v>29</v>
      </c>
      <c r="M60" s="24" t="s">
        <v>22</v>
      </c>
      <c r="N60" s="22" t="str">
        <f>SUBSTITUTE(C60,",",".")</f>
        <v>0.883260972684635</v>
      </c>
      <c r="O60" s="22" t="str">
        <f>SUBSTITUTE(D60,",",".")</f>
        <v>25.36</v>
      </c>
      <c r="P60" s="22" t="str">
        <f>SUBSTITUTE(E60,",",".")</f>
        <v>29.6749751677122</v>
      </c>
      <c r="Q60" s="22" t="str">
        <f>SUBSTITUTE(F60,",",".")</f>
        <v>20.9539745314675</v>
      </c>
      <c r="R60" s="22" t="str">
        <f>SUBSTITUTE(G60,",",".")</f>
        <v>3.69</v>
      </c>
      <c r="S60" s="22" t="str">
        <f>SUBSTITUTE(H60,",",".")</f>
        <v>2.16</v>
      </c>
      <c r="T60" s="22" t="str">
        <f>SUBSTITUTE(I60,",",".")</f>
        <v>5.35867972761988</v>
      </c>
      <c r="U60" s="22" t="str">
        <f>SUBSTITUTE(J60,",",".")</f>
        <v>5.13</v>
      </c>
    </row>
    <row r="61" spans="1:21" x14ac:dyDescent="0.25">
      <c r="A61" t="s">
        <v>29</v>
      </c>
      <c r="B61" s="1" t="s">
        <v>23</v>
      </c>
      <c r="C61">
        <v>4.2957737903930848</v>
      </c>
      <c r="D61" s="16">
        <v>25.77</v>
      </c>
      <c r="E61">
        <v>30.084404542458181</v>
      </c>
      <c r="F61">
        <v>20.972752427415784</v>
      </c>
      <c r="G61" s="18">
        <v>3.91</v>
      </c>
      <c r="H61" s="18">
        <v>1.71</v>
      </c>
      <c r="I61">
        <v>4.9038645264657443</v>
      </c>
      <c r="J61" s="18">
        <v>5.34</v>
      </c>
      <c r="L61" s="22" t="s">
        <v>29</v>
      </c>
      <c r="M61" s="24" t="s">
        <v>23</v>
      </c>
      <c r="N61" s="22" t="str">
        <f>SUBSTITUTE(C61,",",".")</f>
        <v>4.29577379039308</v>
      </c>
      <c r="O61" s="22" t="str">
        <f>SUBSTITUTE(D61,",",".")</f>
        <v>25.77</v>
      </c>
      <c r="P61" s="22" t="str">
        <f>SUBSTITUTE(E61,",",".")</f>
        <v>30.0844045424582</v>
      </c>
      <c r="Q61" s="22" t="str">
        <f>SUBSTITUTE(F61,",",".")</f>
        <v>20.9727524274158</v>
      </c>
      <c r="R61" s="22" t="str">
        <f>SUBSTITUTE(G61,",",".")</f>
        <v>3.91</v>
      </c>
      <c r="S61" s="22" t="str">
        <f>SUBSTITUTE(H61,",",".")</f>
        <v>1.71</v>
      </c>
      <c r="T61" s="22" t="str">
        <f>SUBSTITUTE(I61,",",".")</f>
        <v>4.90386452646574</v>
      </c>
      <c r="U61" s="22" t="str">
        <f>SUBSTITUTE(J61,",",".")</f>
        <v>5.34</v>
      </c>
    </row>
    <row r="62" spans="1:21" x14ac:dyDescent="0.25">
      <c r="A62" t="s">
        <v>26</v>
      </c>
      <c r="B62" s="1" t="s">
        <v>4</v>
      </c>
      <c r="C62">
        <v>-0.52510706486814096</v>
      </c>
      <c r="D62" s="18">
        <v>17.920000000000002</v>
      </c>
      <c r="E62">
        <v>24.907959620756177</v>
      </c>
      <c r="F62">
        <v>20.290287134956547</v>
      </c>
      <c r="G62" s="18">
        <v>2.73</v>
      </c>
      <c r="H62" s="18">
        <v>2.2599999999999998</v>
      </c>
      <c r="I62">
        <v>3.3485380700484879</v>
      </c>
      <c r="J62" s="18">
        <v>5.41</v>
      </c>
      <c r="L62" s="22" t="s">
        <v>26</v>
      </c>
      <c r="M62" s="24" t="s">
        <v>4</v>
      </c>
      <c r="N62" s="22" t="str">
        <f>SUBSTITUTE(C62,",",".")</f>
        <v>-0.525107064868141</v>
      </c>
      <c r="O62" s="22" t="str">
        <f>SUBSTITUTE(D62,",",".")</f>
        <v>17.92</v>
      </c>
      <c r="P62" s="22" t="str">
        <f>SUBSTITUTE(E62,",",".")</f>
        <v>24.9079596207562</v>
      </c>
      <c r="Q62" s="22" t="str">
        <f>SUBSTITUTE(F62,",",".")</f>
        <v>20.2902871349565</v>
      </c>
      <c r="R62" s="22" t="str">
        <f>SUBSTITUTE(G62,",",".")</f>
        <v>2.73</v>
      </c>
      <c r="S62" s="22" t="str">
        <f>SUBSTITUTE(H62,",",".")</f>
        <v>2.26</v>
      </c>
      <c r="T62" s="22" t="str">
        <f>SUBSTITUTE(I62,",",".")</f>
        <v>3.34853807004849</v>
      </c>
      <c r="U62" s="22" t="str">
        <f>SUBSTITUTE(J62,",",".")</f>
        <v>5.41</v>
      </c>
    </row>
    <row r="63" spans="1:21" x14ac:dyDescent="0.25">
      <c r="A63" t="s">
        <v>26</v>
      </c>
      <c r="B63" s="1" t="s">
        <v>5</v>
      </c>
      <c r="C63">
        <v>4.0748724278954152</v>
      </c>
      <c r="D63" s="18">
        <v>17.46</v>
      </c>
      <c r="E63">
        <v>24.41003956735225</v>
      </c>
      <c r="F63">
        <v>20.343695727540922</v>
      </c>
      <c r="G63" s="18">
        <v>2.73</v>
      </c>
      <c r="H63" s="18">
        <v>2.1</v>
      </c>
      <c r="I63">
        <v>3.1600638620965569</v>
      </c>
      <c r="J63" s="18">
        <v>5.45</v>
      </c>
      <c r="L63" s="22" t="s">
        <v>26</v>
      </c>
      <c r="M63" s="24" t="s">
        <v>5</v>
      </c>
      <c r="N63" s="22" t="str">
        <f>SUBSTITUTE(C63,",",".")</f>
        <v>4.07487242789542</v>
      </c>
      <c r="O63" s="22" t="str">
        <f>SUBSTITUTE(D63,",",".")</f>
        <v>17.46</v>
      </c>
      <c r="P63" s="22" t="str">
        <f>SUBSTITUTE(E63,",",".")</f>
        <v>24.4100395673522</v>
      </c>
      <c r="Q63" s="22" t="str">
        <f>SUBSTITUTE(F63,",",".")</f>
        <v>20.3436957275409</v>
      </c>
      <c r="R63" s="22" t="str">
        <f>SUBSTITUTE(G63,",",".")</f>
        <v>2.73</v>
      </c>
      <c r="S63" s="22" t="str">
        <f>SUBSTITUTE(H63,",",".")</f>
        <v>2.1</v>
      </c>
      <c r="T63" s="22" t="str">
        <f>SUBSTITUTE(I63,",",".")</f>
        <v>3.16006386209656</v>
      </c>
      <c r="U63" s="22" t="str">
        <f>SUBSTITUTE(J63,",",".")</f>
        <v>5.45</v>
      </c>
    </row>
    <row r="64" spans="1:21" x14ac:dyDescent="0.25">
      <c r="A64" t="s">
        <v>26</v>
      </c>
      <c r="B64" s="1" t="s">
        <v>6</v>
      </c>
      <c r="C64">
        <v>6.3490190610463486</v>
      </c>
      <c r="D64" s="18">
        <v>17.8</v>
      </c>
      <c r="E64">
        <v>23.681850855371614</v>
      </c>
      <c r="F64">
        <v>20.383888267129041</v>
      </c>
      <c r="G64" s="18">
        <v>2.76</v>
      </c>
      <c r="H64" s="18">
        <v>2.0099999999999998</v>
      </c>
      <c r="I64">
        <v>3.0530986638299602</v>
      </c>
      <c r="J64" s="18">
        <v>5.31</v>
      </c>
      <c r="L64" s="22" t="s">
        <v>26</v>
      </c>
      <c r="M64" s="24" t="s">
        <v>6</v>
      </c>
      <c r="N64" s="22" t="str">
        <f>SUBSTITUTE(C64,",",".")</f>
        <v>6.34901906104635</v>
      </c>
      <c r="O64" s="22" t="str">
        <f>SUBSTITUTE(D64,",",".")</f>
        <v>17.8</v>
      </c>
      <c r="P64" s="22" t="str">
        <f>SUBSTITUTE(E64,",",".")</f>
        <v>23.6818508553716</v>
      </c>
      <c r="Q64" s="22" t="str">
        <f>SUBSTITUTE(F64,",",".")</f>
        <v>20.383888267129</v>
      </c>
      <c r="R64" s="22" t="str">
        <f>SUBSTITUTE(G64,",",".")</f>
        <v>2.76</v>
      </c>
      <c r="S64" s="22" t="str">
        <f>SUBSTITUTE(H64,",",".")</f>
        <v>2.01</v>
      </c>
      <c r="T64" s="22" t="str">
        <f>SUBSTITUTE(I64,",",".")</f>
        <v>3.05309866382996</v>
      </c>
      <c r="U64" s="22" t="str">
        <f>SUBSTITUTE(J64,",",".")</f>
        <v>5.31</v>
      </c>
    </row>
    <row r="65" spans="1:21" x14ac:dyDescent="0.25">
      <c r="A65" t="s">
        <v>26</v>
      </c>
      <c r="B65" s="1" t="s">
        <v>7</v>
      </c>
      <c r="C65">
        <v>5.254284222092557</v>
      </c>
      <c r="D65" s="18">
        <v>18.5</v>
      </c>
      <c r="E65">
        <v>25.362431135260859</v>
      </c>
      <c r="F65">
        <v>20.441665513112817</v>
      </c>
      <c r="G65" s="18">
        <v>2.78</v>
      </c>
      <c r="H65" s="18">
        <v>1.9</v>
      </c>
      <c r="I65">
        <v>2.9083894001549426</v>
      </c>
      <c r="J65" s="18">
        <v>5.29</v>
      </c>
      <c r="L65" s="22" t="s">
        <v>26</v>
      </c>
      <c r="M65" s="24" t="s">
        <v>7</v>
      </c>
      <c r="N65" s="22" t="str">
        <f>SUBSTITUTE(C65,",",".")</f>
        <v>5.25428422209256</v>
      </c>
      <c r="O65" s="22" t="str">
        <f>SUBSTITUTE(D65,",",".")</f>
        <v>18.5</v>
      </c>
      <c r="P65" s="22" t="str">
        <f>SUBSTITUTE(E65,",",".")</f>
        <v>25.3624311352609</v>
      </c>
      <c r="Q65" s="22" t="str">
        <f>SUBSTITUTE(F65,",",".")</f>
        <v>20.4416655131128</v>
      </c>
      <c r="R65" s="22" t="str">
        <f>SUBSTITUTE(G65,",",".")</f>
        <v>2.78</v>
      </c>
      <c r="S65" s="22" t="str">
        <f>SUBSTITUTE(H65,",",".")</f>
        <v>1.9</v>
      </c>
      <c r="T65" s="22" t="str">
        <f>SUBSTITUTE(I65,",",".")</f>
        <v>2.90838940015494</v>
      </c>
      <c r="U65" s="22" t="str">
        <f>SUBSTITUTE(J65,",",".")</f>
        <v>5.29</v>
      </c>
    </row>
    <row r="66" spans="1:21" x14ac:dyDescent="0.25">
      <c r="A66" t="s">
        <v>26</v>
      </c>
      <c r="B66" s="1" t="s">
        <v>8</v>
      </c>
      <c r="C66">
        <v>1.5269037679621003</v>
      </c>
      <c r="D66" s="18">
        <v>19.18</v>
      </c>
      <c r="E66">
        <v>22.83981378010526</v>
      </c>
      <c r="F66">
        <v>20.428118156732072</v>
      </c>
      <c r="G66" s="18">
        <v>2.68</v>
      </c>
      <c r="H66" s="18">
        <v>1.88</v>
      </c>
      <c r="I66">
        <v>2.8838464782077105</v>
      </c>
      <c r="J66" s="18">
        <v>4.99</v>
      </c>
      <c r="L66" s="22" t="s">
        <v>26</v>
      </c>
      <c r="M66" s="24" t="s">
        <v>8</v>
      </c>
      <c r="N66" s="22" t="str">
        <f>SUBSTITUTE(C66,",",".")</f>
        <v>1.5269037679621</v>
      </c>
      <c r="O66" s="22" t="str">
        <f>SUBSTITUTE(D66,",",".")</f>
        <v>19.18</v>
      </c>
      <c r="P66" s="22" t="str">
        <f>SUBSTITUTE(E66,",",".")</f>
        <v>22.8398137801053</v>
      </c>
      <c r="Q66" s="22" t="str">
        <f>SUBSTITUTE(F66,",",".")</f>
        <v>20.4281181567321</v>
      </c>
      <c r="R66" s="22" t="str">
        <f>SUBSTITUTE(G66,",",".")</f>
        <v>2.68</v>
      </c>
      <c r="S66" s="22" t="str">
        <f>SUBSTITUTE(H66,",",".")</f>
        <v>1.88</v>
      </c>
      <c r="T66" s="22" t="str">
        <f>SUBSTITUTE(I66,",",".")</f>
        <v>2.88384647820771</v>
      </c>
      <c r="U66" s="22" t="str">
        <f>SUBSTITUTE(J66,",",".")</f>
        <v>4.99</v>
      </c>
    </row>
    <row r="67" spans="1:21" x14ac:dyDescent="0.25">
      <c r="A67" t="s">
        <v>26</v>
      </c>
      <c r="B67" s="1" t="s">
        <v>9</v>
      </c>
      <c r="C67">
        <v>5.2128601922521671</v>
      </c>
      <c r="D67" s="18">
        <v>18.68</v>
      </c>
      <c r="E67">
        <v>23.463137628453946</v>
      </c>
      <c r="F67">
        <v>20.482476374525792</v>
      </c>
      <c r="G67" s="18">
        <v>2.44</v>
      </c>
      <c r="H67" s="18">
        <v>1.75</v>
      </c>
      <c r="I67">
        <v>2.7337801197785945</v>
      </c>
      <c r="J67" s="18">
        <v>4.87</v>
      </c>
      <c r="L67" s="22" t="s">
        <v>26</v>
      </c>
      <c r="M67" s="24" t="s">
        <v>9</v>
      </c>
      <c r="N67" s="22" t="str">
        <f>SUBSTITUTE(C67,",",".")</f>
        <v>5.21286019225217</v>
      </c>
      <c r="O67" s="22" t="str">
        <f>SUBSTITUTE(D67,",",".")</f>
        <v>18.68</v>
      </c>
      <c r="P67" s="22" t="str">
        <f>SUBSTITUTE(E67,",",".")</f>
        <v>23.4631376284539</v>
      </c>
      <c r="Q67" s="22" t="str">
        <f>SUBSTITUTE(F67,",",".")</f>
        <v>20.4824763745258</v>
      </c>
      <c r="R67" s="22" t="str">
        <f>SUBSTITUTE(G67,",",".")</f>
        <v>2.44</v>
      </c>
      <c r="S67" s="22" t="str">
        <f>SUBSTITUTE(H67,",",".")</f>
        <v>1.75</v>
      </c>
      <c r="T67" s="22" t="str">
        <f>SUBSTITUTE(I67,",",".")</f>
        <v>2.73378011977859</v>
      </c>
      <c r="U67" s="22" t="str">
        <f>SUBSTITUTE(J67,",",".")</f>
        <v>4.87</v>
      </c>
    </row>
    <row r="68" spans="1:21" x14ac:dyDescent="0.25">
      <c r="A68" t="s">
        <v>26</v>
      </c>
      <c r="B68" s="1" t="s">
        <v>10</v>
      </c>
      <c r="C68">
        <v>1.7747949927551778</v>
      </c>
      <c r="D68" s="18">
        <v>19.329999999999998</v>
      </c>
      <c r="E68">
        <v>20.665093038587113</v>
      </c>
      <c r="F68">
        <v>20.44455102219068</v>
      </c>
      <c r="G68" s="18">
        <v>2.5099999999999998</v>
      </c>
      <c r="H68" s="18">
        <v>1.8</v>
      </c>
      <c r="I68">
        <v>2.8689991756910067</v>
      </c>
      <c r="J68" s="18">
        <v>4.8499999999999996</v>
      </c>
      <c r="L68" s="22" t="s">
        <v>26</v>
      </c>
      <c r="M68" s="24" t="s">
        <v>10</v>
      </c>
      <c r="N68" s="22" t="str">
        <f>SUBSTITUTE(C68,",",".")</f>
        <v>1.77479499275518</v>
      </c>
      <c r="O68" s="22" t="str">
        <f>SUBSTITUTE(D68,",",".")</f>
        <v>19.33</v>
      </c>
      <c r="P68" s="22" t="str">
        <f>SUBSTITUTE(E68,",",".")</f>
        <v>20.6650930385871</v>
      </c>
      <c r="Q68" s="22" t="str">
        <f>SUBSTITUTE(F68,",",".")</f>
        <v>20.4445510221907</v>
      </c>
      <c r="R68" s="22" t="str">
        <f>SUBSTITUTE(G68,",",".")</f>
        <v>2.51</v>
      </c>
      <c r="S68" s="22" t="str">
        <f>SUBSTITUTE(H68,",",".")</f>
        <v>1.8</v>
      </c>
      <c r="T68" s="22" t="str">
        <f>SUBSTITUTE(I68,",",".")</f>
        <v>2.86899917569101</v>
      </c>
      <c r="U68" s="22" t="str">
        <f>SUBSTITUTE(J68,",",".")</f>
        <v>4.85</v>
      </c>
    </row>
    <row r="69" spans="1:21" x14ac:dyDescent="0.25">
      <c r="A69" t="s">
        <v>26</v>
      </c>
      <c r="B69" s="1" t="s">
        <v>11</v>
      </c>
      <c r="C69">
        <v>-0.53330937431264058</v>
      </c>
      <c r="D69" s="18">
        <v>19.73</v>
      </c>
      <c r="E69">
        <v>22.184253136795661</v>
      </c>
      <c r="F69">
        <v>20.475108773652877</v>
      </c>
      <c r="G69" s="18">
        <v>2.42</v>
      </c>
      <c r="H69" s="18">
        <v>2.27</v>
      </c>
      <c r="I69">
        <v>3.0296309900842315</v>
      </c>
      <c r="J69" s="18">
        <v>4.92</v>
      </c>
      <c r="L69" s="22" t="s">
        <v>26</v>
      </c>
      <c r="M69" s="24" t="s">
        <v>11</v>
      </c>
      <c r="N69" s="22" t="str">
        <f>SUBSTITUTE(C69,",",".")</f>
        <v>-0.533309374312641</v>
      </c>
      <c r="O69" s="22" t="str">
        <f>SUBSTITUTE(D69,",",".")</f>
        <v>19.73</v>
      </c>
      <c r="P69" s="22" t="str">
        <f>SUBSTITUTE(E69,",",".")</f>
        <v>22.1842531367957</v>
      </c>
      <c r="Q69" s="22" t="str">
        <f>SUBSTITUTE(F69,",",".")</f>
        <v>20.4751087736529</v>
      </c>
      <c r="R69" s="22" t="str">
        <f>SUBSTITUTE(G69,",",".")</f>
        <v>2.42</v>
      </c>
      <c r="S69" s="22" t="str">
        <f>SUBSTITUTE(H69,",",".")</f>
        <v>2.27</v>
      </c>
      <c r="T69" s="22" t="str">
        <f>SUBSTITUTE(I69,",",".")</f>
        <v>3.02963099008423</v>
      </c>
      <c r="U69" s="22" t="str">
        <f>SUBSTITUTE(J69,",",".")</f>
        <v>4.92</v>
      </c>
    </row>
    <row r="70" spans="1:21" x14ac:dyDescent="0.25">
      <c r="A70" t="s">
        <v>26</v>
      </c>
      <c r="B70" s="1" t="s">
        <v>12</v>
      </c>
      <c r="C70">
        <v>4.3889493361913257</v>
      </c>
      <c r="D70" s="18">
        <v>16.07</v>
      </c>
      <c r="E70">
        <v>21.631973167672687</v>
      </c>
      <c r="F70">
        <v>20.504213166556795</v>
      </c>
      <c r="G70" s="18">
        <v>2.63</v>
      </c>
      <c r="H70" s="18">
        <v>2.38</v>
      </c>
      <c r="I70">
        <v>5.7778394786921128</v>
      </c>
      <c r="J70" s="18">
        <v>4.88</v>
      </c>
      <c r="L70" s="22" t="s">
        <v>26</v>
      </c>
      <c r="M70" s="24" t="s">
        <v>12</v>
      </c>
      <c r="N70" s="22" t="str">
        <f>SUBSTITUTE(C70,",",".")</f>
        <v>4.38894933619133</v>
      </c>
      <c r="O70" s="22" t="str">
        <f>SUBSTITUTE(D70,",",".")</f>
        <v>16.07</v>
      </c>
      <c r="P70" s="22" t="str">
        <f>SUBSTITUTE(E70,",",".")</f>
        <v>21.6319731676727</v>
      </c>
      <c r="Q70" s="22" t="str">
        <f>SUBSTITUTE(F70,",",".")</f>
        <v>20.5042131665568</v>
      </c>
      <c r="R70" s="22" t="str">
        <f>SUBSTITUTE(G70,",",".")</f>
        <v>2.63</v>
      </c>
      <c r="S70" s="22" t="str">
        <f>SUBSTITUTE(H70,",",".")</f>
        <v>2.38</v>
      </c>
      <c r="T70" s="22" t="str">
        <f>SUBSTITUTE(I70,",",".")</f>
        <v>5.77783947869211</v>
      </c>
      <c r="U70" s="22" t="str">
        <f>SUBSTITUTE(J70,",",".")</f>
        <v>4.88</v>
      </c>
    </row>
    <row r="71" spans="1:21" x14ac:dyDescent="0.25">
      <c r="A71" t="s">
        <v>26</v>
      </c>
      <c r="B71" s="1" t="s">
        <v>13</v>
      </c>
      <c r="C71">
        <v>-0.32861222259822503</v>
      </c>
      <c r="D71" s="18">
        <v>16.71</v>
      </c>
      <c r="E71">
        <v>20.941134917656779</v>
      </c>
      <c r="F71">
        <v>20.516612368781576</v>
      </c>
      <c r="G71" s="18">
        <v>1.38</v>
      </c>
      <c r="H71" s="18">
        <v>3.03</v>
      </c>
      <c r="I71">
        <v>6.4915284326623635</v>
      </c>
      <c r="J71" s="18">
        <v>4.47</v>
      </c>
      <c r="L71" s="22" t="s">
        <v>26</v>
      </c>
      <c r="M71" s="24" t="s">
        <v>13</v>
      </c>
      <c r="N71" s="22" t="str">
        <f>SUBSTITUTE(C71,",",".")</f>
        <v>-0.328612222598225</v>
      </c>
      <c r="O71" s="22" t="str">
        <f>SUBSTITUTE(D71,",",".")</f>
        <v>16.71</v>
      </c>
      <c r="P71" s="22" t="str">
        <f>SUBSTITUTE(E71,",",".")</f>
        <v>20.9411349176568</v>
      </c>
      <c r="Q71" s="22" t="str">
        <f>SUBSTITUTE(F71,",",".")</f>
        <v>20.5166123687816</v>
      </c>
      <c r="R71" s="22" t="str">
        <f>SUBSTITUTE(G71,",",".")</f>
        <v>1.38</v>
      </c>
      <c r="S71" s="22" t="str">
        <f>SUBSTITUTE(H71,",",".")</f>
        <v>3.03</v>
      </c>
      <c r="T71" s="22" t="str">
        <f>SUBSTITUTE(I71,",",".")</f>
        <v>6.49152843266236</v>
      </c>
      <c r="U71" s="22" t="str">
        <f>SUBSTITUTE(J71,",",".")</f>
        <v>4.47</v>
      </c>
    </row>
    <row r="72" spans="1:21" x14ac:dyDescent="0.25">
      <c r="A72" t="s">
        <v>26</v>
      </c>
      <c r="B72" s="1" t="s">
        <v>14</v>
      </c>
      <c r="C72">
        <v>0.86659642423576511</v>
      </c>
      <c r="D72" s="18">
        <v>16.75</v>
      </c>
      <c r="E72">
        <v>22.067670278424416</v>
      </c>
      <c r="F72">
        <v>20.557895254761025</v>
      </c>
      <c r="G72" s="18">
        <v>0.88</v>
      </c>
      <c r="H72" s="18">
        <v>3.56</v>
      </c>
      <c r="I72">
        <v>7.3678588027557614</v>
      </c>
      <c r="J72" s="18">
        <v>4.32</v>
      </c>
      <c r="L72" s="22" t="s">
        <v>26</v>
      </c>
      <c r="M72" s="24" t="s">
        <v>14</v>
      </c>
      <c r="N72" s="22" t="str">
        <f>SUBSTITUTE(C72,",",".")</f>
        <v>0.866596424235765</v>
      </c>
      <c r="O72" s="22" t="str">
        <f>SUBSTITUTE(D72,",",".")</f>
        <v>16.75</v>
      </c>
      <c r="P72" s="22" t="str">
        <f>SUBSTITUTE(E72,",",".")</f>
        <v>22.0676702784244</v>
      </c>
      <c r="Q72" s="22" t="str">
        <f>SUBSTITUTE(F72,",",".")</f>
        <v>20.557895254761</v>
      </c>
      <c r="R72" s="22" t="str">
        <f>SUBSTITUTE(G72,",",".")</f>
        <v>0.88</v>
      </c>
      <c r="S72" s="22" t="str">
        <f>SUBSTITUTE(H72,",",".")</f>
        <v>3.56</v>
      </c>
      <c r="T72" s="22" t="str">
        <f>SUBSTITUTE(I72,",",".")</f>
        <v>7.36785880275576</v>
      </c>
      <c r="U72" s="22" t="str">
        <f>SUBSTITUTE(J72,",",".")</f>
        <v>4.32</v>
      </c>
    </row>
    <row r="73" spans="1:21" x14ac:dyDescent="0.25">
      <c r="A73" t="s">
        <v>26</v>
      </c>
      <c r="B73" s="1" t="s">
        <v>15</v>
      </c>
      <c r="C73">
        <v>0.57840971260023955</v>
      </c>
      <c r="D73" s="18">
        <v>16.78</v>
      </c>
      <c r="E73">
        <v>24.163445790493608</v>
      </c>
      <c r="F73">
        <v>20.522651178580819</v>
      </c>
      <c r="G73" s="18">
        <v>0.54</v>
      </c>
      <c r="H73" s="18">
        <v>4.25</v>
      </c>
      <c r="I73">
        <v>7.7583003104021486</v>
      </c>
      <c r="J73" s="18">
        <v>4.5</v>
      </c>
      <c r="L73" s="22" t="s">
        <v>26</v>
      </c>
      <c r="M73" s="24" t="s">
        <v>15</v>
      </c>
      <c r="N73" s="22" t="str">
        <f>SUBSTITUTE(C73,",",".")</f>
        <v>0.57840971260024</v>
      </c>
      <c r="O73" s="22" t="str">
        <f>SUBSTITUTE(D73,",",".")</f>
        <v>16.78</v>
      </c>
      <c r="P73" s="22" t="str">
        <f>SUBSTITUTE(E73,",",".")</f>
        <v>24.1634457904936</v>
      </c>
      <c r="Q73" s="22" t="str">
        <f>SUBSTITUTE(F73,",",".")</f>
        <v>20.5226511785808</v>
      </c>
      <c r="R73" s="22" t="str">
        <f>SUBSTITUTE(G73,",",".")</f>
        <v>0.54</v>
      </c>
      <c r="S73" s="22" t="str">
        <f>SUBSTITUTE(H73,",",".")</f>
        <v>4.25</v>
      </c>
      <c r="T73" s="22" t="str">
        <f>SUBSTITUTE(I73,",",".")</f>
        <v>7.75830031040215</v>
      </c>
      <c r="U73" s="22" t="str">
        <f>SUBSTITUTE(J73,",",".")</f>
        <v>4.5</v>
      </c>
    </row>
    <row r="74" spans="1:21" x14ac:dyDescent="0.25">
      <c r="A74" t="s">
        <v>26</v>
      </c>
      <c r="B74" s="1" t="s">
        <v>16</v>
      </c>
      <c r="C74">
        <v>1.1387237418633742</v>
      </c>
      <c r="D74" s="18">
        <v>18.07</v>
      </c>
      <c r="E74">
        <v>23.02334924566463</v>
      </c>
      <c r="F74">
        <v>20.549198827839149</v>
      </c>
      <c r="G74" s="18">
        <v>1.46</v>
      </c>
      <c r="H74" s="18">
        <v>4.12</v>
      </c>
      <c r="I74">
        <v>8.2634622276601775</v>
      </c>
      <c r="J74" s="18">
        <v>4.9000000000000004</v>
      </c>
      <c r="L74" s="22" t="s">
        <v>26</v>
      </c>
      <c r="M74" s="24" t="s">
        <v>16</v>
      </c>
      <c r="N74" s="22" t="str">
        <f>SUBSTITUTE(C74,",",".")</f>
        <v>1.13872374186337</v>
      </c>
      <c r="O74" s="22" t="str">
        <f>SUBSTITUTE(D74,",",".")</f>
        <v>18.07</v>
      </c>
      <c r="P74" s="22" t="str">
        <f>SUBSTITUTE(E74,",",".")</f>
        <v>23.0233492456646</v>
      </c>
      <c r="Q74" s="22" t="str">
        <f>SUBSTITUTE(F74,",",".")</f>
        <v>20.5491988278391</v>
      </c>
      <c r="R74" s="22" t="str">
        <f>SUBSTITUTE(G74,",",".")</f>
        <v>1.46</v>
      </c>
      <c r="S74" s="22" t="str">
        <f>SUBSTITUTE(H74,",",".")</f>
        <v>4.12</v>
      </c>
      <c r="T74" s="22" t="str">
        <f>SUBSTITUTE(I74,",",".")</f>
        <v>8.26346222766018</v>
      </c>
      <c r="U74" s="22" t="str">
        <f>SUBSTITUTE(J74,",",".")</f>
        <v>4.9</v>
      </c>
    </row>
    <row r="75" spans="1:21" x14ac:dyDescent="0.25">
      <c r="A75" t="s">
        <v>26</v>
      </c>
      <c r="B75" s="1" t="s">
        <v>17</v>
      </c>
      <c r="C75">
        <v>1.8754968204254325</v>
      </c>
      <c r="D75" s="18">
        <v>18.18</v>
      </c>
      <c r="E75">
        <v>25.089095991292094</v>
      </c>
      <c r="F75">
        <v>20.563680375913851</v>
      </c>
      <c r="G75" s="18">
        <v>1.48</v>
      </c>
      <c r="H75" s="18">
        <v>3.94</v>
      </c>
      <c r="I75">
        <v>8.4898232636132018</v>
      </c>
      <c r="J75" s="18">
        <v>4.8499999999999996</v>
      </c>
      <c r="L75" s="22" t="s">
        <v>26</v>
      </c>
      <c r="M75" s="24" t="s">
        <v>17</v>
      </c>
      <c r="N75" s="22" t="str">
        <f>SUBSTITUTE(C75,",",".")</f>
        <v>1.87549682042543</v>
      </c>
      <c r="O75" s="22" t="str">
        <f>SUBSTITUTE(D75,",",".")</f>
        <v>18.18</v>
      </c>
      <c r="P75" s="22" t="str">
        <f>SUBSTITUTE(E75,",",".")</f>
        <v>25.0890959912921</v>
      </c>
      <c r="Q75" s="22" t="str">
        <f>SUBSTITUTE(F75,",",".")</f>
        <v>20.5636803759139</v>
      </c>
      <c r="R75" s="22" t="str">
        <f>SUBSTITUTE(G75,",",".")</f>
        <v>1.48</v>
      </c>
      <c r="S75" s="22" t="str">
        <f>SUBSTITUTE(H75,",",".")</f>
        <v>3.94</v>
      </c>
      <c r="T75" s="22" t="str">
        <f>SUBSTITUTE(I75,",",".")</f>
        <v>8.4898232636132</v>
      </c>
      <c r="U75" s="22" t="str">
        <f>SUBSTITUTE(J75,",",".")</f>
        <v>4.85</v>
      </c>
    </row>
    <row r="76" spans="1:21" x14ac:dyDescent="0.25">
      <c r="A76" t="s">
        <v>26</v>
      </c>
      <c r="B76" s="1" t="s">
        <v>18</v>
      </c>
      <c r="C76">
        <v>0.18143261846982159</v>
      </c>
      <c r="D76" s="18">
        <v>19.899999999999999</v>
      </c>
      <c r="E76">
        <v>25.367336601208589</v>
      </c>
      <c r="F76">
        <v>20.61221516300018</v>
      </c>
      <c r="G76" s="18">
        <v>1.51</v>
      </c>
      <c r="H76" s="18">
        <v>3.81</v>
      </c>
      <c r="I76">
        <v>8.6462390432721463</v>
      </c>
      <c r="J76" s="18">
        <v>4.76</v>
      </c>
      <c r="L76" s="22" t="s">
        <v>26</v>
      </c>
      <c r="M76" s="24" t="s">
        <v>18</v>
      </c>
      <c r="N76" s="22" t="str">
        <f>SUBSTITUTE(C76,",",".")</f>
        <v>0.181432618469822</v>
      </c>
      <c r="O76" s="22" t="str">
        <f>SUBSTITUTE(D76,",",".")</f>
        <v>19.9</v>
      </c>
      <c r="P76" s="22" t="str">
        <f>SUBSTITUTE(E76,",",".")</f>
        <v>25.3673366012086</v>
      </c>
      <c r="Q76" s="22" t="str">
        <f>SUBSTITUTE(F76,",",".")</f>
        <v>20.6122151630002</v>
      </c>
      <c r="R76" s="22" t="str">
        <f>SUBSTITUTE(G76,",",".")</f>
        <v>1.51</v>
      </c>
      <c r="S76" s="22" t="str">
        <f>SUBSTITUTE(H76,",",".")</f>
        <v>3.81</v>
      </c>
      <c r="T76" s="22" t="str">
        <f>SUBSTITUTE(I76,",",".")</f>
        <v>8.64623904327215</v>
      </c>
      <c r="U76" s="22" t="str">
        <f>SUBSTITUTE(J76,",",".")</f>
        <v>4.76</v>
      </c>
    </row>
    <row r="77" spans="1:21" x14ac:dyDescent="0.25">
      <c r="A77" t="s">
        <v>26</v>
      </c>
      <c r="B77" s="1" t="s">
        <v>19</v>
      </c>
      <c r="C77">
        <v>2.0944094176859056</v>
      </c>
      <c r="D77" s="18">
        <v>19.75</v>
      </c>
      <c r="E77">
        <v>29.423795125380202</v>
      </c>
      <c r="F77">
        <v>20.662678037952009</v>
      </c>
      <c r="G77" s="18">
        <v>1.43</v>
      </c>
      <c r="H77" s="18">
        <v>3.7</v>
      </c>
      <c r="I77">
        <v>8.6351360444605625</v>
      </c>
      <c r="J77" s="18">
        <v>4.67</v>
      </c>
      <c r="L77" s="22" t="s">
        <v>26</v>
      </c>
      <c r="M77" s="24" t="s">
        <v>19</v>
      </c>
      <c r="N77" s="22" t="str">
        <f>SUBSTITUTE(C77,",",".")</f>
        <v>2.09440941768591</v>
      </c>
      <c r="O77" s="22" t="str">
        <f>SUBSTITUTE(D77,",",".")</f>
        <v>19.75</v>
      </c>
      <c r="P77" s="22" t="str">
        <f>SUBSTITUTE(E77,",",".")</f>
        <v>29.4237951253802</v>
      </c>
      <c r="Q77" s="22" t="str">
        <f>SUBSTITUTE(F77,",",".")</f>
        <v>20.662678037952</v>
      </c>
      <c r="R77" s="22" t="str">
        <f>SUBSTITUTE(G77,",",".")</f>
        <v>1.43</v>
      </c>
      <c r="S77" s="22" t="str">
        <f>SUBSTITUTE(H77,",",".")</f>
        <v>3.7</v>
      </c>
      <c r="T77" s="22" t="str">
        <f>SUBSTITUTE(I77,",",".")</f>
        <v>8.63513604446056</v>
      </c>
      <c r="U77" s="22" t="str">
        <f>SUBSTITUTE(J77,",",".")</f>
        <v>4.67</v>
      </c>
    </row>
    <row r="78" spans="1:21" x14ac:dyDescent="0.25">
      <c r="A78" t="s">
        <v>26</v>
      </c>
      <c r="B78" s="1" t="s">
        <v>20</v>
      </c>
      <c r="C78">
        <v>1.6076441243735533</v>
      </c>
      <c r="D78" s="16">
        <v>19.29</v>
      </c>
      <c r="E78">
        <v>25.704909034154216</v>
      </c>
      <c r="F78">
        <v>20.627259876242686</v>
      </c>
      <c r="G78" s="18">
        <v>2.29</v>
      </c>
      <c r="H78" s="18">
        <v>3.46</v>
      </c>
      <c r="I78">
        <v>8.659957472212847</v>
      </c>
      <c r="J78" s="16">
        <v>4.51</v>
      </c>
      <c r="L78" s="22" t="s">
        <v>26</v>
      </c>
      <c r="M78" s="24" t="s">
        <v>20</v>
      </c>
      <c r="N78" s="22" t="str">
        <f>SUBSTITUTE(C78,",",".")</f>
        <v>1.60764412437355</v>
      </c>
      <c r="O78" s="22" t="str">
        <f>SUBSTITUTE(D78,",",".")</f>
        <v>19.29</v>
      </c>
      <c r="P78" s="22" t="str">
        <f>SUBSTITUTE(E78,",",".")</f>
        <v>25.7049090341542</v>
      </c>
      <c r="Q78" s="22" t="str">
        <f>SUBSTITUTE(F78,",",".")</f>
        <v>20.6272598762427</v>
      </c>
      <c r="R78" s="22" t="str">
        <f>SUBSTITUTE(G78,",",".")</f>
        <v>2.29</v>
      </c>
      <c r="S78" s="22" t="str">
        <f>SUBSTITUTE(H78,",",".")</f>
        <v>3.46</v>
      </c>
      <c r="T78" s="22" t="str">
        <f>SUBSTITUTE(I78,",",".")</f>
        <v>8.65995747221285</v>
      </c>
      <c r="U78" s="22" t="str">
        <f>SUBSTITUTE(J78,",",".")</f>
        <v>4.51</v>
      </c>
    </row>
    <row r="79" spans="1:21" x14ac:dyDescent="0.25">
      <c r="A79" t="s">
        <v>26</v>
      </c>
      <c r="B79" s="1" t="s">
        <v>21</v>
      </c>
      <c r="C79">
        <v>4.3598433862502066</v>
      </c>
      <c r="D79" s="16">
        <v>18.420000000000002</v>
      </c>
      <c r="E79">
        <v>24.697960164691139</v>
      </c>
      <c r="F79">
        <v>20.631991495877919</v>
      </c>
      <c r="G79" s="18">
        <v>2.44</v>
      </c>
      <c r="H79" s="18">
        <v>3.16</v>
      </c>
      <c r="I79">
        <v>8.3116983410416179</v>
      </c>
      <c r="J79" s="16">
        <v>4.7</v>
      </c>
      <c r="L79" s="22" t="s">
        <v>26</v>
      </c>
      <c r="M79" s="24" t="s">
        <v>21</v>
      </c>
      <c r="N79" s="22" t="str">
        <f>SUBSTITUTE(C79,",",".")</f>
        <v>4.35984338625021</v>
      </c>
      <c r="O79" s="22" t="str">
        <f>SUBSTITUTE(D79,",",".")</f>
        <v>18.42</v>
      </c>
      <c r="P79" s="22" t="str">
        <f>SUBSTITUTE(E79,",",".")</f>
        <v>24.6979601646911</v>
      </c>
      <c r="Q79" s="22" t="str">
        <f>SUBSTITUTE(F79,",",".")</f>
        <v>20.6319914958779</v>
      </c>
      <c r="R79" s="22" t="str">
        <f>SUBSTITUTE(G79,",",".")</f>
        <v>2.44</v>
      </c>
      <c r="S79" s="22" t="str">
        <f>SUBSTITUTE(H79,",",".")</f>
        <v>3.16</v>
      </c>
      <c r="T79" s="22" t="str">
        <f>SUBSTITUTE(I79,",",".")</f>
        <v>8.31169834104162</v>
      </c>
      <c r="U79" s="22" t="str">
        <f>SUBSTITUTE(J79,",",".")</f>
        <v>4.7</v>
      </c>
    </row>
    <row r="80" spans="1:21" x14ac:dyDescent="0.25">
      <c r="A80" t="s">
        <v>26</v>
      </c>
      <c r="B80" s="1" t="s">
        <v>22</v>
      </c>
      <c r="C80">
        <v>0.39311025247947656</v>
      </c>
      <c r="D80" s="18">
        <v>18.899999999999999</v>
      </c>
      <c r="E80">
        <v>24.47846448022641</v>
      </c>
      <c r="F80">
        <v>20.62855800939154</v>
      </c>
      <c r="G80" s="18">
        <v>2.48</v>
      </c>
      <c r="H80" s="18">
        <v>3.04</v>
      </c>
      <c r="I80">
        <v>8.240670785518823</v>
      </c>
      <c r="J80" s="18">
        <v>4.8</v>
      </c>
      <c r="L80" s="22" t="s">
        <v>26</v>
      </c>
      <c r="M80" s="24" t="s">
        <v>22</v>
      </c>
      <c r="N80" s="22" t="str">
        <f>SUBSTITUTE(C80,",",".")</f>
        <v>0.393110252479477</v>
      </c>
      <c r="O80" s="22" t="str">
        <f>SUBSTITUTE(D80,",",".")</f>
        <v>18.9</v>
      </c>
      <c r="P80" s="22" t="str">
        <f>SUBSTITUTE(E80,",",".")</f>
        <v>24.4784644802264</v>
      </c>
      <c r="Q80" s="22" t="str">
        <f>SUBSTITUTE(F80,",",".")</f>
        <v>20.6285580093915</v>
      </c>
      <c r="R80" s="22" t="str">
        <f>SUBSTITUTE(G80,",",".")</f>
        <v>2.48</v>
      </c>
      <c r="S80" s="22" t="str">
        <f>SUBSTITUTE(H80,",",".")</f>
        <v>3.04</v>
      </c>
      <c r="T80" s="22" t="str">
        <f>SUBSTITUTE(I80,",",".")</f>
        <v>8.24067078551882</v>
      </c>
      <c r="U80" s="22" t="str">
        <f>SUBSTITUTE(J80,",",".")</f>
        <v>4.8</v>
      </c>
    </row>
    <row r="81" spans="1:21" x14ac:dyDescent="0.25">
      <c r="A81" t="s">
        <v>26</v>
      </c>
      <c r="B81" s="1" t="s">
        <v>23</v>
      </c>
      <c r="C81">
        <v>3.8124265217870859</v>
      </c>
      <c r="D81" s="18">
        <v>19.27</v>
      </c>
      <c r="E81">
        <v>28.206317148359965</v>
      </c>
      <c r="F81">
        <v>20.72081969457814</v>
      </c>
      <c r="G81" s="18">
        <v>2.46</v>
      </c>
      <c r="H81" s="18">
        <v>2.81</v>
      </c>
      <c r="I81">
        <v>7.8085780019066684</v>
      </c>
      <c r="J81" s="18">
        <v>4.8099999999999996</v>
      </c>
      <c r="L81" s="22" t="s">
        <v>26</v>
      </c>
      <c r="M81" s="24" t="s">
        <v>23</v>
      </c>
      <c r="N81" s="22" t="str">
        <f>SUBSTITUTE(C81,",",".")</f>
        <v>3.81242652178709</v>
      </c>
      <c r="O81" s="22" t="str">
        <f>SUBSTITUTE(D81,",",".")</f>
        <v>19.27</v>
      </c>
      <c r="P81" s="22" t="str">
        <f>SUBSTITUTE(E81,",",".")</f>
        <v>28.20631714836</v>
      </c>
      <c r="Q81" s="22" t="str">
        <f>SUBSTITUTE(F81,",",".")</f>
        <v>20.7208196945781</v>
      </c>
      <c r="R81" s="22" t="str">
        <f>SUBSTITUTE(G81,",",".")</f>
        <v>2.46</v>
      </c>
      <c r="S81" s="22" t="str">
        <f>SUBSTITUTE(H81,",",".")</f>
        <v>2.81</v>
      </c>
      <c r="T81" s="22" t="str">
        <f>SUBSTITUTE(I81,",",".")</f>
        <v>7.80857800190667</v>
      </c>
      <c r="U81" s="22" t="str">
        <f>SUBSTITUTE(J81,",",".")</f>
        <v>4.81</v>
      </c>
    </row>
    <row r="82" spans="1:21" x14ac:dyDescent="0.25">
      <c r="A82" t="s">
        <v>27</v>
      </c>
      <c r="B82" s="1" t="s">
        <v>4</v>
      </c>
      <c r="C82">
        <v>1.7651438486930193</v>
      </c>
      <c r="D82" s="16">
        <v>17.920000000000002</v>
      </c>
      <c r="E82">
        <v>17.832376723426016</v>
      </c>
      <c r="F82">
        <v>19.371329214633029</v>
      </c>
      <c r="G82" s="18">
        <v>1.37</v>
      </c>
      <c r="H82" s="18">
        <v>2.78</v>
      </c>
      <c r="I82">
        <v>1.1753669824954884</v>
      </c>
      <c r="J82" s="16">
        <v>4.21</v>
      </c>
      <c r="L82" s="22" t="s">
        <v>27</v>
      </c>
      <c r="M82" s="24" t="s">
        <v>4</v>
      </c>
      <c r="N82" s="22" t="str">
        <f>SUBSTITUTE(C82,",",".")</f>
        <v>1.76514384869302</v>
      </c>
      <c r="O82" s="22" t="str">
        <f>SUBSTITUTE(D82,",",".")</f>
        <v>17.92</v>
      </c>
      <c r="P82" s="22" t="str">
        <f>SUBSTITUTE(E82,",",".")</f>
        <v>17.832376723426</v>
      </c>
      <c r="Q82" s="22" t="str">
        <f>SUBSTITUTE(F82,",",".")</f>
        <v>19.371329214633</v>
      </c>
      <c r="R82" s="22" t="str">
        <f>SUBSTITUTE(G82,",",".")</f>
        <v>1.37</v>
      </c>
      <c r="S82" s="22" t="str">
        <f>SUBSTITUTE(H82,",",".")</f>
        <v>2.78</v>
      </c>
      <c r="T82" s="22" t="str">
        <f>SUBSTITUTE(I82,",",".")</f>
        <v>1.17536698249549</v>
      </c>
      <c r="U82" s="22" t="str">
        <f>SUBSTITUTE(J82,",",".")</f>
        <v>4.21</v>
      </c>
    </row>
    <row r="83" spans="1:21" x14ac:dyDescent="0.25">
      <c r="A83" t="s">
        <v>27</v>
      </c>
      <c r="B83" s="1" t="s">
        <v>5</v>
      </c>
      <c r="C83">
        <v>4.3701124285776816</v>
      </c>
      <c r="D83" s="17">
        <v>17.420000000000002</v>
      </c>
      <c r="E83">
        <v>15.893019945046863</v>
      </c>
      <c r="F83">
        <v>19.406663174010539</v>
      </c>
      <c r="G83" s="18">
        <v>1.4</v>
      </c>
      <c r="H83" s="18">
        <v>2.78</v>
      </c>
      <c r="I83">
        <v>1.1600213485837241</v>
      </c>
      <c r="J83" s="17">
        <v>4.17</v>
      </c>
      <c r="L83" s="22" t="s">
        <v>27</v>
      </c>
      <c r="M83" s="24" t="s">
        <v>5</v>
      </c>
      <c r="N83" s="22" t="str">
        <f>SUBSTITUTE(C83,",",".")</f>
        <v>4.37011242857768</v>
      </c>
      <c r="O83" s="22" t="str">
        <f>SUBSTITUTE(D83,",",".")</f>
        <v>17.42</v>
      </c>
      <c r="P83" s="22" t="str">
        <f>SUBSTITUTE(E83,",",".")</f>
        <v>15.8930199450469</v>
      </c>
      <c r="Q83" s="22" t="str">
        <f>SUBSTITUTE(F83,",",".")</f>
        <v>19.4066631740105</v>
      </c>
      <c r="R83" s="22" t="str">
        <f>SUBSTITUTE(G83,",",".")</f>
        <v>1.4</v>
      </c>
      <c r="S83" s="22" t="str">
        <f>SUBSTITUTE(H83,",",".")</f>
        <v>2.78</v>
      </c>
      <c r="T83" s="22" t="str">
        <f>SUBSTITUTE(I83,",",".")</f>
        <v>1.16002134858372</v>
      </c>
      <c r="U83" s="22" t="str">
        <f>SUBSTITUTE(J83,",",".")</f>
        <v>4.17</v>
      </c>
    </row>
    <row r="84" spans="1:21" x14ac:dyDescent="0.25">
      <c r="A84" t="s">
        <v>27</v>
      </c>
      <c r="B84" s="1" t="s">
        <v>6</v>
      </c>
      <c r="C84">
        <v>4.1280213447228782</v>
      </c>
      <c r="D84" s="17">
        <v>17.97</v>
      </c>
      <c r="E84">
        <v>14.383649810593402</v>
      </c>
      <c r="F84">
        <v>19.42243207832005</v>
      </c>
      <c r="G84" s="18">
        <v>1.45</v>
      </c>
      <c r="H84" s="18">
        <v>2.65</v>
      </c>
      <c r="I84">
        <v>1.222605170922977</v>
      </c>
      <c r="J84" s="17">
        <v>4.3499999999999996</v>
      </c>
      <c r="L84" s="22" t="s">
        <v>27</v>
      </c>
      <c r="M84" s="24" t="s">
        <v>6</v>
      </c>
      <c r="N84" s="22" t="str">
        <f>SUBSTITUTE(C84,",",".")</f>
        <v>4.12802134472288</v>
      </c>
      <c r="O84" s="22" t="str">
        <f>SUBSTITUTE(D84,",",".")</f>
        <v>17.97</v>
      </c>
      <c r="P84" s="22" t="str">
        <f>SUBSTITUTE(E84,",",".")</f>
        <v>14.3836498105934</v>
      </c>
      <c r="Q84" s="22" t="str">
        <f>SUBSTITUTE(F84,",",".")</f>
        <v>19.42243207832</v>
      </c>
      <c r="R84" s="22" t="str">
        <f>SUBSTITUTE(G84,",",".")</f>
        <v>1.45</v>
      </c>
      <c r="S84" s="22" t="str">
        <f>SUBSTITUTE(H84,",",".")</f>
        <v>2.65</v>
      </c>
      <c r="T84" s="22" t="str">
        <f>SUBSTITUTE(I84,",",".")</f>
        <v>1.22260517092298</v>
      </c>
      <c r="U84" s="22" t="str">
        <f>SUBSTITUTE(J84,",",".")</f>
        <v>4.35</v>
      </c>
    </row>
    <row r="85" spans="1:21" x14ac:dyDescent="0.25">
      <c r="A85" t="s">
        <v>27</v>
      </c>
      <c r="B85" s="1" t="s">
        <v>7</v>
      </c>
      <c r="C85">
        <v>8.0336887924561236</v>
      </c>
      <c r="D85" s="17">
        <v>18.21</v>
      </c>
      <c r="E85">
        <v>18.974143113133692</v>
      </c>
      <c r="F85">
        <v>19.540520115486164</v>
      </c>
      <c r="G85" s="18">
        <v>1.34</v>
      </c>
      <c r="H85" s="18">
        <v>2.82</v>
      </c>
      <c r="I85">
        <v>1.3871821441187215</v>
      </c>
      <c r="J85" s="17">
        <v>4.32</v>
      </c>
      <c r="L85" s="22" t="s">
        <v>27</v>
      </c>
      <c r="M85" s="24" t="s">
        <v>7</v>
      </c>
      <c r="N85" s="22" t="str">
        <f>SUBSTITUTE(C85,",",".")</f>
        <v>8.03368879245612</v>
      </c>
      <c r="O85" s="22" t="str">
        <f>SUBSTITUTE(D85,",",".")</f>
        <v>18.21</v>
      </c>
      <c r="P85" s="22" t="str">
        <f>SUBSTITUTE(E85,",",".")</f>
        <v>18.9741431131337</v>
      </c>
      <c r="Q85" s="22" t="str">
        <f>SUBSTITUTE(F85,",",".")</f>
        <v>19.5405201154862</v>
      </c>
      <c r="R85" s="22" t="str">
        <f>SUBSTITUTE(G85,",",".")</f>
        <v>1.34</v>
      </c>
      <c r="S85" s="22" t="str">
        <f>SUBSTITUTE(H85,",",".")</f>
        <v>2.82</v>
      </c>
      <c r="T85" s="22" t="str">
        <f>SUBSTITUTE(I85,",",".")</f>
        <v>1.38718214411872</v>
      </c>
      <c r="U85" s="22" t="str">
        <f>SUBSTITUTE(J85,",",".")</f>
        <v>4.32</v>
      </c>
    </row>
    <row r="86" spans="1:21" x14ac:dyDescent="0.25">
      <c r="A86" t="s">
        <v>27</v>
      </c>
      <c r="B86" s="1" t="s">
        <v>8</v>
      </c>
      <c r="C86">
        <v>1.840965183735773</v>
      </c>
      <c r="D86" s="16">
        <v>17.62</v>
      </c>
      <c r="E86">
        <v>14.788892445960744</v>
      </c>
      <c r="F86">
        <v>19.523771283602752</v>
      </c>
      <c r="G86" s="18">
        <v>1.24</v>
      </c>
      <c r="H86" s="18">
        <v>2.92</v>
      </c>
      <c r="I86">
        <v>1.3154421354955677</v>
      </c>
      <c r="J86" s="17">
        <v>3.63</v>
      </c>
      <c r="L86" s="22" t="s">
        <v>27</v>
      </c>
      <c r="M86" s="24" t="s">
        <v>8</v>
      </c>
      <c r="N86" s="22" t="str">
        <f>SUBSTITUTE(C86,",",".")</f>
        <v>1.84096518373577</v>
      </c>
      <c r="O86" s="22" t="str">
        <f>SUBSTITUTE(D86,",",".")</f>
        <v>17.62</v>
      </c>
      <c r="P86" s="22" t="str">
        <f>SUBSTITUTE(E86,",",".")</f>
        <v>14.7888924459607</v>
      </c>
      <c r="Q86" s="22" t="str">
        <f>SUBSTITUTE(F86,",",".")</f>
        <v>19.5237712836028</v>
      </c>
      <c r="R86" s="22" t="str">
        <f>SUBSTITUTE(G86,",",".")</f>
        <v>1.24</v>
      </c>
      <c r="S86" s="22" t="str">
        <f>SUBSTITUTE(H86,",",".")</f>
        <v>2.92</v>
      </c>
      <c r="T86" s="22" t="str">
        <f>SUBSTITUTE(I86,",",".")</f>
        <v>1.31544213549557</v>
      </c>
      <c r="U86" s="22" t="str">
        <f>SUBSTITUTE(J86,",",".")</f>
        <v>3.63</v>
      </c>
    </row>
    <row r="87" spans="1:21" x14ac:dyDescent="0.25">
      <c r="A87" t="s">
        <v>27</v>
      </c>
      <c r="B87" s="1" t="s">
        <v>9</v>
      </c>
      <c r="C87">
        <v>3.6784325551673285</v>
      </c>
      <c r="D87" s="17">
        <v>16.989999999999998</v>
      </c>
      <c r="E87">
        <v>14.431839214780814</v>
      </c>
      <c r="F87">
        <v>19.560034678312849</v>
      </c>
      <c r="G87" s="18">
        <v>1.17</v>
      </c>
      <c r="H87" s="18">
        <v>3.32</v>
      </c>
      <c r="I87">
        <v>1.2558136211055997</v>
      </c>
      <c r="J87" s="17">
        <v>3.53</v>
      </c>
      <c r="L87" s="22" t="s">
        <v>27</v>
      </c>
      <c r="M87" s="24" t="s">
        <v>9</v>
      </c>
      <c r="N87" s="22" t="str">
        <f>SUBSTITUTE(C87,",",".")</f>
        <v>3.67843255516733</v>
      </c>
      <c r="O87" s="22" t="str">
        <f>SUBSTITUTE(D87,",",".")</f>
        <v>16.99</v>
      </c>
      <c r="P87" s="22" t="str">
        <f>SUBSTITUTE(E87,",",".")</f>
        <v>14.4318392147808</v>
      </c>
      <c r="Q87" s="22" t="str">
        <f>SUBSTITUTE(F87,",",".")</f>
        <v>19.5600346783128</v>
      </c>
      <c r="R87" s="22" t="str">
        <f>SUBSTITUTE(G87,",",".")</f>
        <v>1.17</v>
      </c>
      <c r="S87" s="22" t="str">
        <f>SUBSTITUTE(H87,",",".")</f>
        <v>3.32</v>
      </c>
      <c r="T87" s="22" t="str">
        <f>SUBSTITUTE(I87,",",".")</f>
        <v>1.2558136211056</v>
      </c>
      <c r="U87" s="22" t="str">
        <f>SUBSTITUTE(J87,",",".")</f>
        <v>3.53</v>
      </c>
    </row>
    <row r="88" spans="1:21" x14ac:dyDescent="0.25">
      <c r="A88" t="s">
        <v>27</v>
      </c>
      <c r="B88" s="1" t="s">
        <v>10</v>
      </c>
      <c r="C88">
        <v>2.3471982350390297</v>
      </c>
      <c r="D88" s="17">
        <v>16.88</v>
      </c>
      <c r="E88">
        <v>14.523076330483967</v>
      </c>
      <c r="F88">
        <v>19.571921361286389</v>
      </c>
      <c r="G88" s="18">
        <v>0.44</v>
      </c>
      <c r="H88" s="18">
        <v>3.54</v>
      </c>
      <c r="I88">
        <v>1.8658463353570613</v>
      </c>
      <c r="J88" s="17">
        <v>3.41</v>
      </c>
      <c r="L88" s="22" t="s">
        <v>27</v>
      </c>
      <c r="M88" s="24" t="s">
        <v>10</v>
      </c>
      <c r="N88" s="22" t="str">
        <f>SUBSTITUTE(C88,",",".")</f>
        <v>2.34719823503903</v>
      </c>
      <c r="O88" s="22" t="str">
        <f>SUBSTITUTE(D88,",",".")</f>
        <v>16.88</v>
      </c>
      <c r="P88" s="22" t="str">
        <f>SUBSTITUTE(E88,",",".")</f>
        <v>14.523076330484</v>
      </c>
      <c r="Q88" s="22" t="str">
        <f>SUBSTITUTE(F88,",",".")</f>
        <v>19.5719213612864</v>
      </c>
      <c r="R88" s="22" t="str">
        <f>SUBSTITUTE(G88,",",".")</f>
        <v>0.44</v>
      </c>
      <c r="S88" s="22" t="str">
        <f>SUBSTITUTE(H88,",",".")</f>
        <v>3.54</v>
      </c>
      <c r="T88" s="22" t="str">
        <f>SUBSTITUTE(I88,",",".")</f>
        <v>1.86584633535706</v>
      </c>
      <c r="U88" s="22" t="str">
        <f>SUBSTITUTE(J88,",",".")</f>
        <v>3.41</v>
      </c>
    </row>
    <row r="89" spans="1:21" x14ac:dyDescent="0.25">
      <c r="A89" t="s">
        <v>27</v>
      </c>
      <c r="B89" s="1" t="s">
        <v>11</v>
      </c>
      <c r="C89">
        <v>-0.43153275760837378</v>
      </c>
      <c r="D89" s="17">
        <v>17.32</v>
      </c>
      <c r="E89">
        <v>14.916189024798213</v>
      </c>
      <c r="F89">
        <v>19.557798194956526</v>
      </c>
      <c r="G89" s="18">
        <v>0.13</v>
      </c>
      <c r="H89" s="18">
        <v>4.78</v>
      </c>
      <c r="I89">
        <v>2.3907601675721035</v>
      </c>
      <c r="J89" s="17">
        <v>3.32</v>
      </c>
      <c r="L89" s="22" t="s">
        <v>27</v>
      </c>
      <c r="M89" s="24" t="s">
        <v>11</v>
      </c>
      <c r="N89" s="22" t="str">
        <f>SUBSTITUTE(C89,",",".")</f>
        <v>-0.431532757608374</v>
      </c>
      <c r="O89" s="22" t="str">
        <f>SUBSTITUTE(D89,",",".")</f>
        <v>17.32</v>
      </c>
      <c r="P89" s="22" t="str">
        <f>SUBSTITUTE(E89,",",".")</f>
        <v>14.9161890247982</v>
      </c>
      <c r="Q89" s="22" t="str">
        <f>SUBSTITUTE(F89,",",".")</f>
        <v>19.5577981949565</v>
      </c>
      <c r="R89" s="22" t="str">
        <f>SUBSTITUTE(G89,",",".")</f>
        <v>0.13</v>
      </c>
      <c r="S89" s="22" t="str">
        <f>SUBSTITUTE(H89,",",".")</f>
        <v>4.78</v>
      </c>
      <c r="T89" s="22" t="str">
        <f>SUBSTITUTE(I89,",",".")</f>
        <v>2.3907601675721</v>
      </c>
      <c r="U89" s="22" t="str">
        <f>SUBSTITUTE(J89,",",".")</f>
        <v>3.32</v>
      </c>
    </row>
    <row r="90" spans="1:21" x14ac:dyDescent="0.25">
      <c r="A90" t="s">
        <v>27</v>
      </c>
      <c r="B90" s="1" t="s">
        <v>12</v>
      </c>
      <c r="C90">
        <v>-1.0058596308739125</v>
      </c>
      <c r="D90" s="17">
        <v>18.73</v>
      </c>
      <c r="E90">
        <v>16.753535227414758</v>
      </c>
      <c r="F90">
        <v>19.546216261227173</v>
      </c>
      <c r="G90" s="18">
        <v>0.76</v>
      </c>
      <c r="H90" s="18">
        <v>4.91</v>
      </c>
      <c r="I90">
        <v>5.1869731750145052</v>
      </c>
      <c r="J90" s="17">
        <v>3.13</v>
      </c>
      <c r="L90" s="22" t="s">
        <v>27</v>
      </c>
      <c r="M90" s="24" t="s">
        <v>12</v>
      </c>
      <c r="N90" s="22" t="str">
        <f>SUBSTITUTE(C90,",",".")</f>
        <v>-1.00585963087391</v>
      </c>
      <c r="O90" s="22" t="str">
        <f>SUBSTITUTE(D90,",",".")</f>
        <v>18.73</v>
      </c>
      <c r="P90" s="22" t="str">
        <f>SUBSTITUTE(E90,",",".")</f>
        <v>16.7535352274148</v>
      </c>
      <c r="Q90" s="22" t="str">
        <f>SUBSTITUTE(F90,",",".")</f>
        <v>19.5462162612272</v>
      </c>
      <c r="R90" s="22" t="str">
        <f>SUBSTITUTE(G90,",",".")</f>
        <v>0.76</v>
      </c>
      <c r="S90" s="22" t="str">
        <f>SUBSTITUTE(H90,",",".")</f>
        <v>4.91</v>
      </c>
      <c r="T90" s="22" t="str">
        <f>SUBSTITUTE(I90,",",".")</f>
        <v>5.18697317501451</v>
      </c>
      <c r="U90" s="22" t="str">
        <f>SUBSTITUTE(J90,",",".")</f>
        <v>3.13</v>
      </c>
    </row>
    <row r="91" spans="1:21" x14ac:dyDescent="0.25">
      <c r="A91" t="s">
        <v>27</v>
      </c>
      <c r="B91" s="1" t="s">
        <v>13</v>
      </c>
      <c r="C91">
        <v>-0.55873338167071007</v>
      </c>
      <c r="D91" s="17">
        <v>19.100000000000001</v>
      </c>
      <c r="E91">
        <v>17.496104795559862</v>
      </c>
      <c r="F91">
        <v>19.566821674420936</v>
      </c>
      <c r="G91" s="18">
        <v>0.63</v>
      </c>
      <c r="H91" s="18">
        <v>4.71</v>
      </c>
      <c r="I91">
        <v>5.0817550122933923</v>
      </c>
      <c r="J91" s="17">
        <v>3.16</v>
      </c>
      <c r="L91" s="22" t="s">
        <v>27</v>
      </c>
      <c r="M91" s="24" t="s">
        <v>13</v>
      </c>
      <c r="N91" s="22" t="str">
        <f>SUBSTITUTE(C91,",",".")</f>
        <v>-0.55873338167071</v>
      </c>
      <c r="O91" s="22" t="str">
        <f>SUBSTITUTE(D91,",",".")</f>
        <v>19.1</v>
      </c>
      <c r="P91" s="22" t="str">
        <f>SUBSTITUTE(E91,",",".")</f>
        <v>17.4961047955599</v>
      </c>
      <c r="Q91" s="22" t="str">
        <f>SUBSTITUTE(F91,",",".")</f>
        <v>19.5668216744209</v>
      </c>
      <c r="R91" s="22" t="str">
        <f>SUBSTITUTE(G91,",",".")</f>
        <v>0.63</v>
      </c>
      <c r="S91" s="22" t="str">
        <f>SUBSTITUTE(H91,",",".")</f>
        <v>4.71</v>
      </c>
      <c r="T91" s="22" t="str">
        <f>SUBSTITUTE(I91,",",".")</f>
        <v>5.08175501229339</v>
      </c>
      <c r="U91" s="22" t="str">
        <f>SUBSTITUTE(J91,",",".")</f>
        <v>3.16</v>
      </c>
    </row>
    <row r="92" spans="1:21" x14ac:dyDescent="0.25">
      <c r="A92" t="s">
        <v>27</v>
      </c>
      <c r="B92" s="1" t="s">
        <v>14</v>
      </c>
      <c r="C92">
        <v>1.2234175487077323</v>
      </c>
      <c r="D92" s="17">
        <v>18.95</v>
      </c>
      <c r="E92">
        <v>26.024654205715709</v>
      </c>
      <c r="F92">
        <v>19.693174367966332</v>
      </c>
      <c r="G92" s="18">
        <v>0.59</v>
      </c>
      <c r="H92" s="18">
        <v>4.5599999999999996</v>
      </c>
      <c r="I92">
        <v>5.0783536290352203</v>
      </c>
      <c r="J92" s="17">
        <v>3.13</v>
      </c>
      <c r="L92" s="22" t="s">
        <v>27</v>
      </c>
      <c r="M92" s="24" t="s">
        <v>14</v>
      </c>
      <c r="N92" s="22" t="str">
        <f>SUBSTITUTE(C92,",",".")</f>
        <v>1.22341754870773</v>
      </c>
      <c r="O92" s="22" t="str">
        <f>SUBSTITUTE(D92,",",".")</f>
        <v>18.95</v>
      </c>
      <c r="P92" s="22" t="str">
        <f>SUBSTITUTE(E92,",",".")</f>
        <v>26.0246542057157</v>
      </c>
      <c r="Q92" s="22" t="str">
        <f>SUBSTITUTE(F92,",",".")</f>
        <v>19.6931743679663</v>
      </c>
      <c r="R92" s="22" t="str">
        <f>SUBSTITUTE(G92,",",".")</f>
        <v>0.59</v>
      </c>
      <c r="S92" s="22" t="str">
        <f>SUBSTITUTE(H92,",",".")</f>
        <v>4.56</v>
      </c>
      <c r="T92" s="22" t="str">
        <f>SUBSTITUTE(I92,",",".")</f>
        <v>5.07835362903522</v>
      </c>
      <c r="U92" s="22" t="str">
        <f>SUBSTITUTE(J92,",",".")</f>
        <v>3.13</v>
      </c>
    </row>
    <row r="93" spans="1:21" x14ac:dyDescent="0.25">
      <c r="A93" t="s">
        <v>27</v>
      </c>
      <c r="B93" s="1" t="s">
        <v>15</v>
      </c>
      <c r="C93">
        <v>2.03839407436584</v>
      </c>
      <c r="D93" s="17">
        <v>19.34</v>
      </c>
      <c r="E93">
        <v>25.451040306077484</v>
      </c>
      <c r="F93">
        <v>19.704965651661556</v>
      </c>
      <c r="G93" s="18">
        <v>0.69</v>
      </c>
      <c r="H93" s="16">
        <v>4.37</v>
      </c>
      <c r="I93">
        <v>5.0212348490997014</v>
      </c>
      <c r="J93" s="17">
        <v>3.06</v>
      </c>
      <c r="L93" s="22" t="s">
        <v>27</v>
      </c>
      <c r="M93" s="24" t="s">
        <v>15</v>
      </c>
      <c r="N93" s="22" t="str">
        <f>SUBSTITUTE(C93,",",".")</f>
        <v>2.03839407436584</v>
      </c>
      <c r="O93" s="22" t="str">
        <f>SUBSTITUTE(D93,",",".")</f>
        <v>19.34</v>
      </c>
      <c r="P93" s="22" t="str">
        <f>SUBSTITUTE(E93,",",".")</f>
        <v>25.4510403060775</v>
      </c>
      <c r="Q93" s="22" t="str">
        <f>SUBSTITUTE(F93,",",".")</f>
        <v>19.7049656516616</v>
      </c>
      <c r="R93" s="22" t="str">
        <f>SUBSTITUTE(G93,",",".")</f>
        <v>0.69</v>
      </c>
      <c r="S93" s="22" t="str">
        <f>SUBSTITUTE(H93,",",".")</f>
        <v>4.37</v>
      </c>
      <c r="T93" s="22" t="str">
        <f>SUBSTITUTE(I93,",",".")</f>
        <v>5.0212348490997</v>
      </c>
      <c r="U93" s="22" t="str">
        <f>SUBSTITUTE(J93,",",".")</f>
        <v>3.06</v>
      </c>
    </row>
    <row r="94" spans="1:21" x14ac:dyDescent="0.25">
      <c r="A94" t="s">
        <v>27</v>
      </c>
      <c r="B94" s="1" t="s">
        <v>16</v>
      </c>
      <c r="C94">
        <v>0.47119002897200951</v>
      </c>
      <c r="D94" s="17">
        <v>17.649999999999999</v>
      </c>
      <c r="E94">
        <v>22.881125720358362</v>
      </c>
      <c r="F94">
        <v>19.74438090851001</v>
      </c>
      <c r="G94" s="18">
        <v>0.94</v>
      </c>
      <c r="H94" s="18">
        <v>4.25</v>
      </c>
      <c r="I94">
        <v>4.9280324873599906</v>
      </c>
      <c r="J94" s="17">
        <v>3.31</v>
      </c>
      <c r="L94" s="22" t="s">
        <v>27</v>
      </c>
      <c r="M94" s="24" t="s">
        <v>16</v>
      </c>
      <c r="N94" s="22" t="str">
        <f>SUBSTITUTE(C94,",",".")</f>
        <v>0.47119002897201</v>
      </c>
      <c r="O94" s="22" t="str">
        <f>SUBSTITUTE(D94,",",".")</f>
        <v>17.65</v>
      </c>
      <c r="P94" s="22" t="str">
        <f>SUBSTITUTE(E94,",",".")</f>
        <v>22.8811257203584</v>
      </c>
      <c r="Q94" s="22" t="str">
        <f>SUBSTITUTE(F94,",",".")</f>
        <v>19.74438090851</v>
      </c>
      <c r="R94" s="22" t="str">
        <f>SUBSTITUTE(G94,",",".")</f>
        <v>0.94</v>
      </c>
      <c r="S94" s="22" t="str">
        <f>SUBSTITUTE(H94,",",".")</f>
        <v>4.25</v>
      </c>
      <c r="T94" s="22" t="str">
        <f>SUBSTITUTE(I94,",",".")</f>
        <v>4.92803248735999</v>
      </c>
      <c r="U94" s="22" t="str">
        <f>SUBSTITUTE(J94,",",".")</f>
        <v>3.31</v>
      </c>
    </row>
    <row r="95" spans="1:21" x14ac:dyDescent="0.25">
      <c r="A95" t="s">
        <v>27</v>
      </c>
      <c r="B95" s="1" t="s">
        <v>17</v>
      </c>
      <c r="C95">
        <v>1.7475658462194783</v>
      </c>
      <c r="D95" s="17">
        <v>17.8</v>
      </c>
      <c r="E95">
        <v>25.563716128365183</v>
      </c>
      <c r="F95">
        <v>19.757032461303258</v>
      </c>
      <c r="G95" s="18">
        <v>0.68</v>
      </c>
      <c r="H95" s="18">
        <v>4.0999999999999996</v>
      </c>
      <c r="I95">
        <v>4.9536698711970146</v>
      </c>
      <c r="J95" s="17">
        <v>3.41</v>
      </c>
      <c r="L95" s="22" t="s">
        <v>27</v>
      </c>
      <c r="M95" s="24" t="s">
        <v>17</v>
      </c>
      <c r="N95" s="22" t="str">
        <f>SUBSTITUTE(C95,",",".")</f>
        <v>1.74756584621948</v>
      </c>
      <c r="O95" s="22" t="str">
        <f>SUBSTITUTE(D95,",",".")</f>
        <v>17.8</v>
      </c>
      <c r="P95" s="22" t="str">
        <f>SUBSTITUTE(E95,",",".")</f>
        <v>25.5637161283652</v>
      </c>
      <c r="Q95" s="22" t="str">
        <f>SUBSTITUTE(F95,",",".")</f>
        <v>19.7570324613033</v>
      </c>
      <c r="R95" s="22" t="str">
        <f>SUBSTITUTE(G95,",",".")</f>
        <v>0.68</v>
      </c>
      <c r="S95" s="22" t="str">
        <f>SUBSTITUTE(H95,",",".")</f>
        <v>4.1</v>
      </c>
      <c r="T95" s="22" t="str">
        <f>SUBSTITUTE(I95,",",".")</f>
        <v>4.95366987119701</v>
      </c>
      <c r="U95" s="22" t="str">
        <f>SUBSTITUTE(J95,",",".")</f>
        <v>3.41</v>
      </c>
    </row>
    <row r="96" spans="1:21" x14ac:dyDescent="0.25">
      <c r="A96" t="s">
        <v>27</v>
      </c>
      <c r="B96" s="1" t="s">
        <v>18</v>
      </c>
      <c r="C96">
        <v>1.6434869981551434</v>
      </c>
      <c r="D96" s="17">
        <v>17.97</v>
      </c>
      <c r="E96">
        <v>21.769272576255506</v>
      </c>
      <c r="F96">
        <v>19.723744449413097</v>
      </c>
      <c r="G96" s="18">
        <v>0.74</v>
      </c>
      <c r="H96" s="18">
        <v>3.94</v>
      </c>
      <c r="I96">
        <v>4.9392037669498547</v>
      </c>
      <c r="J96" s="17">
        <v>3.52</v>
      </c>
      <c r="L96" s="22" t="s">
        <v>27</v>
      </c>
      <c r="M96" s="24" t="s">
        <v>18</v>
      </c>
      <c r="N96" s="22" t="str">
        <f>SUBSTITUTE(C96,",",".")</f>
        <v>1.64348699815514</v>
      </c>
      <c r="O96" s="22" t="str">
        <f>SUBSTITUTE(D96,",",".")</f>
        <v>17.97</v>
      </c>
      <c r="P96" s="22" t="str">
        <f>SUBSTITUTE(E96,",",".")</f>
        <v>21.7692725762555</v>
      </c>
      <c r="Q96" s="22" t="str">
        <f>SUBSTITUTE(F96,",",".")</f>
        <v>19.7237444494131</v>
      </c>
      <c r="R96" s="22" t="str">
        <f>SUBSTITUTE(G96,",",".")</f>
        <v>0.74</v>
      </c>
      <c r="S96" s="22" t="str">
        <f>SUBSTITUTE(H96,",",".")</f>
        <v>3.94</v>
      </c>
      <c r="T96" s="22" t="str">
        <f>SUBSTITUTE(I96,",",".")</f>
        <v>4.93920376694985</v>
      </c>
      <c r="U96" s="22" t="str">
        <f>SUBSTITUTE(J96,",",".")</f>
        <v>3.52</v>
      </c>
    </row>
    <row r="97" spans="1:21" x14ac:dyDescent="0.25">
      <c r="A97" t="s">
        <v>27</v>
      </c>
      <c r="B97" s="1" t="s">
        <v>19</v>
      </c>
      <c r="C97">
        <v>1.6865162697421283</v>
      </c>
      <c r="D97" s="17">
        <v>19.14</v>
      </c>
      <c r="E97">
        <v>23.765669024699445</v>
      </c>
      <c r="F97">
        <v>19.734050346875506</v>
      </c>
      <c r="G97" s="18">
        <v>0.81</v>
      </c>
      <c r="H97" s="18">
        <v>3.7</v>
      </c>
      <c r="I97">
        <v>5.252513222546809</v>
      </c>
      <c r="J97" s="17">
        <v>3.99</v>
      </c>
      <c r="L97" s="22" t="s">
        <v>27</v>
      </c>
      <c r="M97" s="24" t="s">
        <v>19</v>
      </c>
      <c r="N97" s="22" t="str">
        <f>SUBSTITUTE(C97,",",".")</f>
        <v>1.68651626974213</v>
      </c>
      <c r="O97" s="22" t="str">
        <f>SUBSTITUTE(D97,",",".")</f>
        <v>19.14</v>
      </c>
      <c r="P97" s="22" t="str">
        <f>SUBSTITUTE(E97,",",".")</f>
        <v>23.7656690246994</v>
      </c>
      <c r="Q97" s="22" t="str">
        <f>SUBSTITUTE(F97,",",".")</f>
        <v>19.7340503468755</v>
      </c>
      <c r="R97" s="22" t="str">
        <f>SUBSTITUTE(G97,",",".")</f>
        <v>0.81</v>
      </c>
      <c r="S97" s="22" t="str">
        <f>SUBSTITUTE(H97,",",".")</f>
        <v>3.7</v>
      </c>
      <c r="T97" s="22" t="str">
        <f>SUBSTITUTE(I97,",",".")</f>
        <v>5.25251322254681</v>
      </c>
      <c r="U97" s="22" t="str">
        <f>SUBSTITUTE(J97,",",".")</f>
        <v>3.99</v>
      </c>
    </row>
    <row r="98" spans="1:21" x14ac:dyDescent="0.25">
      <c r="A98" t="s">
        <v>27</v>
      </c>
      <c r="B98" s="1" t="s">
        <v>20</v>
      </c>
      <c r="C98">
        <v>0.83742629690158676</v>
      </c>
      <c r="D98" s="16">
        <v>18.149999999999999</v>
      </c>
      <c r="E98">
        <v>21.867851054254743</v>
      </c>
      <c r="F98">
        <v>19.7222766729803</v>
      </c>
      <c r="G98" s="18">
        <v>1.07</v>
      </c>
      <c r="H98" s="16">
        <v>3.6</v>
      </c>
      <c r="I98">
        <v>5.2865672124983574</v>
      </c>
      <c r="J98" s="17">
        <v>4.29</v>
      </c>
      <c r="L98" s="22" t="s">
        <v>27</v>
      </c>
      <c r="M98" s="24" t="s">
        <v>20</v>
      </c>
      <c r="N98" s="22" t="str">
        <f>SUBSTITUTE(C98,",",".")</f>
        <v>0.837426296901587</v>
      </c>
      <c r="O98" s="22" t="str">
        <f>SUBSTITUTE(D98,",",".")</f>
        <v>18.15</v>
      </c>
      <c r="P98" s="22" t="str">
        <f>SUBSTITUTE(E98,",",".")</f>
        <v>21.8678510542547</v>
      </c>
      <c r="Q98" s="22" t="str">
        <f>SUBSTITUTE(F98,",",".")</f>
        <v>19.7222766729803</v>
      </c>
      <c r="R98" s="22" t="str">
        <f>SUBSTITUTE(G98,",",".")</f>
        <v>1.07</v>
      </c>
      <c r="S98" s="22" t="str">
        <f>SUBSTITUTE(H98,",",".")</f>
        <v>3.6</v>
      </c>
      <c r="T98" s="22" t="str">
        <f>SUBSTITUTE(I98,",",".")</f>
        <v>5.28656721249836</v>
      </c>
      <c r="U98" s="22" t="str">
        <f>SUBSTITUTE(J98,",",".")</f>
        <v>4.29</v>
      </c>
    </row>
    <row r="99" spans="1:21" x14ac:dyDescent="0.25">
      <c r="A99" t="s">
        <v>27</v>
      </c>
      <c r="B99" s="1" t="s">
        <v>21</v>
      </c>
      <c r="C99">
        <v>3.2530309558201855</v>
      </c>
      <c r="D99" s="17">
        <v>17.36</v>
      </c>
      <c r="E99">
        <v>22.471863133658893</v>
      </c>
      <c r="F99">
        <v>19.760253578421096</v>
      </c>
      <c r="G99" s="18">
        <v>1.03</v>
      </c>
      <c r="H99" s="18">
        <v>3.54</v>
      </c>
      <c r="I99">
        <v>5.3042919145180303</v>
      </c>
      <c r="J99" s="16">
        <v>4.58</v>
      </c>
      <c r="L99" s="22" t="s">
        <v>27</v>
      </c>
      <c r="M99" s="24" t="s">
        <v>21</v>
      </c>
      <c r="N99" s="22" t="str">
        <f>SUBSTITUTE(C99,",",".")</f>
        <v>3.25303095582019</v>
      </c>
      <c r="O99" s="22" t="str">
        <f>SUBSTITUTE(D99,",",".")</f>
        <v>17.36</v>
      </c>
      <c r="P99" s="22" t="str">
        <f>SUBSTITUTE(E99,",",".")</f>
        <v>22.4718631336589</v>
      </c>
      <c r="Q99" s="22" t="str">
        <f>SUBSTITUTE(F99,",",".")</f>
        <v>19.7602535784211</v>
      </c>
      <c r="R99" s="22" t="str">
        <f>SUBSTITUTE(G99,",",".")</f>
        <v>1.03</v>
      </c>
      <c r="S99" s="22" t="str">
        <f>SUBSTITUTE(H99,",",".")</f>
        <v>3.54</v>
      </c>
      <c r="T99" s="22" t="str">
        <f>SUBSTITUTE(I99,",",".")</f>
        <v>5.30429191451803</v>
      </c>
      <c r="U99" s="22" t="str">
        <f>SUBSTITUTE(J99,",",".")</f>
        <v>4.58</v>
      </c>
    </row>
    <row r="100" spans="1:21" x14ac:dyDescent="0.25">
      <c r="A100" t="s">
        <v>27</v>
      </c>
      <c r="B100" s="1" t="s">
        <v>22</v>
      </c>
      <c r="C100">
        <v>1.2374649697323117</v>
      </c>
      <c r="D100" s="17">
        <v>17.32</v>
      </c>
      <c r="E100">
        <v>22.999423378611908</v>
      </c>
      <c r="F100">
        <v>19.779839846524784</v>
      </c>
      <c r="G100" s="18">
        <v>1.03</v>
      </c>
      <c r="H100" s="16">
        <v>3.45</v>
      </c>
      <c r="I100">
        <v>5.1928482522203643</v>
      </c>
      <c r="J100" s="16">
        <v>4.51</v>
      </c>
      <c r="L100" s="22" t="s">
        <v>27</v>
      </c>
      <c r="M100" s="24" t="s">
        <v>22</v>
      </c>
      <c r="N100" s="22" t="str">
        <f>SUBSTITUTE(C100,",",".")</f>
        <v>1.23746496973231</v>
      </c>
      <c r="O100" s="22" t="str">
        <f>SUBSTITUTE(D100,",",".")</f>
        <v>17.32</v>
      </c>
      <c r="P100" s="22" t="str">
        <f>SUBSTITUTE(E100,",",".")</f>
        <v>22.9994233786119</v>
      </c>
      <c r="Q100" s="22" t="str">
        <f>SUBSTITUTE(F100,",",".")</f>
        <v>19.7798398465248</v>
      </c>
      <c r="R100" s="22" t="str">
        <f>SUBSTITUTE(G100,",",".")</f>
        <v>1.03</v>
      </c>
      <c r="S100" s="22" t="str">
        <f>SUBSTITUTE(H100,",",".")</f>
        <v>3.45</v>
      </c>
      <c r="T100" s="22" t="str">
        <f>SUBSTITUTE(I100,",",".")</f>
        <v>5.19284825222036</v>
      </c>
      <c r="U100" s="22" t="str">
        <f>SUBSTITUTE(J100,",",".")</f>
        <v>4.51</v>
      </c>
    </row>
    <row r="101" spans="1:21" x14ac:dyDescent="0.25">
      <c r="A101" t="s">
        <v>27</v>
      </c>
      <c r="B101" s="1" t="s">
        <v>23</v>
      </c>
      <c r="C101">
        <v>2.9646845645476527</v>
      </c>
      <c r="D101" s="16">
        <v>20.170000000000002</v>
      </c>
      <c r="E101">
        <v>23.236812193805754</v>
      </c>
      <c r="F101">
        <v>19.812331513866777</v>
      </c>
      <c r="G101" s="16">
        <v>1.02</v>
      </c>
      <c r="H101" s="18">
        <v>3.38</v>
      </c>
      <c r="I101">
        <v>5.2550735730006428</v>
      </c>
      <c r="J101" s="17">
        <v>4.4000000000000004</v>
      </c>
      <c r="L101" s="22" t="s">
        <v>27</v>
      </c>
      <c r="M101" s="24" t="s">
        <v>23</v>
      </c>
      <c r="N101" s="22" t="str">
        <f>SUBSTITUTE(C101,",",".")</f>
        <v>2.96468456454765</v>
      </c>
      <c r="O101" s="22" t="str">
        <f>SUBSTITUTE(D101,",",".")</f>
        <v>20.17</v>
      </c>
      <c r="P101" s="22" t="str">
        <f>SUBSTITUTE(E101,",",".")</f>
        <v>23.2368121938058</v>
      </c>
      <c r="Q101" s="22" t="str">
        <f>SUBSTITUTE(F101,",",".")</f>
        <v>19.8123315138668</v>
      </c>
      <c r="R101" s="22" t="str">
        <f>SUBSTITUTE(G101,",",".")</f>
        <v>1.02</v>
      </c>
      <c r="S101" s="22" t="str">
        <f>SUBSTITUTE(H101,",",".")</f>
        <v>3.38</v>
      </c>
      <c r="T101" s="22" t="str">
        <f>SUBSTITUTE(I101,",",".")</f>
        <v>5.25507357300064</v>
      </c>
      <c r="U101" s="22" t="str">
        <f>SUBSTITUTE(J101,",",".")</f>
        <v>4.4</v>
      </c>
    </row>
    <row r="102" spans="1:21" x14ac:dyDescent="0.25">
      <c r="A102" t="s">
        <v>32</v>
      </c>
      <c r="B102" s="1" t="s">
        <v>4</v>
      </c>
      <c r="C102">
        <v>-3.1001345347829399</v>
      </c>
      <c r="D102" s="18">
        <v>18.66</v>
      </c>
      <c r="E102">
        <v>25.070548038219993</v>
      </c>
      <c r="F102">
        <v>19.359476170816151</v>
      </c>
      <c r="G102" s="18">
        <v>1.64</v>
      </c>
      <c r="H102" s="18">
        <v>3.54</v>
      </c>
      <c r="I102">
        <v>3.5531391555831568</v>
      </c>
      <c r="J102" s="18">
        <v>4.8099999999999996</v>
      </c>
      <c r="L102" s="22" t="s">
        <v>32</v>
      </c>
      <c r="M102" s="24" t="s">
        <v>4</v>
      </c>
      <c r="N102" s="22" t="str">
        <f>SUBSTITUTE(C102,",",".")</f>
        <v>-3.10013453478294</v>
      </c>
      <c r="O102" s="22" t="str">
        <f>SUBSTITUTE(D102,",",".")</f>
        <v>18.66</v>
      </c>
      <c r="P102" s="22" t="str">
        <f>SUBSTITUTE(E102,",",".")</f>
        <v>25.07054803822</v>
      </c>
      <c r="Q102" s="22" t="str">
        <f>SUBSTITUTE(F102,",",".")</f>
        <v>19.3594761708162</v>
      </c>
      <c r="R102" s="22" t="str">
        <f>SUBSTITUTE(G102,",",".")</f>
        <v>1.64</v>
      </c>
      <c r="S102" s="22" t="str">
        <f>SUBSTITUTE(H102,",",".")</f>
        <v>3.54</v>
      </c>
      <c r="T102" s="22" t="str">
        <f>SUBSTITUTE(I102,",",".")</f>
        <v>3.55313915558316</v>
      </c>
      <c r="U102" s="22" t="str">
        <f>SUBSTITUTE(J102,",",".")</f>
        <v>4.81</v>
      </c>
    </row>
    <row r="103" spans="1:21" x14ac:dyDescent="0.25">
      <c r="A103" t="s">
        <v>32</v>
      </c>
      <c r="B103" s="1" t="s">
        <v>5</v>
      </c>
      <c r="C103">
        <v>3.9732854488152864</v>
      </c>
      <c r="D103" s="18">
        <v>18.13</v>
      </c>
      <c r="E103">
        <v>22.808353675312048</v>
      </c>
      <c r="F103">
        <v>19.370745049446693</v>
      </c>
      <c r="G103" s="18">
        <v>1.69</v>
      </c>
      <c r="H103" s="18">
        <v>3.4</v>
      </c>
      <c r="I103">
        <v>3.4987260433920855</v>
      </c>
      <c r="J103" s="18">
        <v>4.8600000000000003</v>
      </c>
      <c r="L103" s="22" t="s">
        <v>32</v>
      </c>
      <c r="M103" s="24" t="s">
        <v>5</v>
      </c>
      <c r="N103" s="22" t="str">
        <f>SUBSTITUTE(C103,",",".")</f>
        <v>3.97328544881529</v>
      </c>
      <c r="O103" s="22" t="str">
        <f>SUBSTITUTE(D103,",",".")</f>
        <v>18.13</v>
      </c>
      <c r="P103" s="22" t="str">
        <f>SUBSTITUTE(E103,",",".")</f>
        <v>22.808353675312</v>
      </c>
      <c r="Q103" s="22" t="str">
        <f>SUBSTITUTE(F103,",",".")</f>
        <v>19.3707450494467</v>
      </c>
      <c r="R103" s="22" t="str">
        <f>SUBSTITUTE(G103,",",".")</f>
        <v>1.69</v>
      </c>
      <c r="S103" s="22" t="str">
        <f>SUBSTITUTE(H103,",",".")</f>
        <v>3.4</v>
      </c>
      <c r="T103" s="22" t="str">
        <f>SUBSTITUTE(I103,",",".")</f>
        <v>3.49872604339209</v>
      </c>
      <c r="U103" s="22" t="str">
        <f>SUBSTITUTE(J103,",",".")</f>
        <v>4.86</v>
      </c>
    </row>
    <row r="104" spans="1:21" x14ac:dyDescent="0.25">
      <c r="A104" t="s">
        <v>32</v>
      </c>
      <c r="B104" s="1" t="s">
        <v>6</v>
      </c>
      <c r="C104">
        <v>-1.5270039581941495</v>
      </c>
      <c r="D104" s="18">
        <v>18.97</v>
      </c>
      <c r="E104">
        <v>22.925816391613665</v>
      </c>
      <c r="F104">
        <v>19.37261216139844</v>
      </c>
      <c r="G104" s="18">
        <v>1.73</v>
      </c>
      <c r="H104" s="18">
        <v>3.43</v>
      </c>
      <c r="I104">
        <v>3.3685933913978472</v>
      </c>
      <c r="J104" s="18">
        <v>4.92</v>
      </c>
      <c r="L104" s="22" t="s">
        <v>32</v>
      </c>
      <c r="M104" s="24" t="s">
        <v>6</v>
      </c>
      <c r="N104" s="22" t="str">
        <f>SUBSTITUTE(C104,",",".")</f>
        <v>-1.52700395819415</v>
      </c>
      <c r="O104" s="22" t="str">
        <f>SUBSTITUTE(D104,",",".")</f>
        <v>18.97</v>
      </c>
      <c r="P104" s="22" t="str">
        <f>SUBSTITUTE(E104,",",".")</f>
        <v>22.9258163916137</v>
      </c>
      <c r="Q104" s="22" t="str">
        <f>SUBSTITUTE(F104,",",".")</f>
        <v>19.3726121613984</v>
      </c>
      <c r="R104" s="22" t="str">
        <f>SUBSTITUTE(G104,",",".")</f>
        <v>1.73</v>
      </c>
      <c r="S104" s="22" t="str">
        <f>SUBSTITUTE(H104,",",".")</f>
        <v>3.43</v>
      </c>
      <c r="T104" s="22" t="str">
        <f>SUBSTITUTE(I104,",",".")</f>
        <v>3.36859339139785</v>
      </c>
      <c r="U104" s="22" t="str">
        <f>SUBSTITUTE(J104,",",".")</f>
        <v>4.92</v>
      </c>
    </row>
    <row r="105" spans="1:21" x14ac:dyDescent="0.25">
      <c r="A105" t="s">
        <v>32</v>
      </c>
      <c r="B105" s="1" t="s">
        <v>7</v>
      </c>
      <c r="C105">
        <v>3.127902918798215</v>
      </c>
      <c r="D105" s="18">
        <v>19.2</v>
      </c>
      <c r="E105">
        <v>22.355483370533001</v>
      </c>
      <c r="F105">
        <v>19.396273306905631</v>
      </c>
      <c r="G105" s="18">
        <v>1.74</v>
      </c>
      <c r="H105" s="18">
        <v>3.11</v>
      </c>
      <c r="I105">
        <v>3.1908386311900974</v>
      </c>
      <c r="J105" s="18">
        <v>4.96</v>
      </c>
      <c r="L105" s="22" t="s">
        <v>32</v>
      </c>
      <c r="M105" s="24" t="s">
        <v>7</v>
      </c>
      <c r="N105" s="22" t="str">
        <f>SUBSTITUTE(C105,",",".")</f>
        <v>3.12790291879822</v>
      </c>
      <c r="O105" s="22" t="str">
        <f>SUBSTITUTE(D105,",",".")</f>
        <v>19.2</v>
      </c>
      <c r="P105" s="22" t="str">
        <f>SUBSTITUTE(E105,",",".")</f>
        <v>22.355483370533</v>
      </c>
      <c r="Q105" s="22" t="str">
        <f>SUBSTITUTE(F105,",",".")</f>
        <v>19.3962733069056</v>
      </c>
      <c r="R105" s="22" t="str">
        <f>SUBSTITUTE(G105,",",".")</f>
        <v>1.74</v>
      </c>
      <c r="S105" s="22" t="str">
        <f>SUBSTITUTE(H105,",",".")</f>
        <v>3.11</v>
      </c>
      <c r="T105" s="22" t="str">
        <f>SUBSTITUTE(I105,",",".")</f>
        <v>3.1908386311901</v>
      </c>
      <c r="U105" s="22" t="str">
        <f>SUBSTITUTE(J105,",",".")</f>
        <v>4.96</v>
      </c>
    </row>
    <row r="106" spans="1:21" x14ac:dyDescent="0.25">
      <c r="A106" t="s">
        <v>32</v>
      </c>
      <c r="B106" s="1" t="s">
        <v>8</v>
      </c>
      <c r="C106">
        <v>-0.31031378763268697</v>
      </c>
      <c r="D106" s="18">
        <v>19.899999999999999</v>
      </c>
      <c r="E106">
        <v>22.259093412463475</v>
      </c>
      <c r="F106">
        <v>19.381034660649931</v>
      </c>
      <c r="G106" s="18">
        <v>1.91</v>
      </c>
      <c r="H106" s="18">
        <v>3.05</v>
      </c>
      <c r="I106">
        <v>3.3705319939477776</v>
      </c>
      <c r="J106" s="18">
        <v>5.12</v>
      </c>
      <c r="L106" s="22" t="s">
        <v>32</v>
      </c>
      <c r="M106" s="24" t="s">
        <v>8</v>
      </c>
      <c r="N106" s="22" t="str">
        <f>SUBSTITUTE(C106,",",".")</f>
        <v>-0.310313787632687</v>
      </c>
      <c r="O106" s="22" t="str">
        <f>SUBSTITUTE(D106,",",".")</f>
        <v>19.9</v>
      </c>
      <c r="P106" s="22" t="str">
        <f>SUBSTITUTE(E106,",",".")</f>
        <v>22.2590934124635</v>
      </c>
      <c r="Q106" s="22" t="str">
        <f>SUBSTITUTE(F106,",",".")</f>
        <v>19.3810346606499</v>
      </c>
      <c r="R106" s="22" t="str">
        <f>SUBSTITUTE(G106,",",".")</f>
        <v>1.91</v>
      </c>
      <c r="S106" s="22" t="str">
        <f>SUBSTITUTE(H106,",",".")</f>
        <v>3.05</v>
      </c>
      <c r="T106" s="22" t="str">
        <f>SUBSTITUTE(I106,",",".")</f>
        <v>3.37053199394778</v>
      </c>
      <c r="U106" s="22" t="str">
        <f>SUBSTITUTE(J106,",",".")</f>
        <v>5.12</v>
      </c>
    </row>
    <row r="107" spans="1:21" x14ac:dyDescent="0.25">
      <c r="A107" t="s">
        <v>32</v>
      </c>
      <c r="B107" s="1" t="s">
        <v>9</v>
      </c>
      <c r="C107">
        <v>1.2436759489243043</v>
      </c>
      <c r="D107" s="18">
        <v>20.13</v>
      </c>
      <c r="E107">
        <v>22.685501450190742</v>
      </c>
      <c r="F107">
        <v>19.414638430709864</v>
      </c>
      <c r="G107" s="18">
        <v>2.04</v>
      </c>
      <c r="H107" s="18">
        <v>2.87</v>
      </c>
      <c r="I107">
        <v>2.8327859482858622</v>
      </c>
      <c r="J107" s="18">
        <v>5.41</v>
      </c>
      <c r="L107" s="22" t="s">
        <v>32</v>
      </c>
      <c r="M107" s="24" t="s">
        <v>9</v>
      </c>
      <c r="N107" s="22" t="str">
        <f>SUBSTITUTE(C107,",",".")</f>
        <v>1.2436759489243</v>
      </c>
      <c r="O107" s="22" t="str">
        <f>SUBSTITUTE(D107,",",".")</f>
        <v>20.13</v>
      </c>
      <c r="P107" s="22" t="str">
        <f>SUBSTITUTE(E107,",",".")</f>
        <v>22.6855014501907</v>
      </c>
      <c r="Q107" s="22" t="str">
        <f>SUBSTITUTE(F107,",",".")</f>
        <v>19.4146384307099</v>
      </c>
      <c r="R107" s="22" t="str">
        <f>SUBSTITUTE(G107,",",".")</f>
        <v>2.04</v>
      </c>
      <c r="S107" s="22" t="str">
        <f>SUBSTITUTE(H107,",",".")</f>
        <v>2.87</v>
      </c>
      <c r="T107" s="22" t="str">
        <f>SUBSTITUTE(I107,",",".")</f>
        <v>2.83278594828586</v>
      </c>
      <c r="U107" s="22" t="str">
        <f>SUBSTITUTE(J107,",",".")</f>
        <v>5.41</v>
      </c>
    </row>
    <row r="108" spans="1:21" x14ac:dyDescent="0.25">
      <c r="A108" t="s">
        <v>32</v>
      </c>
      <c r="B108" s="1" t="s">
        <v>10</v>
      </c>
      <c r="C108">
        <v>0.37323535647143652</v>
      </c>
      <c r="D108" s="18">
        <v>20.64</v>
      </c>
      <c r="E108">
        <v>21.291446050784561</v>
      </c>
      <c r="F108">
        <v>19.379577958480319</v>
      </c>
      <c r="G108" s="18">
        <v>1.84</v>
      </c>
      <c r="H108" s="16">
        <v>2.62</v>
      </c>
      <c r="I108">
        <v>2.8741321548772323</v>
      </c>
      <c r="J108" s="16">
        <v>5.37</v>
      </c>
      <c r="L108" s="22" t="s">
        <v>32</v>
      </c>
      <c r="M108" s="24" t="s">
        <v>10</v>
      </c>
      <c r="N108" s="22" t="str">
        <f>SUBSTITUTE(C108,",",".")</f>
        <v>0.373235356471437</v>
      </c>
      <c r="O108" s="22" t="str">
        <f>SUBSTITUTE(D108,",",".")</f>
        <v>20.64</v>
      </c>
      <c r="P108" s="22" t="str">
        <f>SUBSTITUTE(E108,",",".")</f>
        <v>21.2914460507846</v>
      </c>
      <c r="Q108" s="22" t="str">
        <f>SUBSTITUTE(F108,",",".")</f>
        <v>19.3795779584803</v>
      </c>
      <c r="R108" s="22" t="str">
        <f>SUBSTITUTE(G108,",",".")</f>
        <v>1.84</v>
      </c>
      <c r="S108" s="22" t="str">
        <f>SUBSTITUTE(H108,",",".")</f>
        <v>2.62</v>
      </c>
      <c r="T108" s="22" t="str">
        <f>SUBSTITUTE(I108,",",".")</f>
        <v>2.87413215487723</v>
      </c>
      <c r="U108" s="22" t="str">
        <f>SUBSTITUTE(J108,",",".")</f>
        <v>5.37</v>
      </c>
    </row>
    <row r="109" spans="1:21" x14ac:dyDescent="0.25">
      <c r="A109" t="s">
        <v>32</v>
      </c>
      <c r="B109" s="1" t="s">
        <v>11</v>
      </c>
      <c r="C109">
        <v>1.3236593830924994</v>
      </c>
      <c r="D109" s="18">
        <v>20.92</v>
      </c>
      <c r="E109">
        <v>23.075808174903536</v>
      </c>
      <c r="F109">
        <v>19.422936364104462</v>
      </c>
      <c r="G109" s="18">
        <v>1.86</v>
      </c>
      <c r="H109" s="18">
        <v>2.79</v>
      </c>
      <c r="I109">
        <v>3.1261131432517235</v>
      </c>
      <c r="J109" s="18">
        <v>5.31</v>
      </c>
      <c r="L109" s="22" t="s">
        <v>32</v>
      </c>
      <c r="M109" s="24" t="s">
        <v>11</v>
      </c>
      <c r="N109" s="22" t="str">
        <f>SUBSTITUTE(C109,",",".")</f>
        <v>1.3236593830925</v>
      </c>
      <c r="O109" s="22" t="str">
        <f>SUBSTITUTE(D109,",",".")</f>
        <v>20.92</v>
      </c>
      <c r="P109" s="22" t="str">
        <f>SUBSTITUTE(E109,",",".")</f>
        <v>23.0758081749035</v>
      </c>
      <c r="Q109" s="22" t="str">
        <f>SUBSTITUTE(F109,",",".")</f>
        <v>19.4229363641045</v>
      </c>
      <c r="R109" s="22" t="str">
        <f>SUBSTITUTE(G109,",",".")</f>
        <v>1.86</v>
      </c>
      <c r="S109" s="22" t="str">
        <f>SUBSTITUTE(H109,",",".")</f>
        <v>2.79</v>
      </c>
      <c r="T109" s="22" t="str">
        <f>SUBSTITUTE(I109,",",".")</f>
        <v>3.12611314325172</v>
      </c>
      <c r="U109" s="22" t="str">
        <f>SUBSTITUTE(J109,",",".")</f>
        <v>5.31</v>
      </c>
    </row>
    <row r="110" spans="1:21" x14ac:dyDescent="0.25">
      <c r="A110" t="s">
        <v>32</v>
      </c>
      <c r="B110" s="1" t="s">
        <v>12</v>
      </c>
      <c r="C110">
        <v>-7.1151850263592109E-2</v>
      </c>
      <c r="D110" s="18">
        <v>18.79</v>
      </c>
      <c r="E110">
        <v>23.340210228653635</v>
      </c>
      <c r="F110">
        <v>19.420892583849767</v>
      </c>
      <c r="G110" s="18">
        <v>2.1</v>
      </c>
      <c r="H110" s="18">
        <v>3.03</v>
      </c>
      <c r="I110">
        <v>5.3632164176838542</v>
      </c>
      <c r="J110" s="18">
        <v>5.0199999999999996</v>
      </c>
      <c r="L110" s="22" t="s">
        <v>32</v>
      </c>
      <c r="M110" s="24" t="s">
        <v>12</v>
      </c>
      <c r="N110" s="22" t="str">
        <f>SUBSTITUTE(C110,",",".")</f>
        <v>-0.0711518502635921</v>
      </c>
      <c r="O110" s="22" t="str">
        <f>SUBSTITUTE(D110,",",".")</f>
        <v>18.79</v>
      </c>
      <c r="P110" s="22" t="str">
        <f>SUBSTITUTE(E110,",",".")</f>
        <v>23.3402102286536</v>
      </c>
      <c r="Q110" s="22" t="str">
        <f>SUBSTITUTE(F110,",",".")</f>
        <v>19.4208925838498</v>
      </c>
      <c r="R110" s="22" t="str">
        <f>SUBSTITUTE(G110,",",".")</f>
        <v>2.1</v>
      </c>
      <c r="S110" s="22" t="str">
        <f>SUBSTITUTE(H110,",",".")</f>
        <v>3.03</v>
      </c>
      <c r="T110" s="22" t="str">
        <f>SUBSTITUTE(I110,",",".")</f>
        <v>5.36321641768385</v>
      </c>
      <c r="U110" s="22" t="str">
        <f>SUBSTITUTE(J110,",",".")</f>
        <v>5.02</v>
      </c>
    </row>
    <row r="111" spans="1:21" x14ac:dyDescent="0.25">
      <c r="A111" t="s">
        <v>32</v>
      </c>
      <c r="B111" s="1" t="s">
        <v>13</v>
      </c>
      <c r="C111">
        <v>-4.3269070567166921</v>
      </c>
      <c r="D111" s="18">
        <v>19.34</v>
      </c>
      <c r="E111">
        <v>25.925011176948242</v>
      </c>
      <c r="F111">
        <v>19.421459014280025</v>
      </c>
      <c r="G111" s="18">
        <v>1.67</v>
      </c>
      <c r="H111" s="18">
        <v>3.89</v>
      </c>
      <c r="I111">
        <v>5.854529455383692</v>
      </c>
      <c r="J111" s="18">
        <v>5.05</v>
      </c>
      <c r="L111" s="22" t="s">
        <v>32</v>
      </c>
      <c r="M111" s="24" t="s">
        <v>13</v>
      </c>
      <c r="N111" s="22" t="str">
        <f>SUBSTITUTE(C111,",",".")</f>
        <v>-4.32690705671669</v>
      </c>
      <c r="O111" s="22" t="str">
        <f>SUBSTITUTE(D111,",",".")</f>
        <v>19.34</v>
      </c>
      <c r="P111" s="22" t="str">
        <f>SUBSTITUTE(E111,",",".")</f>
        <v>25.9250111769482</v>
      </c>
      <c r="Q111" s="22" t="str">
        <f>SUBSTITUTE(F111,",",".")</f>
        <v>19.42145901428</v>
      </c>
      <c r="R111" s="22" t="str">
        <f>SUBSTITUTE(G111,",",".")</f>
        <v>1.67</v>
      </c>
      <c r="S111" s="22" t="str">
        <f>SUBSTITUTE(H111,",",".")</f>
        <v>3.89</v>
      </c>
      <c r="T111" s="22" t="str">
        <f>SUBSTITUTE(I111,",",".")</f>
        <v>5.85452945538369</v>
      </c>
      <c r="U111" s="22" t="str">
        <f>SUBSTITUTE(J111,",",".")</f>
        <v>5.05</v>
      </c>
    </row>
    <row r="112" spans="1:21" x14ac:dyDescent="0.25">
      <c r="A112" t="s">
        <v>32</v>
      </c>
      <c r="B112" s="1" t="s">
        <v>14</v>
      </c>
      <c r="C112">
        <v>-2.8544135552323882</v>
      </c>
      <c r="D112" s="18">
        <v>20.239999999999998</v>
      </c>
      <c r="E112">
        <v>29.554521654050848</v>
      </c>
      <c r="F112">
        <v>19.447440583578917</v>
      </c>
      <c r="G112" s="18">
        <v>1.28</v>
      </c>
      <c r="H112" s="18">
        <v>3.89</v>
      </c>
      <c r="I112">
        <v>6.2952221065690122</v>
      </c>
      <c r="J112" s="18">
        <v>4.93</v>
      </c>
      <c r="L112" s="22" t="s">
        <v>32</v>
      </c>
      <c r="M112" s="24" t="s">
        <v>14</v>
      </c>
      <c r="N112" s="22" t="str">
        <f>SUBSTITUTE(C112,",",".")</f>
        <v>-2.85441355523239</v>
      </c>
      <c r="O112" s="22" t="str">
        <f>SUBSTITUTE(D112,",",".")</f>
        <v>20.24</v>
      </c>
      <c r="P112" s="22" t="str">
        <f>SUBSTITUTE(E112,",",".")</f>
        <v>29.5545216540508</v>
      </c>
      <c r="Q112" s="22" t="str">
        <f>SUBSTITUTE(F112,",",".")</f>
        <v>19.4474405835789</v>
      </c>
      <c r="R112" s="22" t="str">
        <f>SUBSTITUTE(G112,",",".")</f>
        <v>1.28</v>
      </c>
      <c r="S112" s="22" t="str">
        <f>SUBSTITUTE(H112,",",".")</f>
        <v>3.89</v>
      </c>
      <c r="T112" s="22" t="str">
        <f>SUBSTITUTE(I112,",",".")</f>
        <v>6.29522210656901</v>
      </c>
      <c r="U112" s="22" t="str">
        <f>SUBSTITUTE(J112,",",".")</f>
        <v>4.93</v>
      </c>
    </row>
    <row r="113" spans="1:21" x14ac:dyDescent="0.25">
      <c r="A113" t="s">
        <v>32</v>
      </c>
      <c r="B113" s="1" t="s">
        <v>15</v>
      </c>
      <c r="C113">
        <v>-3.3051685482179396</v>
      </c>
      <c r="D113" s="18">
        <v>21.24</v>
      </c>
      <c r="E113">
        <v>32.143476030228733</v>
      </c>
      <c r="F113">
        <v>19.445553416717821</v>
      </c>
      <c r="G113" s="18">
        <v>1.06</v>
      </c>
      <c r="H113" s="16">
        <v>3.62</v>
      </c>
      <c r="I113">
        <v>6.8738712719618817</v>
      </c>
      <c r="J113" s="18">
        <v>4.88</v>
      </c>
      <c r="L113" s="22" t="s">
        <v>32</v>
      </c>
      <c r="M113" s="24" t="s">
        <v>15</v>
      </c>
      <c r="N113" s="22" t="str">
        <f>SUBSTITUTE(C113,",",".")</f>
        <v>-3.30516854821794</v>
      </c>
      <c r="O113" s="22" t="str">
        <f>SUBSTITUTE(D113,",",".")</f>
        <v>21.24</v>
      </c>
      <c r="P113" s="22" t="str">
        <f>SUBSTITUTE(E113,",",".")</f>
        <v>32.1434760302287</v>
      </c>
      <c r="Q113" s="22" t="str">
        <f>SUBSTITUTE(F113,",",".")</f>
        <v>19.4455534167178</v>
      </c>
      <c r="R113" s="22" t="str">
        <f>SUBSTITUTE(G113,",",".")</f>
        <v>1.06</v>
      </c>
      <c r="S113" s="22" t="str">
        <f>SUBSTITUTE(H113,",",".")</f>
        <v>3.62</v>
      </c>
      <c r="T113" s="22" t="str">
        <f>SUBSTITUTE(I113,",",".")</f>
        <v>6.87387127196188</v>
      </c>
      <c r="U113" s="22" t="str">
        <f>SUBSTITUTE(J113,",",".")</f>
        <v>4.88</v>
      </c>
    </row>
    <row r="114" spans="1:21" x14ac:dyDescent="0.25">
      <c r="A114" t="s">
        <v>32</v>
      </c>
      <c r="B114" s="1" t="s">
        <v>16</v>
      </c>
      <c r="C114">
        <v>-0.91967418034647341</v>
      </c>
      <c r="D114" s="18">
        <v>21.39</v>
      </c>
      <c r="E114">
        <v>30.328756026700582</v>
      </c>
      <c r="F114">
        <v>19.414116614830412</v>
      </c>
      <c r="G114" s="18">
        <v>1.85</v>
      </c>
      <c r="H114" s="18">
        <v>3.85</v>
      </c>
      <c r="I114">
        <v>7.3838057041163019</v>
      </c>
      <c r="J114" s="18">
        <v>4.99</v>
      </c>
      <c r="L114" s="22" t="s">
        <v>32</v>
      </c>
      <c r="M114" s="24" t="s">
        <v>16</v>
      </c>
      <c r="N114" s="22" t="str">
        <f>SUBSTITUTE(C114,",",".")</f>
        <v>-0.919674180346473</v>
      </c>
      <c r="O114" s="22" t="str">
        <f>SUBSTITUTE(D114,",",".")</f>
        <v>21.39</v>
      </c>
      <c r="P114" s="22" t="str">
        <f>SUBSTITUTE(E114,",",".")</f>
        <v>30.3287560267006</v>
      </c>
      <c r="Q114" s="22" t="str">
        <f>SUBSTITUTE(F114,",",".")</f>
        <v>19.4141166148304</v>
      </c>
      <c r="R114" s="22" t="str">
        <f>SUBSTITUTE(G114,",",".")</f>
        <v>1.85</v>
      </c>
      <c r="S114" s="22" t="str">
        <f>SUBSTITUTE(H114,",",".")</f>
        <v>3.85</v>
      </c>
      <c r="T114" s="22" t="str">
        <f>SUBSTITUTE(I114,",",".")</f>
        <v>7.3838057041163</v>
      </c>
      <c r="U114" s="22" t="str">
        <f>SUBSTITUTE(J114,",",".")</f>
        <v>4.99</v>
      </c>
    </row>
    <row r="115" spans="1:21" x14ac:dyDescent="0.25">
      <c r="A115" t="s">
        <v>32</v>
      </c>
      <c r="B115" s="1" t="s">
        <v>17</v>
      </c>
      <c r="C115">
        <v>-9.6362870738663925E-2</v>
      </c>
      <c r="D115" s="18">
        <v>21.35</v>
      </c>
      <c r="E115">
        <v>32.56896362155863</v>
      </c>
      <c r="F115">
        <v>19.472786767367236</v>
      </c>
      <c r="G115" s="18">
        <v>2.0099999999999998</v>
      </c>
      <c r="H115" s="18">
        <v>3.25</v>
      </c>
      <c r="I115">
        <v>7.1706667184833135</v>
      </c>
      <c r="J115" s="18">
        <v>4.95</v>
      </c>
      <c r="L115" s="22" t="s">
        <v>32</v>
      </c>
      <c r="M115" s="24" t="s">
        <v>17</v>
      </c>
      <c r="N115" s="22" t="str">
        <f>SUBSTITUTE(C115,",",".")</f>
        <v>-0.0963628707386639</v>
      </c>
      <c r="O115" s="22" t="str">
        <f>SUBSTITUTE(D115,",",".")</f>
        <v>21.35</v>
      </c>
      <c r="P115" s="22" t="str">
        <f>SUBSTITUTE(E115,",",".")</f>
        <v>32.5689636215586</v>
      </c>
      <c r="Q115" s="22" t="str">
        <f>SUBSTITUTE(F115,",",".")</f>
        <v>19.4727867673672</v>
      </c>
      <c r="R115" s="22" t="str">
        <f>SUBSTITUTE(G115,",",".")</f>
        <v>2.01</v>
      </c>
      <c r="S115" s="22" t="str">
        <f>SUBSTITUTE(H115,",",".")</f>
        <v>3.25</v>
      </c>
      <c r="T115" s="22" t="str">
        <f>SUBSTITUTE(I115,",",".")</f>
        <v>7.17066671848331</v>
      </c>
      <c r="U115" s="22" t="str">
        <f>SUBSTITUTE(J115,",",".")</f>
        <v>4.95</v>
      </c>
    </row>
    <row r="116" spans="1:21" x14ac:dyDescent="0.25">
      <c r="A116" t="s">
        <v>32</v>
      </c>
      <c r="B116" s="1" t="s">
        <v>18</v>
      </c>
      <c r="C116">
        <v>2.1097681643587216</v>
      </c>
      <c r="D116" s="18">
        <v>21.92</v>
      </c>
      <c r="E116">
        <v>34.720554616870899</v>
      </c>
      <c r="F116">
        <v>19.494955140942533</v>
      </c>
      <c r="G116" s="18">
        <v>1.9</v>
      </c>
      <c r="H116" s="18">
        <v>3.39</v>
      </c>
      <c r="I116">
        <v>7.2765199684604331</v>
      </c>
      <c r="J116" s="18">
        <v>4.8600000000000003</v>
      </c>
      <c r="L116" s="22" t="s">
        <v>32</v>
      </c>
      <c r="M116" s="24" t="s">
        <v>18</v>
      </c>
      <c r="N116" s="22" t="str">
        <f>SUBSTITUTE(C116,",",".")</f>
        <v>2.10976816435872</v>
      </c>
      <c r="O116" s="22" t="str">
        <f>SUBSTITUTE(D116,",",".")</f>
        <v>21.92</v>
      </c>
      <c r="P116" s="22" t="str">
        <f>SUBSTITUTE(E116,",",".")</f>
        <v>34.7205546168709</v>
      </c>
      <c r="Q116" s="22" t="str">
        <f>SUBSTITUTE(F116,",",".")</f>
        <v>19.4949551409425</v>
      </c>
      <c r="R116" s="22" t="str">
        <f>SUBSTITUTE(G116,",",".")</f>
        <v>1.9</v>
      </c>
      <c r="S116" s="22" t="str">
        <f>SUBSTITUTE(H116,",",".")</f>
        <v>3.39</v>
      </c>
      <c r="T116" s="22" t="str">
        <f>SUBSTITUTE(I116,",",".")</f>
        <v>7.27651996846043</v>
      </c>
      <c r="U116" s="22" t="str">
        <f>SUBSTITUTE(J116,",",".")</f>
        <v>4.86</v>
      </c>
    </row>
    <row r="117" spans="1:21" x14ac:dyDescent="0.25">
      <c r="A117" t="s">
        <v>32</v>
      </c>
      <c r="B117" s="1" t="s">
        <v>19</v>
      </c>
      <c r="C117">
        <v>2.4604321425158253</v>
      </c>
      <c r="D117" s="18">
        <v>22.29</v>
      </c>
      <c r="E117">
        <v>37.444200589088901</v>
      </c>
      <c r="F117">
        <v>19.543151512052638</v>
      </c>
      <c r="G117" s="18">
        <v>1.75</v>
      </c>
      <c r="H117" s="18">
        <v>3.51</v>
      </c>
      <c r="I117">
        <v>7.3395956708005192</v>
      </c>
      <c r="J117" s="18">
        <v>4.71</v>
      </c>
      <c r="L117" s="22" t="s">
        <v>32</v>
      </c>
      <c r="M117" s="24" t="s">
        <v>19</v>
      </c>
      <c r="N117" s="22" t="str">
        <f>SUBSTITUTE(C117,",",".")</f>
        <v>2.46043214251583</v>
      </c>
      <c r="O117" s="22" t="str">
        <f>SUBSTITUTE(D117,",",".")</f>
        <v>22.29</v>
      </c>
      <c r="P117" s="22" t="str">
        <f>SUBSTITUTE(E117,",",".")</f>
        <v>37.4442005890889</v>
      </c>
      <c r="Q117" s="22" t="str">
        <f>SUBSTITUTE(F117,",",".")</f>
        <v>19.5431515120526</v>
      </c>
      <c r="R117" s="22" t="str">
        <f>SUBSTITUTE(G117,",",".")</f>
        <v>1.75</v>
      </c>
      <c r="S117" s="22" t="str">
        <f>SUBSTITUTE(H117,",",".")</f>
        <v>3.51</v>
      </c>
      <c r="T117" s="22" t="str">
        <f>SUBSTITUTE(I117,",",".")</f>
        <v>7.33959567080052</v>
      </c>
      <c r="U117" s="22" t="str">
        <f>SUBSTITUTE(J117,",",".")</f>
        <v>4.71</v>
      </c>
    </row>
    <row r="118" spans="1:21" x14ac:dyDescent="0.25">
      <c r="A118" t="s">
        <v>32</v>
      </c>
      <c r="B118" s="1" t="s">
        <v>20</v>
      </c>
      <c r="C118">
        <v>0.11346979339635231</v>
      </c>
      <c r="D118" s="18" t="s">
        <v>335</v>
      </c>
      <c r="E118">
        <v>35.761175952535915</v>
      </c>
      <c r="F118">
        <v>19.528775749208638</v>
      </c>
      <c r="G118" s="18" t="s">
        <v>338</v>
      </c>
      <c r="H118" s="18" t="s">
        <v>337</v>
      </c>
      <c r="I118">
        <v>7.6723786532659428</v>
      </c>
      <c r="J118" s="18" t="s">
        <v>336</v>
      </c>
      <c r="L118" s="22" t="s">
        <v>32</v>
      </c>
      <c r="M118" s="24" t="s">
        <v>20</v>
      </c>
      <c r="N118" s="22" t="str">
        <f>SUBSTITUTE(C118,",",".")</f>
        <v>0.113469793396352</v>
      </c>
      <c r="O118" s="22" t="str">
        <f>SUBSTITUTE(D118,",",".")</f>
        <v>22.82</v>
      </c>
      <c r="P118" s="22" t="str">
        <f>SUBSTITUTE(E118,",",".")</f>
        <v>35.7611759525359</v>
      </c>
      <c r="Q118" s="22" t="str">
        <f>SUBSTITUTE(F118,",",".")</f>
        <v>19.5287757492086</v>
      </c>
      <c r="R118" s="22" t="str">
        <f>SUBSTITUTE(G118,",",".")</f>
        <v>1.92</v>
      </c>
      <c r="S118" s="22" t="str">
        <f>SUBSTITUTE(H118,",",".")</f>
        <v>3.68</v>
      </c>
      <c r="T118" s="22" t="str">
        <f>SUBSTITUTE(I118,",",".")</f>
        <v>7.67237865326594</v>
      </c>
      <c r="U118" s="22" t="str">
        <f>SUBSTITUTE(J118,",",".")</f>
        <v>4.29</v>
      </c>
    </row>
    <row r="119" spans="1:21" x14ac:dyDescent="0.25">
      <c r="A119" t="s">
        <v>32</v>
      </c>
      <c r="B119" s="1" t="s">
        <v>21</v>
      </c>
      <c r="C119">
        <v>3.6214275830550959</v>
      </c>
      <c r="D119" s="18" t="s">
        <v>341</v>
      </c>
      <c r="E119">
        <v>33.112899614325755</v>
      </c>
      <c r="F119">
        <v>19.539226834319454</v>
      </c>
      <c r="G119" s="18" t="s">
        <v>344</v>
      </c>
      <c r="H119" s="18" t="s">
        <v>343</v>
      </c>
      <c r="I119">
        <v>7.6575379228304357</v>
      </c>
      <c r="J119" s="18" t="s">
        <v>342</v>
      </c>
      <c r="L119" s="22" t="s">
        <v>32</v>
      </c>
      <c r="M119" s="24" t="s">
        <v>21</v>
      </c>
      <c r="N119" s="22" t="str">
        <f>SUBSTITUTE(C119,",",".")</f>
        <v>3.6214275830551</v>
      </c>
      <c r="O119" s="22" t="str">
        <f>SUBSTITUTE(D119,",",".")</f>
        <v>20.77</v>
      </c>
      <c r="P119" s="22" t="str">
        <f>SUBSTITUTE(E119,",",".")</f>
        <v>33.1128996143258</v>
      </c>
      <c r="Q119" s="22" t="str">
        <f>SUBSTITUTE(F119,",",".")</f>
        <v>19.5392268343195</v>
      </c>
      <c r="R119" s="22" t="str">
        <f>SUBSTITUTE(G119,",",".")</f>
        <v>2.05</v>
      </c>
      <c r="S119" s="22" t="str">
        <f>SUBSTITUTE(H119,",",".")</f>
        <v>3.60</v>
      </c>
      <c r="T119" s="22" t="str">
        <f>SUBSTITUTE(I119,",",".")</f>
        <v>7.65753792283044</v>
      </c>
      <c r="U119" s="22" t="str">
        <f>SUBSTITUTE(J119,",",".")</f>
        <v>4.36</v>
      </c>
    </row>
    <row r="120" spans="1:21" x14ac:dyDescent="0.25">
      <c r="A120" t="s">
        <v>32</v>
      </c>
      <c r="B120" s="1" t="s">
        <v>22</v>
      </c>
      <c r="C120">
        <v>2.6341111587421726</v>
      </c>
      <c r="D120" s="18" t="s">
        <v>347</v>
      </c>
      <c r="E120">
        <v>31.068821556525091</v>
      </c>
      <c r="F120">
        <v>19.525356863712425</v>
      </c>
      <c r="G120" s="18" t="s">
        <v>350</v>
      </c>
      <c r="H120" s="18" t="s">
        <v>349</v>
      </c>
      <c r="I120">
        <v>7.4954635341614519</v>
      </c>
      <c r="J120" s="18" t="s">
        <v>348</v>
      </c>
      <c r="L120" s="22" t="s">
        <v>32</v>
      </c>
      <c r="M120" s="24" t="s">
        <v>22</v>
      </c>
      <c r="N120" s="22" t="str">
        <f>SUBSTITUTE(C120,",",".")</f>
        <v>2.63411115874217</v>
      </c>
      <c r="O120" s="22" t="str">
        <f>SUBSTITUTE(D120,",",".")</f>
        <v>20.61</v>
      </c>
      <c r="P120" s="22" t="str">
        <f>SUBSTITUTE(E120,",",".")</f>
        <v>31.0688215565251</v>
      </c>
      <c r="Q120" s="22" t="str">
        <f>SUBSTITUTE(F120,",",".")</f>
        <v>19.5253568637124</v>
      </c>
      <c r="R120" s="22" t="str">
        <f>SUBSTITUTE(G120,",",".")</f>
        <v>2.07</v>
      </c>
      <c r="S120" s="22" t="str">
        <f>SUBSTITUTE(H120,",",".")</f>
        <v>3.61</v>
      </c>
      <c r="T120" s="22" t="str">
        <f>SUBSTITUTE(I120,",",".")</f>
        <v>7.49546353416145</v>
      </c>
      <c r="U120" s="22" t="str">
        <f>SUBSTITUTE(J120,",",".")</f>
        <v>4.43</v>
      </c>
    </row>
    <row r="121" spans="1:21" x14ac:dyDescent="0.25">
      <c r="A121" t="s">
        <v>32</v>
      </c>
      <c r="B121" s="1" t="s">
        <v>23</v>
      </c>
      <c r="C121">
        <v>0.93277854560658358</v>
      </c>
      <c r="D121" s="16">
        <v>21.86</v>
      </c>
      <c r="E121">
        <v>31.481989832659764</v>
      </c>
      <c r="F121">
        <v>19.524333066949431</v>
      </c>
      <c r="G121" s="18">
        <v>2.16</v>
      </c>
      <c r="H121" s="18">
        <v>2.8</v>
      </c>
      <c r="I121">
        <v>6.8393052810457542</v>
      </c>
      <c r="J121" s="18" t="s">
        <v>352</v>
      </c>
      <c r="L121" s="22" t="s">
        <v>32</v>
      </c>
      <c r="M121" s="24" t="s">
        <v>23</v>
      </c>
      <c r="N121" s="22" t="str">
        <f>SUBSTITUTE(C121,",",".")</f>
        <v>0.932778545606584</v>
      </c>
      <c r="O121" s="22" t="str">
        <f>SUBSTITUTE(D121,",",".")</f>
        <v>21.86</v>
      </c>
      <c r="P121" s="22" t="str">
        <f>SUBSTITUTE(E121,",",".")</f>
        <v>31.4819898326598</v>
      </c>
      <c r="Q121" s="22" t="str">
        <f>SUBSTITUTE(F121,",",".")</f>
        <v>19.5243330669494</v>
      </c>
      <c r="R121" s="22" t="str">
        <f>SUBSTITUTE(G121,",",".")</f>
        <v>2.16</v>
      </c>
      <c r="S121" s="22" t="str">
        <f>SUBSTITUTE(H121,",",".")</f>
        <v>2.8</v>
      </c>
      <c r="T121" s="22" t="str">
        <f>SUBSTITUTE(I121,",",".")</f>
        <v>6.83930528104575</v>
      </c>
      <c r="U121" s="22" t="str">
        <f>SUBSTITUTE(J121,",",".")</f>
        <v>4.69</v>
      </c>
    </row>
    <row r="122" spans="1:21" x14ac:dyDescent="0.25">
      <c r="A122" t="s">
        <v>31</v>
      </c>
      <c r="B122" s="1" t="s">
        <v>4</v>
      </c>
      <c r="C122">
        <v>0.44660880556829263</v>
      </c>
      <c r="D122" s="17">
        <v>22.35</v>
      </c>
      <c r="E122">
        <v>23.31494896095391</v>
      </c>
      <c r="F122">
        <v>19.103389503262402</v>
      </c>
      <c r="G122" s="17">
        <v>1.65</v>
      </c>
      <c r="H122" s="17">
        <v>2.65</v>
      </c>
      <c r="I122">
        <v>2.3360090378113632</v>
      </c>
      <c r="J122" s="17">
        <v>4.3499999999999996</v>
      </c>
      <c r="L122" s="22" t="s">
        <v>31</v>
      </c>
      <c r="M122" s="24" t="s">
        <v>4</v>
      </c>
      <c r="N122" s="22" t="str">
        <f>SUBSTITUTE(C122,",",".")</f>
        <v>0.446608805568293</v>
      </c>
      <c r="O122" s="22" t="str">
        <f>SUBSTITUTE(D122,",",".")</f>
        <v>22.35</v>
      </c>
      <c r="P122" s="22" t="str">
        <f>SUBSTITUTE(E122,",",".")</f>
        <v>23.3149489609539</v>
      </c>
      <c r="Q122" s="22" t="str">
        <f>SUBSTITUTE(F122,",",".")</f>
        <v>19.1033895032624</v>
      </c>
      <c r="R122" s="22" t="str">
        <f>SUBSTITUTE(G122,",",".")</f>
        <v>1.65</v>
      </c>
      <c r="S122" s="22" t="str">
        <f>SUBSTITUTE(H122,",",".")</f>
        <v>2.65</v>
      </c>
      <c r="T122" s="22" t="str">
        <f>SUBSTITUTE(I122,",",".")</f>
        <v>2.33600903781136</v>
      </c>
      <c r="U122" s="22" t="str">
        <f>SUBSTITUTE(J122,",",".")</f>
        <v>4.35</v>
      </c>
    </row>
    <row r="123" spans="1:21" x14ac:dyDescent="0.25">
      <c r="A123" t="s">
        <v>31</v>
      </c>
      <c r="B123" s="1" t="s">
        <v>5</v>
      </c>
      <c r="C123">
        <v>4.6902575864315059</v>
      </c>
      <c r="D123" s="17">
        <v>21.7</v>
      </c>
      <c r="E123">
        <v>19.198936673561931</v>
      </c>
      <c r="F123">
        <v>19.05964764046179</v>
      </c>
      <c r="G123" s="17">
        <v>1.66</v>
      </c>
      <c r="H123" s="17">
        <v>2.78</v>
      </c>
      <c r="I123">
        <v>2.4596785211196548</v>
      </c>
      <c r="J123" s="17">
        <v>4.5</v>
      </c>
      <c r="L123" s="22" t="s">
        <v>31</v>
      </c>
      <c r="M123" s="24" t="s">
        <v>5</v>
      </c>
      <c r="N123" s="22" t="str">
        <f>SUBSTITUTE(C123,",",".")</f>
        <v>4.69025758643151</v>
      </c>
      <c r="O123" s="22" t="str">
        <f>SUBSTITUTE(D123,",",".")</f>
        <v>21.7</v>
      </c>
      <c r="P123" s="22" t="str">
        <f>SUBSTITUTE(E123,",",".")</f>
        <v>19.1989366735619</v>
      </c>
      <c r="Q123" s="22" t="str">
        <f>SUBSTITUTE(F123,",",".")</f>
        <v>19.0596476404618</v>
      </c>
      <c r="R123" s="22" t="str">
        <f>SUBSTITUTE(G123,",",".")</f>
        <v>1.66</v>
      </c>
      <c r="S123" s="22" t="str">
        <f>SUBSTITUTE(H123,",",".")</f>
        <v>2.78</v>
      </c>
      <c r="T123" s="22" t="str">
        <f>SUBSTITUTE(I123,",",".")</f>
        <v>2.45967852111965</v>
      </c>
      <c r="U123" s="22" t="str">
        <f>SUBSTITUTE(J123,",",".")</f>
        <v>4.5</v>
      </c>
    </row>
    <row r="124" spans="1:21" x14ac:dyDescent="0.25">
      <c r="A124" t="s">
        <v>31</v>
      </c>
      <c r="B124" s="1" t="s">
        <v>6</v>
      </c>
      <c r="C124">
        <v>-0.88999794178883906</v>
      </c>
      <c r="D124" s="17">
        <v>23.04</v>
      </c>
      <c r="E124">
        <v>12.584676502151362</v>
      </c>
      <c r="F124">
        <v>19.045720043448643</v>
      </c>
      <c r="G124" s="17">
        <v>1.92</v>
      </c>
      <c r="H124" s="17">
        <v>3.08</v>
      </c>
      <c r="I124">
        <v>2.6192884383623789</v>
      </c>
      <c r="J124" s="17">
        <v>4.5999999999999996</v>
      </c>
      <c r="L124" s="22" t="s">
        <v>31</v>
      </c>
      <c r="M124" s="24" t="s">
        <v>6</v>
      </c>
      <c r="N124" s="22" t="str">
        <f>SUBSTITUTE(C124,",",".")</f>
        <v>-0.889997941788839</v>
      </c>
      <c r="O124" s="22" t="str">
        <f>SUBSTITUTE(D124,",",".")</f>
        <v>23.04</v>
      </c>
      <c r="P124" s="22" t="str">
        <f>SUBSTITUTE(E124,",",".")</f>
        <v>12.5846765021514</v>
      </c>
      <c r="Q124" s="22" t="str">
        <f>SUBSTITUTE(F124,",",".")</f>
        <v>19.0457200434486</v>
      </c>
      <c r="R124" s="22" t="str">
        <f>SUBSTITUTE(G124,",",".")</f>
        <v>1.92</v>
      </c>
      <c r="S124" s="22" t="str">
        <f>SUBSTITUTE(H124,",",".")</f>
        <v>3.08</v>
      </c>
      <c r="T124" s="22" t="str">
        <f>SUBSTITUTE(I124,",",".")</f>
        <v>2.61928843836238</v>
      </c>
      <c r="U124" s="22" t="str">
        <f>SUBSTITUTE(J124,",",".")</f>
        <v>4.6</v>
      </c>
    </row>
    <row r="125" spans="1:21" x14ac:dyDescent="0.25">
      <c r="A125" t="s">
        <v>31</v>
      </c>
      <c r="B125" s="1" t="s">
        <v>7</v>
      </c>
      <c r="C125">
        <v>2.7137939457582716</v>
      </c>
      <c r="D125" s="17">
        <v>23.49</v>
      </c>
      <c r="E125">
        <v>11.690383549386764</v>
      </c>
      <c r="F125">
        <v>19.056720338792356</v>
      </c>
      <c r="G125" s="17">
        <v>2.25</v>
      </c>
      <c r="H125" s="17">
        <v>2.97</v>
      </c>
      <c r="I125">
        <v>2.6383843122369721</v>
      </c>
      <c r="J125" s="17">
        <v>4.6100000000000003</v>
      </c>
      <c r="L125" s="22" t="s">
        <v>31</v>
      </c>
      <c r="M125" s="24" t="s">
        <v>7</v>
      </c>
      <c r="N125" s="22" t="str">
        <f>SUBSTITUTE(C125,",",".")</f>
        <v>2.71379394575827</v>
      </c>
      <c r="O125" s="22" t="str">
        <f>SUBSTITUTE(D125,",",".")</f>
        <v>23.49</v>
      </c>
      <c r="P125" s="22" t="str">
        <f>SUBSTITUTE(E125,",",".")</f>
        <v>11.6903835493868</v>
      </c>
      <c r="Q125" s="22" t="str">
        <f>SUBSTITUTE(F125,",",".")</f>
        <v>19.0567203387924</v>
      </c>
      <c r="R125" s="22" t="str">
        <f>SUBSTITUTE(G125,",",".")</f>
        <v>2.25</v>
      </c>
      <c r="S125" s="22" t="str">
        <f>SUBSTITUTE(H125,",",".")</f>
        <v>2.97</v>
      </c>
      <c r="T125" s="22" t="str">
        <f>SUBSTITUTE(I125,",",".")</f>
        <v>2.63838431223697</v>
      </c>
      <c r="U125" s="22" t="str">
        <f>SUBSTITUTE(J125,",",".")</f>
        <v>4.61</v>
      </c>
    </row>
    <row r="126" spans="1:21" x14ac:dyDescent="0.25">
      <c r="A126" t="s">
        <v>31</v>
      </c>
      <c r="B126" s="1" t="s">
        <v>8</v>
      </c>
      <c r="C126">
        <v>0.60745482230633041</v>
      </c>
      <c r="D126" s="17">
        <v>23.89</v>
      </c>
      <c r="E126">
        <v>13.217666940848316</v>
      </c>
      <c r="F126">
        <v>19.077361503611325</v>
      </c>
      <c r="G126" s="17">
        <v>1.94</v>
      </c>
      <c r="H126" s="17">
        <v>3.03</v>
      </c>
      <c r="I126">
        <v>2.6997339566925609</v>
      </c>
      <c r="J126" s="17">
        <v>4.4400000000000004</v>
      </c>
      <c r="L126" s="22" t="s">
        <v>31</v>
      </c>
      <c r="M126" s="24" t="s">
        <v>8</v>
      </c>
      <c r="N126" s="22" t="str">
        <f>SUBSTITUTE(C126,",",".")</f>
        <v>0.60745482230633</v>
      </c>
      <c r="O126" s="22" t="str">
        <f>SUBSTITUTE(D126,",",".")</f>
        <v>23.89</v>
      </c>
      <c r="P126" s="22" t="str">
        <f>SUBSTITUTE(E126,",",".")</f>
        <v>13.2176669408483</v>
      </c>
      <c r="Q126" s="22" t="str">
        <f>SUBSTITUTE(F126,",",".")</f>
        <v>19.0773615036113</v>
      </c>
      <c r="R126" s="22" t="str">
        <f>SUBSTITUTE(G126,",",".")</f>
        <v>1.94</v>
      </c>
      <c r="S126" s="22" t="str">
        <f>SUBSTITUTE(H126,",",".")</f>
        <v>3.03</v>
      </c>
      <c r="T126" s="22" t="str">
        <f>SUBSTITUTE(I126,",",".")</f>
        <v>2.69973395669256</v>
      </c>
      <c r="U126" s="22" t="str">
        <f>SUBSTITUTE(J126,",",".")</f>
        <v>4.44</v>
      </c>
    </row>
    <row r="127" spans="1:21" x14ac:dyDescent="0.25">
      <c r="A127" t="s">
        <v>31</v>
      </c>
      <c r="B127" s="1" t="s">
        <v>9</v>
      </c>
      <c r="C127">
        <v>-0.70826650565016203</v>
      </c>
      <c r="D127" s="17">
        <v>23.81</v>
      </c>
      <c r="E127">
        <v>10.925396990391366</v>
      </c>
      <c r="F127">
        <v>19.083287744677264</v>
      </c>
      <c r="G127" s="17">
        <v>2.0099999999999998</v>
      </c>
      <c r="H127" s="17">
        <v>2.94</v>
      </c>
      <c r="I127">
        <v>2.5229840847585394</v>
      </c>
      <c r="J127" s="17">
        <v>4.43</v>
      </c>
      <c r="L127" s="22" t="s">
        <v>31</v>
      </c>
      <c r="M127" s="24" t="s">
        <v>9</v>
      </c>
      <c r="N127" s="22" t="str">
        <f>SUBSTITUTE(C127,",",".")</f>
        <v>-0.708266505650162</v>
      </c>
      <c r="O127" s="22" t="str">
        <f>SUBSTITUTE(D127,",",".")</f>
        <v>23.81</v>
      </c>
      <c r="P127" s="22" t="str">
        <f>SUBSTITUTE(E127,",",".")</f>
        <v>10.9253969903914</v>
      </c>
      <c r="Q127" s="22" t="str">
        <f>SUBSTITUTE(F127,",",".")</f>
        <v>19.0832877446773</v>
      </c>
      <c r="R127" s="22" t="str">
        <f>SUBSTITUTE(G127,",",".")</f>
        <v>2.01</v>
      </c>
      <c r="S127" s="22" t="str">
        <f>SUBSTITUTE(H127,",",".")</f>
        <v>2.94</v>
      </c>
      <c r="T127" s="22" t="str">
        <f>SUBSTITUTE(I127,",",".")</f>
        <v>2.52298408475854</v>
      </c>
      <c r="U127" s="22" t="str">
        <f>SUBSTITUTE(J127,",",".")</f>
        <v>4.43</v>
      </c>
    </row>
    <row r="128" spans="1:21" x14ac:dyDescent="0.25">
      <c r="A128" t="s">
        <v>31</v>
      </c>
      <c r="B128" s="1" t="s">
        <v>10</v>
      </c>
      <c r="C128">
        <v>-0.4107602530021302</v>
      </c>
      <c r="D128" s="17">
        <v>23.8</v>
      </c>
      <c r="E128">
        <v>13.772839443158094</v>
      </c>
      <c r="F128">
        <v>19.077886490241831</v>
      </c>
      <c r="G128" s="17">
        <v>2.02</v>
      </c>
      <c r="H128" s="17">
        <v>2.95</v>
      </c>
      <c r="I128">
        <v>2.6854088869513077</v>
      </c>
      <c r="J128" s="17">
        <v>4.5199999999999996</v>
      </c>
      <c r="L128" s="22" t="s">
        <v>31</v>
      </c>
      <c r="M128" s="24" t="s">
        <v>10</v>
      </c>
      <c r="N128" s="22" t="str">
        <f>SUBSTITUTE(C128,",",".")</f>
        <v>-0.41076025300213</v>
      </c>
      <c r="O128" s="22" t="str">
        <f>SUBSTITUTE(D128,",",".")</f>
        <v>23.8</v>
      </c>
      <c r="P128" s="22" t="str">
        <f>SUBSTITUTE(E128,",",".")</f>
        <v>13.7728394431581</v>
      </c>
      <c r="Q128" s="22" t="str">
        <f>SUBSTITUTE(F128,",",".")</f>
        <v>19.0778864902418</v>
      </c>
      <c r="R128" s="22" t="str">
        <f>SUBSTITUTE(G128,",",".")</f>
        <v>2.02</v>
      </c>
      <c r="S128" s="22" t="str">
        <f>SUBSTITUTE(H128,",",".")</f>
        <v>2.95</v>
      </c>
      <c r="T128" s="22" t="str">
        <f>SUBSTITUTE(I128,",",".")</f>
        <v>2.68540888695131</v>
      </c>
      <c r="U128" s="22" t="str">
        <f>SUBSTITUTE(J128,",",".")</f>
        <v>4.52</v>
      </c>
    </row>
    <row r="129" spans="1:21" x14ac:dyDescent="0.25">
      <c r="A129" t="s">
        <v>31</v>
      </c>
      <c r="B129" s="1" t="s">
        <v>11</v>
      </c>
      <c r="C129">
        <v>-2.2531279372896598</v>
      </c>
      <c r="D129" s="17">
        <v>24.07</v>
      </c>
      <c r="E129">
        <v>14.482844122375823</v>
      </c>
      <c r="F129">
        <v>19.063861896285626</v>
      </c>
      <c r="G129" s="17">
        <v>2.09</v>
      </c>
      <c r="H129" s="17">
        <v>3.02</v>
      </c>
      <c r="I129">
        <v>2.8049475403974644</v>
      </c>
      <c r="J129" s="17">
        <v>4.63</v>
      </c>
      <c r="L129" s="22" t="s">
        <v>31</v>
      </c>
      <c r="M129" s="24" t="s">
        <v>11</v>
      </c>
      <c r="N129" s="22" t="str">
        <f>SUBSTITUTE(C129,",",".")</f>
        <v>-2.25312793728966</v>
      </c>
      <c r="O129" s="22" t="str">
        <f>SUBSTITUTE(D129,",",".")</f>
        <v>24.07</v>
      </c>
      <c r="P129" s="22" t="str">
        <f>SUBSTITUTE(E129,",",".")</f>
        <v>14.4828441223758</v>
      </c>
      <c r="Q129" s="22" t="str">
        <f>SUBSTITUTE(F129,",",".")</f>
        <v>19.0638618962856</v>
      </c>
      <c r="R129" s="22" t="str">
        <f>SUBSTITUTE(G129,",",".")</f>
        <v>2.09</v>
      </c>
      <c r="S129" s="22" t="str">
        <f>SUBSTITUTE(H129,",",".")</f>
        <v>3.02</v>
      </c>
      <c r="T129" s="22" t="str">
        <f>SUBSTITUTE(I129,",",".")</f>
        <v>2.80494754039746</v>
      </c>
      <c r="U129" s="22" t="str">
        <f>SUBSTITUTE(J129,",",".")</f>
        <v>4.63</v>
      </c>
    </row>
    <row r="130" spans="1:21" x14ac:dyDescent="0.25">
      <c r="A130" t="s">
        <v>31</v>
      </c>
      <c r="B130" s="1" t="s">
        <v>12</v>
      </c>
      <c r="C130">
        <v>-0.59349158175415073</v>
      </c>
      <c r="D130" s="16">
        <v>24.48</v>
      </c>
      <c r="E130">
        <v>12.647359571793496</v>
      </c>
      <c r="F130">
        <v>19.036581575879868</v>
      </c>
      <c r="G130" s="18">
        <v>2</v>
      </c>
      <c r="H130" s="18">
        <v>2.89</v>
      </c>
      <c r="I130">
        <v>4.8625818479324856</v>
      </c>
      <c r="J130" s="18">
        <v>5.08</v>
      </c>
      <c r="L130" s="22" t="s">
        <v>31</v>
      </c>
      <c r="M130" s="24" t="s">
        <v>12</v>
      </c>
      <c r="N130" s="22" t="str">
        <f>SUBSTITUTE(C130,",",".")</f>
        <v>-0.593491581754151</v>
      </c>
      <c r="O130" s="22" t="str">
        <f>SUBSTITUTE(D130,",",".")</f>
        <v>24.48</v>
      </c>
      <c r="P130" s="22" t="str">
        <f>SUBSTITUTE(E130,",",".")</f>
        <v>12.6473595717935</v>
      </c>
      <c r="Q130" s="22" t="str">
        <f>SUBSTITUTE(F130,",",".")</f>
        <v>19.0365815758799</v>
      </c>
      <c r="R130" s="22" t="str">
        <f>SUBSTITUTE(G130,",",".")</f>
        <v>2</v>
      </c>
      <c r="S130" s="22" t="str">
        <f>SUBSTITUTE(H130,",",".")</f>
        <v>2.89</v>
      </c>
      <c r="T130" s="22" t="str">
        <f>SUBSTITUTE(I130,",",".")</f>
        <v>4.86258184793249</v>
      </c>
      <c r="U130" s="22" t="str">
        <f>SUBSTITUTE(J130,",",".")</f>
        <v>5.08</v>
      </c>
    </row>
    <row r="131" spans="1:21" x14ac:dyDescent="0.25">
      <c r="A131" t="s">
        <v>31</v>
      </c>
      <c r="B131" s="1" t="s">
        <v>13</v>
      </c>
      <c r="C131">
        <v>-7.5900004377948429</v>
      </c>
      <c r="D131" s="18">
        <v>26.7</v>
      </c>
      <c r="E131">
        <v>24.32590548842262</v>
      </c>
      <c r="F131">
        <v>19.077217823543755</v>
      </c>
      <c r="G131" s="18">
        <v>1.77</v>
      </c>
      <c r="H131" s="18">
        <v>2.9</v>
      </c>
      <c r="I131">
        <v>4.5176129674996464</v>
      </c>
      <c r="J131" s="18">
        <v>4.6100000000000003</v>
      </c>
      <c r="L131" s="22" t="s">
        <v>31</v>
      </c>
      <c r="M131" s="24" t="s">
        <v>13</v>
      </c>
      <c r="N131" s="22" t="str">
        <f>SUBSTITUTE(C131,",",".")</f>
        <v>-7.59000043779484</v>
      </c>
      <c r="O131" s="22" t="str">
        <f>SUBSTITUTE(D131,",",".")</f>
        <v>26.7</v>
      </c>
      <c r="P131" s="22" t="str">
        <f>SUBSTITUTE(E131,",",".")</f>
        <v>24.3259054884226</v>
      </c>
      <c r="Q131" s="22" t="str">
        <f>SUBSTITUTE(F131,",",".")</f>
        <v>19.0772178235438</v>
      </c>
      <c r="R131" s="22" t="str">
        <f>SUBSTITUTE(G131,",",".")</f>
        <v>1.77</v>
      </c>
      <c r="S131" s="22" t="str">
        <f>SUBSTITUTE(H131,",",".")</f>
        <v>2.9</v>
      </c>
      <c r="T131" s="22" t="str">
        <f>SUBSTITUTE(I131,",",".")</f>
        <v>4.51761296749965</v>
      </c>
      <c r="U131" s="22" t="str">
        <f>SUBSTITUTE(J131,",",".")</f>
        <v>4.61</v>
      </c>
    </row>
    <row r="132" spans="1:21" x14ac:dyDescent="0.25">
      <c r="A132" t="s">
        <v>31</v>
      </c>
      <c r="B132" s="1" t="s">
        <v>14</v>
      </c>
      <c r="C132">
        <v>-4.0537305533401629</v>
      </c>
      <c r="D132" s="18">
        <v>28.14</v>
      </c>
      <c r="E132">
        <v>24.029049855528257</v>
      </c>
      <c r="F132">
        <v>19.10487100076687</v>
      </c>
      <c r="G132" s="18">
        <v>2.06</v>
      </c>
      <c r="H132" s="18">
        <v>2.96</v>
      </c>
      <c r="I132">
        <v>4.3746564663604683</v>
      </c>
      <c r="J132" s="18">
        <v>4.4400000000000004</v>
      </c>
      <c r="L132" s="22" t="s">
        <v>31</v>
      </c>
      <c r="M132" s="24" t="s">
        <v>14</v>
      </c>
      <c r="N132" s="22" t="str">
        <f>SUBSTITUTE(C132,",",".")</f>
        <v>-4.05373055334016</v>
      </c>
      <c r="O132" s="22" t="str">
        <f>SUBSTITUTE(D132,",",".")</f>
        <v>28.14</v>
      </c>
      <c r="P132" s="22" t="str">
        <f>SUBSTITUTE(E132,",",".")</f>
        <v>24.0290498555283</v>
      </c>
      <c r="Q132" s="22" t="str">
        <f>SUBSTITUTE(F132,",",".")</f>
        <v>19.1048710007669</v>
      </c>
      <c r="R132" s="22" t="str">
        <f>SUBSTITUTE(G132,",",".")</f>
        <v>2.06</v>
      </c>
      <c r="S132" s="22" t="str">
        <f>SUBSTITUTE(H132,",",".")</f>
        <v>2.96</v>
      </c>
      <c r="T132" s="22" t="str">
        <f>SUBSTITUTE(I132,",",".")</f>
        <v>4.37465646636047</v>
      </c>
      <c r="U132" s="22" t="str">
        <f>SUBSTITUTE(J132,",",".")</f>
        <v>4.44</v>
      </c>
    </row>
    <row r="133" spans="1:21" x14ac:dyDescent="0.25">
      <c r="A133" t="s">
        <v>31</v>
      </c>
      <c r="B133" s="1" t="s">
        <v>15</v>
      </c>
      <c r="C133">
        <v>-2.7296941293707291</v>
      </c>
      <c r="D133" s="18">
        <v>29.55</v>
      </c>
      <c r="E133">
        <v>23.665640637810093</v>
      </c>
      <c r="F133">
        <v>19.120403999655341</v>
      </c>
      <c r="G133" s="18">
        <v>2.08</v>
      </c>
      <c r="H133" s="18">
        <v>2.93</v>
      </c>
      <c r="I133">
        <v>4.6527252345586083</v>
      </c>
      <c r="J133" s="18">
        <v>4.46</v>
      </c>
      <c r="L133" s="22" t="s">
        <v>31</v>
      </c>
      <c r="M133" s="24" t="s">
        <v>15</v>
      </c>
      <c r="N133" s="22" t="str">
        <f>SUBSTITUTE(C133,",",".")</f>
        <v>-2.72969412937073</v>
      </c>
      <c r="O133" s="22" t="str">
        <f>SUBSTITUTE(D133,",",".")</f>
        <v>29.55</v>
      </c>
      <c r="P133" s="22" t="str">
        <f>SUBSTITUTE(E133,",",".")</f>
        <v>23.6656406378101</v>
      </c>
      <c r="Q133" s="22" t="str">
        <f>SUBSTITUTE(F133,",",".")</f>
        <v>19.1204039996553</v>
      </c>
      <c r="R133" s="22" t="str">
        <f>SUBSTITUTE(G133,",",".")</f>
        <v>2.08</v>
      </c>
      <c r="S133" s="22" t="str">
        <f>SUBSTITUTE(H133,",",".")</f>
        <v>2.93</v>
      </c>
      <c r="T133" s="22" t="str">
        <f>SUBSTITUTE(I133,",",".")</f>
        <v>4.65272523455861</v>
      </c>
      <c r="U133" s="22" t="str">
        <f>SUBSTITUTE(J133,",",".")</f>
        <v>4.46</v>
      </c>
    </row>
    <row r="134" spans="1:21" x14ac:dyDescent="0.25">
      <c r="A134" t="s">
        <v>31</v>
      </c>
      <c r="B134" s="1" t="s">
        <v>16</v>
      </c>
      <c r="C134">
        <v>-0.98487592526406187</v>
      </c>
      <c r="D134" s="18">
        <v>28.15</v>
      </c>
      <c r="E134">
        <v>26.038908874168857</v>
      </c>
      <c r="F134">
        <v>19.067513352534331</v>
      </c>
      <c r="G134" s="18">
        <v>1.49</v>
      </c>
      <c r="H134" s="18">
        <v>3.52</v>
      </c>
      <c r="I134">
        <v>5.3221522504541268</v>
      </c>
      <c r="J134" s="18">
        <v>4.7</v>
      </c>
      <c r="L134" s="22" t="s">
        <v>31</v>
      </c>
      <c r="M134" s="24" t="s">
        <v>16</v>
      </c>
      <c r="N134" s="22" t="str">
        <f>SUBSTITUTE(C134,",",".")</f>
        <v>-0.984875925264062</v>
      </c>
      <c r="O134" s="22" t="str">
        <f>SUBSTITUTE(D134,",",".")</f>
        <v>28.15</v>
      </c>
      <c r="P134" s="22" t="str">
        <f>SUBSTITUTE(E134,",",".")</f>
        <v>26.0389088741689</v>
      </c>
      <c r="Q134" s="22" t="str">
        <f>SUBSTITUTE(F134,",",".")</f>
        <v>19.0675133525343</v>
      </c>
      <c r="R134" s="22" t="str">
        <f>SUBSTITUTE(G134,",",".")</f>
        <v>1.49</v>
      </c>
      <c r="S134" s="22" t="str">
        <f>SUBSTITUTE(H134,",",".")</f>
        <v>3.52</v>
      </c>
      <c r="T134" s="22" t="str">
        <f>SUBSTITUTE(I134,",",".")</f>
        <v>5.32215225045413</v>
      </c>
      <c r="U134" s="22" t="str">
        <f>SUBSTITUTE(J134,",",".")</f>
        <v>4.7</v>
      </c>
    </row>
    <row r="135" spans="1:21" x14ac:dyDescent="0.25">
      <c r="A135" t="s">
        <v>31</v>
      </c>
      <c r="B135" s="1" t="s">
        <v>17</v>
      </c>
      <c r="C135">
        <v>-1.4024743224602554</v>
      </c>
      <c r="D135" s="18">
        <v>28.83</v>
      </c>
      <c r="E135">
        <v>29.104995569630042</v>
      </c>
      <c r="F135">
        <v>19.062314484841934</v>
      </c>
      <c r="G135" s="18">
        <v>1.78</v>
      </c>
      <c r="H135" s="18">
        <v>3.18</v>
      </c>
      <c r="I135">
        <v>5.5995021519291504</v>
      </c>
      <c r="J135" s="18">
        <v>4.8499999999999996</v>
      </c>
      <c r="L135" s="22" t="s">
        <v>31</v>
      </c>
      <c r="M135" s="24" t="s">
        <v>17</v>
      </c>
      <c r="N135" s="22" t="str">
        <f>SUBSTITUTE(C135,",",".")</f>
        <v>-1.40247432246026</v>
      </c>
      <c r="O135" s="22" t="str">
        <f>SUBSTITUTE(D135,",",".")</f>
        <v>28.83</v>
      </c>
      <c r="P135" s="22" t="str">
        <f>SUBSTITUTE(E135,",",".")</f>
        <v>29.10499556963</v>
      </c>
      <c r="Q135" s="22" t="str">
        <f>SUBSTITUTE(F135,",",".")</f>
        <v>19.0623144848419</v>
      </c>
      <c r="R135" s="22" t="str">
        <f>SUBSTITUTE(G135,",",".")</f>
        <v>1.78</v>
      </c>
      <c r="S135" s="22" t="str">
        <f>SUBSTITUTE(H135,",",".")</f>
        <v>3.18</v>
      </c>
      <c r="T135" s="22" t="str">
        <f>SUBSTITUTE(I135,",",".")</f>
        <v>5.59950215192915</v>
      </c>
      <c r="U135" s="22" t="str">
        <f>SUBSTITUTE(J135,",",".")</f>
        <v>4.85</v>
      </c>
    </row>
    <row r="136" spans="1:21" x14ac:dyDescent="0.25">
      <c r="A136" t="s">
        <v>31</v>
      </c>
      <c r="B136" s="1" t="s">
        <v>18</v>
      </c>
      <c r="C136">
        <v>-1.3008904132034742</v>
      </c>
      <c r="D136" s="18">
        <v>29.75</v>
      </c>
      <c r="E136">
        <v>20.433577420622775</v>
      </c>
      <c r="F136">
        <v>19.034776638134893</v>
      </c>
      <c r="G136" s="18">
        <v>1.97</v>
      </c>
      <c r="H136" s="18">
        <v>3.42</v>
      </c>
      <c r="I136">
        <v>5.3174716868116656</v>
      </c>
      <c r="J136" s="18">
        <v>4.88</v>
      </c>
      <c r="L136" s="22" t="s">
        <v>31</v>
      </c>
      <c r="M136" s="24" t="s">
        <v>18</v>
      </c>
      <c r="N136" s="22" t="str">
        <f>SUBSTITUTE(C136,",",".")</f>
        <v>-1.30089041320347</v>
      </c>
      <c r="O136" s="22" t="str">
        <f>SUBSTITUTE(D136,",",".")</f>
        <v>29.75</v>
      </c>
      <c r="P136" s="22" t="str">
        <f>SUBSTITUTE(E136,",",".")</f>
        <v>20.4335774206228</v>
      </c>
      <c r="Q136" s="22" t="str">
        <f>SUBSTITUTE(F136,",",".")</f>
        <v>19.0347766381349</v>
      </c>
      <c r="R136" s="22" t="str">
        <f>SUBSTITUTE(G136,",",".")</f>
        <v>1.97</v>
      </c>
      <c r="S136" s="22" t="str">
        <f>SUBSTITUTE(H136,",",".")</f>
        <v>3.42</v>
      </c>
      <c r="T136" s="22" t="str">
        <f>SUBSTITUTE(I136,",",".")</f>
        <v>5.31747168681167</v>
      </c>
      <c r="U136" s="22" t="str">
        <f>SUBSTITUTE(J136,",",".")</f>
        <v>4.88</v>
      </c>
    </row>
    <row r="137" spans="1:21" x14ac:dyDescent="0.25">
      <c r="A137" t="s">
        <v>31</v>
      </c>
      <c r="B137" s="1" t="s">
        <v>19</v>
      </c>
      <c r="C137">
        <v>1.6744991824189153</v>
      </c>
      <c r="D137" s="18">
        <v>29.66</v>
      </c>
      <c r="E137">
        <v>20.866826443776958</v>
      </c>
      <c r="F137">
        <v>19.066042654018062</v>
      </c>
      <c r="G137" s="18">
        <v>1.73</v>
      </c>
      <c r="H137" s="18">
        <v>3.73</v>
      </c>
      <c r="I137">
        <v>4.9891407676368873</v>
      </c>
      <c r="J137" s="18">
        <v>4.88</v>
      </c>
      <c r="L137" s="22" t="s">
        <v>31</v>
      </c>
      <c r="M137" s="24" t="s">
        <v>19</v>
      </c>
      <c r="N137" s="22" t="str">
        <f>SUBSTITUTE(C137,",",".")</f>
        <v>1.67449918241892</v>
      </c>
      <c r="O137" s="22" t="str">
        <f>SUBSTITUTE(D137,",",".")</f>
        <v>29.66</v>
      </c>
      <c r="P137" s="22" t="str">
        <f>SUBSTITUTE(E137,",",".")</f>
        <v>20.866826443777</v>
      </c>
      <c r="Q137" s="22" t="str">
        <f>SUBSTITUTE(F137,",",".")</f>
        <v>19.0660426540181</v>
      </c>
      <c r="R137" s="22" t="str">
        <f>SUBSTITUTE(G137,",",".")</f>
        <v>1.73</v>
      </c>
      <c r="S137" s="22" t="str">
        <f>SUBSTITUTE(H137,",",".")</f>
        <v>3.73</v>
      </c>
      <c r="T137" s="22" t="str">
        <f>SUBSTITUTE(I137,",",".")</f>
        <v>4.98914076763689</v>
      </c>
      <c r="U137" s="22" t="str">
        <f>SUBSTITUTE(J137,",",".")</f>
        <v>4.88</v>
      </c>
    </row>
    <row r="138" spans="1:21" x14ac:dyDescent="0.25">
      <c r="A138" t="s">
        <v>31</v>
      </c>
      <c r="B138" s="1" t="s">
        <v>20</v>
      </c>
      <c r="C138">
        <v>-1.4056682239173202</v>
      </c>
      <c r="D138" s="18" t="s">
        <v>299</v>
      </c>
      <c r="E138">
        <v>21.916264572045673</v>
      </c>
      <c r="F138">
        <v>19.065771470112026</v>
      </c>
      <c r="G138" s="18" t="s">
        <v>302</v>
      </c>
      <c r="H138" s="18" t="s">
        <v>301</v>
      </c>
      <c r="I138">
        <v>4.8627888660368788</v>
      </c>
      <c r="J138" s="18" t="s">
        <v>300</v>
      </c>
      <c r="L138" s="22" t="s">
        <v>31</v>
      </c>
      <c r="M138" s="24" t="s">
        <v>20</v>
      </c>
      <c r="N138" s="22" t="str">
        <f>SUBSTITUTE(C138,",",".")</f>
        <v>-1.40566822391732</v>
      </c>
      <c r="O138" s="22" t="str">
        <f>SUBSTITUTE(D138,",",".")</f>
        <v>28.52</v>
      </c>
      <c r="P138" s="22" t="str">
        <f>SUBSTITUTE(E138,",",".")</f>
        <v>21.9162645720457</v>
      </c>
      <c r="Q138" s="22" t="str">
        <f>SUBSTITUTE(F138,",",".")</f>
        <v>19.065771470112</v>
      </c>
      <c r="R138" s="22" t="str">
        <f>SUBSTITUTE(G138,",",".")</f>
        <v>1.68</v>
      </c>
      <c r="S138" s="22" t="str">
        <f>SUBSTITUTE(H138,",",".")</f>
        <v>3.31</v>
      </c>
      <c r="T138" s="22" t="str">
        <f>SUBSTITUTE(I138,",",".")</f>
        <v>4.86278886603688</v>
      </c>
      <c r="U138" s="22" t="str">
        <f>SUBSTITUTE(J138,",",".")</f>
        <v>5.18</v>
      </c>
    </row>
    <row r="139" spans="1:21" x14ac:dyDescent="0.25">
      <c r="A139" t="s">
        <v>31</v>
      </c>
      <c r="B139" s="1" t="s">
        <v>21</v>
      </c>
      <c r="C139">
        <v>6.1146049610256537</v>
      </c>
      <c r="D139" s="18" t="s">
        <v>306</v>
      </c>
      <c r="E139">
        <v>24.575661314202598</v>
      </c>
      <c r="F139">
        <v>19.026841603572411</v>
      </c>
      <c r="G139" s="18" t="s">
        <v>309</v>
      </c>
      <c r="H139" s="18" t="s">
        <v>308</v>
      </c>
      <c r="I139">
        <v>4.811091344966937</v>
      </c>
      <c r="J139" s="18" t="s">
        <v>307</v>
      </c>
      <c r="L139" s="22" t="s">
        <v>31</v>
      </c>
      <c r="M139" s="24" t="s">
        <v>21</v>
      </c>
      <c r="N139" s="22" t="str">
        <f>SUBSTITUTE(C139,",",".")</f>
        <v>6.11460496102565</v>
      </c>
      <c r="O139" s="22" t="str">
        <f>SUBSTITUTE(D139,",",".")</f>
        <v>27.49</v>
      </c>
      <c r="P139" s="22" t="str">
        <f>SUBSTITUTE(E139,",",".")</f>
        <v>24.5756613142026</v>
      </c>
      <c r="Q139" s="22" t="str">
        <f>SUBSTITUTE(F139,",",".")</f>
        <v>19.0268416035724</v>
      </c>
      <c r="R139" s="22" t="str">
        <f>SUBSTITUTE(G139,",",".")</f>
        <v>1.98</v>
      </c>
      <c r="S139" s="22" t="str">
        <f>SUBSTITUTE(H139,",",".")</f>
        <v>3.37</v>
      </c>
      <c r="T139" s="22" t="str">
        <f>SUBSTITUTE(I139,",",".")</f>
        <v>4.81109134496694</v>
      </c>
      <c r="U139" s="22" t="str">
        <f>SUBSTITUTE(J139,",",".")</f>
        <v>5.22</v>
      </c>
    </row>
    <row r="140" spans="1:21" x14ac:dyDescent="0.25">
      <c r="A140" t="s">
        <v>31</v>
      </c>
      <c r="B140" s="1" t="s">
        <v>22</v>
      </c>
      <c r="C140">
        <v>-1.4559333128276659</v>
      </c>
      <c r="D140" s="18" t="s">
        <v>313</v>
      </c>
      <c r="E140">
        <v>24.033374250947169</v>
      </c>
      <c r="F140">
        <v>19.014436679478152</v>
      </c>
      <c r="G140" s="18" t="s">
        <v>316</v>
      </c>
      <c r="H140" s="18" t="s">
        <v>315</v>
      </c>
      <c r="I140">
        <v>4.8756372489558411</v>
      </c>
      <c r="J140" s="18" t="s">
        <v>314</v>
      </c>
      <c r="L140" s="22" t="s">
        <v>31</v>
      </c>
      <c r="M140" s="24" t="s">
        <v>22</v>
      </c>
      <c r="N140" s="22" t="str">
        <f>SUBSTITUTE(C140,",",".")</f>
        <v>-1.45593331282767</v>
      </c>
      <c r="O140" s="22" t="str">
        <f>SUBSTITUTE(D140,",",".")</f>
        <v>28.30</v>
      </c>
      <c r="P140" s="22" t="str">
        <f>SUBSTITUTE(E140,",",".")</f>
        <v>24.0333742509472</v>
      </c>
      <c r="Q140" s="22" t="str">
        <f>SUBSTITUTE(F140,",",".")</f>
        <v>19.0144366794782</v>
      </c>
      <c r="R140" s="22" t="str">
        <f>SUBSTITUTE(G140,",",".")</f>
        <v>2.06</v>
      </c>
      <c r="S140" s="22" t="str">
        <f>SUBSTITUTE(H140,",",".")</f>
        <v>3.55</v>
      </c>
      <c r="T140" s="22" t="str">
        <f>SUBSTITUTE(I140,",",".")</f>
        <v>4.87563724895584</v>
      </c>
      <c r="U140" s="22" t="str">
        <f>SUBSTITUTE(J140,",",".")</f>
        <v>5.27</v>
      </c>
    </row>
    <row r="141" spans="1:21" x14ac:dyDescent="0.25">
      <c r="A141" t="s">
        <v>31</v>
      </c>
      <c r="B141" s="1" t="s">
        <v>23</v>
      </c>
      <c r="C141">
        <v>4.8424544874906319</v>
      </c>
      <c r="D141" s="19">
        <v>29.81</v>
      </c>
      <c r="E141">
        <v>21.104014278336301</v>
      </c>
      <c r="F141">
        <v>19.081560134073367</v>
      </c>
      <c r="G141" s="19">
        <v>1.83</v>
      </c>
      <c r="H141" s="19">
        <v>3.58</v>
      </c>
      <c r="I141">
        <v>5.2913668159240528</v>
      </c>
      <c r="J141" s="19">
        <v>5.2</v>
      </c>
      <c r="L141" s="22" t="s">
        <v>31</v>
      </c>
      <c r="M141" s="24" t="s">
        <v>23</v>
      </c>
      <c r="N141" s="22" t="str">
        <f>SUBSTITUTE(C141,",",".")</f>
        <v>4.84245448749063</v>
      </c>
      <c r="O141" s="22" t="str">
        <f>SUBSTITUTE(D141,",",".")</f>
        <v>29.81</v>
      </c>
      <c r="P141" s="22" t="str">
        <f>SUBSTITUTE(E141,",",".")</f>
        <v>21.1040142783363</v>
      </c>
      <c r="Q141" s="22" t="str">
        <f>SUBSTITUTE(F141,",",".")</f>
        <v>19.0815601340734</v>
      </c>
      <c r="R141" s="22" t="str">
        <f>SUBSTITUTE(G141,",",".")</f>
        <v>1.83</v>
      </c>
      <c r="S141" s="22" t="str">
        <f>SUBSTITUTE(H141,",",".")</f>
        <v>3.58</v>
      </c>
      <c r="T141" s="22" t="str">
        <f>SUBSTITUTE(I141,",",".")</f>
        <v>5.29136681592405</v>
      </c>
      <c r="U141" s="22" t="str">
        <f>SUBSTITUTE(J141,",",".")</f>
        <v>5.2</v>
      </c>
    </row>
    <row r="142" spans="1:21" x14ac:dyDescent="0.25">
      <c r="A142" t="s">
        <v>34</v>
      </c>
      <c r="B142" s="1" t="s">
        <v>4</v>
      </c>
      <c r="C142">
        <v>4.1556316746034314</v>
      </c>
      <c r="D142" s="17">
        <v>17.010000000000002</v>
      </c>
      <c r="E142">
        <v>26.063680427138237</v>
      </c>
      <c r="F142">
        <v>18.900352758367728</v>
      </c>
      <c r="G142" s="17">
        <v>2.1800000000000002</v>
      </c>
      <c r="H142" s="17">
        <v>1.72</v>
      </c>
      <c r="I142">
        <v>3.9180297712578929</v>
      </c>
      <c r="J142" s="17">
        <v>4.24</v>
      </c>
      <c r="L142" s="22" t="s">
        <v>34</v>
      </c>
      <c r="M142" s="24" t="s">
        <v>4</v>
      </c>
      <c r="N142" s="22" t="str">
        <f>SUBSTITUTE(C142,",",".")</f>
        <v>4.15563167460343</v>
      </c>
      <c r="O142" s="22" t="str">
        <f>SUBSTITUTE(D142,",",".")</f>
        <v>17.01</v>
      </c>
      <c r="P142" s="22" t="str">
        <f>SUBSTITUTE(E142,",",".")</f>
        <v>26.0636804271382</v>
      </c>
      <c r="Q142" s="22" t="str">
        <f>SUBSTITUTE(F142,",",".")</f>
        <v>18.9003527583677</v>
      </c>
      <c r="R142" s="22" t="str">
        <f>SUBSTITUTE(G142,",",".")</f>
        <v>2.18</v>
      </c>
      <c r="S142" s="22" t="str">
        <f>SUBSTITUTE(H142,",",".")</f>
        <v>1.72</v>
      </c>
      <c r="T142" s="22" t="str">
        <f>SUBSTITUTE(I142,",",".")</f>
        <v>3.91802977125789</v>
      </c>
      <c r="U142" s="22" t="str">
        <f>SUBSTITUTE(J142,",",".")</f>
        <v>4.24</v>
      </c>
    </row>
    <row r="143" spans="1:21" x14ac:dyDescent="0.25">
      <c r="A143" t="s">
        <v>34</v>
      </c>
      <c r="B143" s="1" t="s">
        <v>5</v>
      </c>
      <c r="C143">
        <v>5.5745531885633337</v>
      </c>
      <c r="D143" s="17">
        <v>16.739999999999998</v>
      </c>
      <c r="E143">
        <v>25.760985332334535</v>
      </c>
      <c r="F143">
        <v>18.953081581877296</v>
      </c>
      <c r="G143" s="17">
        <v>2.14</v>
      </c>
      <c r="H143" s="17">
        <v>1.77</v>
      </c>
      <c r="I143">
        <v>3.7531956507425406</v>
      </c>
      <c r="J143" s="17">
        <v>4.1500000000000004</v>
      </c>
      <c r="L143" s="22" t="s">
        <v>34</v>
      </c>
      <c r="M143" s="24" t="s">
        <v>5</v>
      </c>
      <c r="N143" s="22" t="str">
        <f>SUBSTITUTE(C143,",",".")</f>
        <v>5.57455318856333</v>
      </c>
      <c r="O143" s="22" t="str">
        <f>SUBSTITUTE(D143,",",".")</f>
        <v>16.74</v>
      </c>
      <c r="P143" s="22" t="str">
        <f>SUBSTITUTE(E143,",",".")</f>
        <v>25.7609853323345</v>
      </c>
      <c r="Q143" s="22" t="str">
        <f>SUBSTITUTE(F143,",",".")</f>
        <v>18.9530815818773</v>
      </c>
      <c r="R143" s="22" t="str">
        <f>SUBSTITUTE(G143,",",".")</f>
        <v>2.14</v>
      </c>
      <c r="S143" s="22" t="str">
        <f>SUBSTITUTE(H143,",",".")</f>
        <v>1.77</v>
      </c>
      <c r="T143" s="22" t="str">
        <f>SUBSTITUTE(I143,",",".")</f>
        <v>3.75319565074254</v>
      </c>
      <c r="U143" s="22" t="str">
        <f>SUBSTITUTE(J143,",",".")</f>
        <v>4.15</v>
      </c>
    </row>
    <row r="144" spans="1:21" x14ac:dyDescent="0.25">
      <c r="A144" t="s">
        <v>34</v>
      </c>
      <c r="B144" s="1" t="s">
        <v>6</v>
      </c>
      <c r="C144">
        <v>2.5652913827905763</v>
      </c>
      <c r="D144" s="17">
        <v>17.03</v>
      </c>
      <c r="E144">
        <v>21.60538624592472</v>
      </c>
      <c r="F144">
        <v>18.915344912103386</v>
      </c>
      <c r="G144" s="17">
        <v>2.1800000000000002</v>
      </c>
      <c r="H144" s="17">
        <v>1.75</v>
      </c>
      <c r="I144">
        <v>3.8627853934954159</v>
      </c>
      <c r="J144" s="17">
        <v>4.1900000000000004</v>
      </c>
      <c r="L144" s="22" t="s">
        <v>34</v>
      </c>
      <c r="M144" s="24" t="s">
        <v>6</v>
      </c>
      <c r="N144" s="22" t="str">
        <f>SUBSTITUTE(C144,",",".")</f>
        <v>2.56529138279058</v>
      </c>
      <c r="O144" s="22" t="str">
        <f>SUBSTITUTE(D144,",",".")</f>
        <v>17.03</v>
      </c>
      <c r="P144" s="22" t="str">
        <f>SUBSTITUTE(E144,",",".")</f>
        <v>21.6053862459247</v>
      </c>
      <c r="Q144" s="22" t="str">
        <f>SUBSTITUTE(F144,",",".")</f>
        <v>18.9153449121034</v>
      </c>
      <c r="R144" s="22" t="str">
        <f>SUBSTITUTE(G144,",",".")</f>
        <v>2.18</v>
      </c>
      <c r="S144" s="22" t="str">
        <f>SUBSTITUTE(H144,",",".")</f>
        <v>1.75</v>
      </c>
      <c r="T144" s="22" t="str">
        <f>SUBSTITUTE(I144,",",".")</f>
        <v>3.86278539349542</v>
      </c>
      <c r="U144" s="22" t="str">
        <f>SUBSTITUTE(J144,",",".")</f>
        <v>4.19</v>
      </c>
    </row>
    <row r="145" spans="1:21" x14ac:dyDescent="0.25">
      <c r="A145" t="s">
        <v>34</v>
      </c>
      <c r="B145" s="1" t="s">
        <v>7</v>
      </c>
      <c r="C145">
        <v>-1.7699690631196192</v>
      </c>
      <c r="D145" s="17">
        <v>17.63</v>
      </c>
      <c r="E145">
        <v>26.872093744444658</v>
      </c>
      <c r="F145">
        <v>18.97216581846909</v>
      </c>
      <c r="G145" s="17">
        <v>2.1</v>
      </c>
      <c r="H145" s="17">
        <v>1.73</v>
      </c>
      <c r="I145">
        <v>3.6998198903397705</v>
      </c>
      <c r="J145" s="17">
        <v>4.1500000000000004</v>
      </c>
      <c r="L145" s="22" t="s">
        <v>34</v>
      </c>
      <c r="M145" s="24" t="s">
        <v>7</v>
      </c>
      <c r="N145" s="22" t="str">
        <f>SUBSTITUTE(C145,",",".")</f>
        <v>-1.76996906311962</v>
      </c>
      <c r="O145" s="22" t="str">
        <f>SUBSTITUTE(D145,",",".")</f>
        <v>17.63</v>
      </c>
      <c r="P145" s="22" t="str">
        <f>SUBSTITUTE(E145,",",".")</f>
        <v>26.8720937444447</v>
      </c>
      <c r="Q145" s="22" t="str">
        <f>SUBSTITUTE(F145,",",".")</f>
        <v>18.9721658184691</v>
      </c>
      <c r="R145" s="22" t="str">
        <f>SUBSTITUTE(G145,",",".")</f>
        <v>2.1</v>
      </c>
      <c r="S145" s="22" t="str">
        <f>SUBSTITUTE(H145,",",".")</f>
        <v>1.73</v>
      </c>
      <c r="T145" s="22" t="str">
        <f>SUBSTITUTE(I145,",",".")</f>
        <v>3.69981989033977</v>
      </c>
      <c r="U145" s="22" t="str">
        <f>SUBSTITUTE(J145,",",".")</f>
        <v>4.15</v>
      </c>
    </row>
    <row r="146" spans="1:21" x14ac:dyDescent="0.25">
      <c r="A146" t="s">
        <v>34</v>
      </c>
      <c r="B146" s="1" t="s">
        <v>8</v>
      </c>
      <c r="C146">
        <v>-0.28220876599092443</v>
      </c>
      <c r="D146" s="17">
        <v>17.739999999999998</v>
      </c>
      <c r="E146">
        <v>26.748164119499496</v>
      </c>
      <c r="F146">
        <v>18.994644443690206</v>
      </c>
      <c r="G146" s="17">
        <v>2.29</v>
      </c>
      <c r="H146" s="17">
        <v>1.85</v>
      </c>
      <c r="I146">
        <v>3.7621538996491504</v>
      </c>
      <c r="J146" s="17">
        <v>3.89</v>
      </c>
      <c r="L146" s="22" t="s">
        <v>34</v>
      </c>
      <c r="M146" s="24" t="s">
        <v>8</v>
      </c>
      <c r="N146" s="22" t="str">
        <f>SUBSTITUTE(C146,",",".")</f>
        <v>-0.282208765990924</v>
      </c>
      <c r="O146" s="22" t="str">
        <f>SUBSTITUTE(D146,",",".")</f>
        <v>17.74</v>
      </c>
      <c r="P146" s="22" t="str">
        <f>SUBSTITUTE(E146,",",".")</f>
        <v>26.7481641194995</v>
      </c>
      <c r="Q146" s="22" t="str">
        <f>SUBSTITUTE(F146,",",".")</f>
        <v>18.9946444436902</v>
      </c>
      <c r="R146" s="22" t="str">
        <f>SUBSTITUTE(G146,",",".")</f>
        <v>2.29</v>
      </c>
      <c r="S146" s="22" t="str">
        <f>SUBSTITUTE(H146,",",".")</f>
        <v>1.85</v>
      </c>
      <c r="T146" s="22" t="str">
        <f>SUBSTITUTE(I146,",",".")</f>
        <v>3.76215389964915</v>
      </c>
      <c r="U146" s="22" t="str">
        <f>SUBSTITUTE(J146,",",".")</f>
        <v>3.89</v>
      </c>
    </row>
    <row r="147" spans="1:21" x14ac:dyDescent="0.25">
      <c r="A147" t="s">
        <v>34</v>
      </c>
      <c r="B147" s="1" t="s">
        <v>9</v>
      </c>
      <c r="C147">
        <v>1.5009813829147767</v>
      </c>
      <c r="D147" s="17">
        <v>18.54</v>
      </c>
      <c r="E147">
        <v>25.360870563062221</v>
      </c>
      <c r="F147">
        <v>18.997544560036761</v>
      </c>
      <c r="G147" s="17">
        <v>2.33</v>
      </c>
      <c r="H147" s="17">
        <v>1.82</v>
      </c>
      <c r="I147">
        <v>3.7982019034363956</v>
      </c>
      <c r="J147" s="17">
        <v>4</v>
      </c>
      <c r="L147" s="22" t="s">
        <v>34</v>
      </c>
      <c r="M147" s="24" t="s">
        <v>9</v>
      </c>
      <c r="N147" s="22" t="str">
        <f>SUBSTITUTE(C147,",",".")</f>
        <v>1.50098138291478</v>
      </c>
      <c r="O147" s="22" t="str">
        <f>SUBSTITUTE(D147,",",".")</f>
        <v>18.54</v>
      </c>
      <c r="P147" s="22" t="str">
        <f>SUBSTITUTE(E147,",",".")</f>
        <v>25.3608705630622</v>
      </c>
      <c r="Q147" s="22" t="str">
        <f>SUBSTITUTE(F147,",",".")</f>
        <v>18.9975445600368</v>
      </c>
      <c r="R147" s="22" t="str">
        <f>SUBSTITUTE(G147,",",".")</f>
        <v>2.33</v>
      </c>
      <c r="S147" s="22" t="str">
        <f>SUBSTITUTE(H147,",",".")</f>
        <v>1.82</v>
      </c>
      <c r="T147" s="22" t="str">
        <f>SUBSTITUTE(I147,",",".")</f>
        <v>3.7982019034364</v>
      </c>
      <c r="U147" s="22" t="str">
        <f>SUBSTITUTE(J147,",",".")</f>
        <v>4</v>
      </c>
    </row>
    <row r="148" spans="1:21" x14ac:dyDescent="0.25">
      <c r="A148" t="s">
        <v>34</v>
      </c>
      <c r="B148" s="1" t="s">
        <v>10</v>
      </c>
      <c r="C148">
        <v>0.60486084164775089</v>
      </c>
      <c r="D148" s="17">
        <v>18.61</v>
      </c>
      <c r="E148">
        <v>26.539745113553227</v>
      </c>
      <c r="F148">
        <v>18.982860476456676</v>
      </c>
      <c r="G148" s="17">
        <v>2.2400000000000002</v>
      </c>
      <c r="H148" s="17">
        <v>1.84</v>
      </c>
      <c r="I148">
        <v>3.9666935289005676</v>
      </c>
      <c r="J148" s="17">
        <v>3.92</v>
      </c>
      <c r="L148" s="22" t="s">
        <v>34</v>
      </c>
      <c r="M148" s="24" t="s">
        <v>10</v>
      </c>
      <c r="N148" s="22" t="str">
        <f>SUBSTITUTE(C148,",",".")</f>
        <v>0.604860841647751</v>
      </c>
      <c r="O148" s="22" t="str">
        <f>SUBSTITUTE(D148,",",".")</f>
        <v>18.61</v>
      </c>
      <c r="P148" s="22" t="str">
        <f>SUBSTITUTE(E148,",",".")</f>
        <v>26.5397451135532</v>
      </c>
      <c r="Q148" s="22" t="str">
        <f>SUBSTITUTE(F148,",",".")</f>
        <v>18.9828604764567</v>
      </c>
      <c r="R148" s="22" t="str">
        <f>SUBSTITUTE(G148,",",".")</f>
        <v>2.24</v>
      </c>
      <c r="S148" s="22" t="str">
        <f>SUBSTITUTE(H148,",",".")</f>
        <v>1.84</v>
      </c>
      <c r="T148" s="22" t="str">
        <f>SUBSTITUTE(I148,",",".")</f>
        <v>3.96669352890057</v>
      </c>
      <c r="U148" s="22" t="str">
        <f>SUBSTITUTE(J148,",",".")</f>
        <v>3.92</v>
      </c>
    </row>
    <row r="149" spans="1:21" x14ac:dyDescent="0.25">
      <c r="A149" t="s">
        <v>34</v>
      </c>
      <c r="B149" s="1" t="s">
        <v>11</v>
      </c>
      <c r="C149">
        <v>-0.75439287191452076</v>
      </c>
      <c r="D149" s="17">
        <v>19.100000000000001</v>
      </c>
      <c r="E149">
        <v>28.523634794287879</v>
      </c>
      <c r="F149">
        <v>19.012953182710142</v>
      </c>
      <c r="G149" s="17">
        <v>2.2200000000000002</v>
      </c>
      <c r="H149" s="17">
        <v>1.72</v>
      </c>
      <c r="I149">
        <v>3.8849697445008684</v>
      </c>
      <c r="J149" s="17">
        <v>3.95</v>
      </c>
      <c r="L149" s="22" t="s">
        <v>34</v>
      </c>
      <c r="M149" s="24" t="s">
        <v>11</v>
      </c>
      <c r="N149" s="22" t="str">
        <f>SUBSTITUTE(C149,",",".")</f>
        <v>-0.754392871914521</v>
      </c>
      <c r="O149" s="22" t="str">
        <f>SUBSTITUTE(D149,",",".")</f>
        <v>19.1</v>
      </c>
      <c r="P149" s="22" t="str">
        <f>SUBSTITUTE(E149,",",".")</f>
        <v>28.5236347942879</v>
      </c>
      <c r="Q149" s="22" t="str">
        <f>SUBSTITUTE(F149,",",".")</f>
        <v>19.0129531827101</v>
      </c>
      <c r="R149" s="22" t="str">
        <f>SUBSTITUTE(G149,",",".")</f>
        <v>2.22</v>
      </c>
      <c r="S149" s="22" t="str">
        <f>SUBSTITUTE(H149,",",".")</f>
        <v>1.72</v>
      </c>
      <c r="T149" s="22" t="str">
        <f>SUBSTITUTE(I149,",",".")</f>
        <v>3.88496974450087</v>
      </c>
      <c r="U149" s="22" t="str">
        <f>SUBSTITUTE(J149,",",".")</f>
        <v>3.95</v>
      </c>
    </row>
    <row r="150" spans="1:21" x14ac:dyDescent="0.25">
      <c r="A150" t="s">
        <v>34</v>
      </c>
      <c r="B150" s="1" t="s">
        <v>12</v>
      </c>
      <c r="C150">
        <v>4.0718155329797714</v>
      </c>
      <c r="D150" s="17">
        <v>18.71</v>
      </c>
      <c r="E150">
        <v>22.432897721625398</v>
      </c>
      <c r="F150">
        <v>19.070620806595318</v>
      </c>
      <c r="G150" s="17">
        <v>2.42</v>
      </c>
      <c r="H150" s="17">
        <v>1.8</v>
      </c>
      <c r="I150">
        <v>3.6960029327536108</v>
      </c>
      <c r="J150" s="17">
        <v>3.89</v>
      </c>
      <c r="L150" s="22" t="s">
        <v>34</v>
      </c>
      <c r="M150" s="24" t="s">
        <v>12</v>
      </c>
      <c r="N150" s="22" t="str">
        <f>SUBSTITUTE(C150,",",".")</f>
        <v>4.07181553297977</v>
      </c>
      <c r="O150" s="22" t="str">
        <f>SUBSTITUTE(D150,",",".")</f>
        <v>18.71</v>
      </c>
      <c r="P150" s="22" t="str">
        <f>SUBSTITUTE(E150,",",".")</f>
        <v>22.4328977216254</v>
      </c>
      <c r="Q150" s="22" t="str">
        <f>SUBSTITUTE(F150,",",".")</f>
        <v>19.0706208065953</v>
      </c>
      <c r="R150" s="22" t="str">
        <f>SUBSTITUTE(G150,",",".")</f>
        <v>2.42</v>
      </c>
      <c r="S150" s="22" t="str">
        <f>SUBSTITUTE(H150,",",".")</f>
        <v>1.8</v>
      </c>
      <c r="T150" s="22" t="str">
        <f>SUBSTITUTE(I150,",",".")</f>
        <v>3.69600293275361</v>
      </c>
      <c r="U150" s="22" t="str">
        <f>SUBSTITUTE(J150,",",".")</f>
        <v>3.89</v>
      </c>
    </row>
    <row r="151" spans="1:21" x14ac:dyDescent="0.25">
      <c r="A151" t="s">
        <v>34</v>
      </c>
      <c r="B151" s="1" t="s">
        <v>13</v>
      </c>
      <c r="C151">
        <v>-5.1230397782566683</v>
      </c>
      <c r="D151" s="17">
        <v>20.64</v>
      </c>
      <c r="E151">
        <v>28.358692955065003</v>
      </c>
      <c r="F151">
        <v>19.020703606969448</v>
      </c>
      <c r="G151" s="17">
        <v>2.29</v>
      </c>
      <c r="H151" s="17">
        <v>1.82</v>
      </c>
      <c r="I151">
        <v>3.9945696920813387</v>
      </c>
      <c r="J151" s="17">
        <v>3.99</v>
      </c>
      <c r="L151" s="22" t="s">
        <v>34</v>
      </c>
      <c r="M151" s="24" t="s">
        <v>13</v>
      </c>
      <c r="N151" s="22" t="str">
        <f>SUBSTITUTE(C151,",",".")</f>
        <v>-5.12303977825667</v>
      </c>
      <c r="O151" s="22" t="str">
        <f>SUBSTITUTE(D151,",",".")</f>
        <v>20.64</v>
      </c>
      <c r="P151" s="22" t="str">
        <f>SUBSTITUTE(E151,",",".")</f>
        <v>28.358692955065</v>
      </c>
      <c r="Q151" s="22" t="str">
        <f>SUBSTITUTE(F151,",",".")</f>
        <v>19.0207036069694</v>
      </c>
      <c r="R151" s="22" t="str">
        <f>SUBSTITUTE(G151,",",".")</f>
        <v>2.29</v>
      </c>
      <c r="S151" s="22" t="str">
        <f>SUBSTITUTE(H151,",",".")</f>
        <v>1.82</v>
      </c>
      <c r="T151" s="22" t="str">
        <f>SUBSTITUTE(I151,",",".")</f>
        <v>3.99456969208134</v>
      </c>
      <c r="U151" s="22" t="str">
        <f>SUBSTITUTE(J151,",",".")</f>
        <v>3.99</v>
      </c>
    </row>
    <row r="152" spans="1:21" x14ac:dyDescent="0.25">
      <c r="A152" t="s">
        <v>34</v>
      </c>
      <c r="B152" s="1" t="s">
        <v>14</v>
      </c>
      <c r="C152">
        <v>1.2125521921425391</v>
      </c>
      <c r="D152" s="17">
        <v>20.92</v>
      </c>
      <c r="E152">
        <v>27.511575297768299</v>
      </c>
      <c r="F152">
        <v>19.103635139119415</v>
      </c>
      <c r="G152" s="17">
        <v>1.86</v>
      </c>
      <c r="H152" s="17">
        <v>1.81</v>
      </c>
      <c r="I152">
        <v>4.6464584040960082</v>
      </c>
      <c r="J152" s="17">
        <v>3.86</v>
      </c>
      <c r="L152" s="22" t="s">
        <v>34</v>
      </c>
      <c r="M152" s="24" t="s">
        <v>14</v>
      </c>
      <c r="N152" s="22" t="str">
        <f>SUBSTITUTE(C152,",",".")</f>
        <v>1.21255219214254</v>
      </c>
      <c r="O152" s="22" t="str">
        <f>SUBSTITUTE(D152,",",".")</f>
        <v>20.92</v>
      </c>
      <c r="P152" s="22" t="str">
        <f>SUBSTITUTE(E152,",",".")</f>
        <v>27.5115752977683</v>
      </c>
      <c r="Q152" s="22" t="str">
        <f>SUBSTITUTE(F152,",",".")</f>
        <v>19.1036351391194</v>
      </c>
      <c r="R152" s="22" t="str">
        <f>SUBSTITUTE(G152,",",".")</f>
        <v>1.86</v>
      </c>
      <c r="S152" s="22" t="str">
        <f>SUBSTITUTE(H152,",",".")</f>
        <v>1.81</v>
      </c>
      <c r="T152" s="22" t="str">
        <f>SUBSTITUTE(I152,",",".")</f>
        <v>4.64645840409601</v>
      </c>
      <c r="U152" s="22" t="str">
        <f>SUBSTITUTE(J152,",",".")</f>
        <v>3.86</v>
      </c>
    </row>
    <row r="153" spans="1:21" x14ac:dyDescent="0.25">
      <c r="A153" t="s">
        <v>34</v>
      </c>
      <c r="B153" s="1" t="s">
        <v>15</v>
      </c>
      <c r="C153">
        <v>-3.3968074174991689</v>
      </c>
      <c r="D153" s="17">
        <v>21.98</v>
      </c>
      <c r="E153">
        <v>28.128494520340098</v>
      </c>
      <c r="F153">
        <v>19.145040252130844</v>
      </c>
      <c r="G153" s="17">
        <v>1.47</v>
      </c>
      <c r="H153" s="17">
        <v>1.93</v>
      </c>
      <c r="I153">
        <v>4.5092979726662952</v>
      </c>
      <c r="J153" s="17">
        <v>3.79</v>
      </c>
      <c r="L153" s="22" t="s">
        <v>34</v>
      </c>
      <c r="M153" s="24" t="s">
        <v>15</v>
      </c>
      <c r="N153" s="22" t="str">
        <f>SUBSTITUTE(C153,",",".")</f>
        <v>-3.39680741749917</v>
      </c>
      <c r="O153" s="22" t="str">
        <f>SUBSTITUTE(D153,",",".")</f>
        <v>21.98</v>
      </c>
      <c r="P153" s="22" t="str">
        <f>SUBSTITUTE(E153,",",".")</f>
        <v>28.1284945203401</v>
      </c>
      <c r="Q153" s="22" t="str">
        <f>SUBSTITUTE(F153,",",".")</f>
        <v>19.1450402521308</v>
      </c>
      <c r="R153" s="22" t="str">
        <f>SUBSTITUTE(G153,",",".")</f>
        <v>1.47</v>
      </c>
      <c r="S153" s="22" t="str">
        <f>SUBSTITUTE(H153,",",".")</f>
        <v>1.93</v>
      </c>
      <c r="T153" s="22" t="str">
        <f>SUBSTITUTE(I153,",",".")</f>
        <v>4.5092979726663</v>
      </c>
      <c r="U153" s="22" t="str">
        <f>SUBSTITUTE(J153,",",".")</f>
        <v>3.79</v>
      </c>
    </row>
    <row r="154" spans="1:21" x14ac:dyDescent="0.25">
      <c r="A154" t="s">
        <v>34</v>
      </c>
      <c r="B154" s="1" t="s">
        <v>16</v>
      </c>
      <c r="C154">
        <v>1.9664027196960275E-2</v>
      </c>
      <c r="D154" s="17">
        <v>22.03</v>
      </c>
      <c r="E154">
        <v>33.825989081360667</v>
      </c>
      <c r="F154">
        <v>19.152008510382245</v>
      </c>
      <c r="G154" s="17">
        <v>1.25</v>
      </c>
      <c r="H154" s="17">
        <v>1.96</v>
      </c>
      <c r="I154">
        <v>5.4343190584677661</v>
      </c>
      <c r="J154" s="17">
        <v>3.8</v>
      </c>
      <c r="L154" s="22" t="s">
        <v>34</v>
      </c>
      <c r="M154" s="24" t="s">
        <v>16</v>
      </c>
      <c r="N154" s="22" t="str">
        <f>SUBSTITUTE(C154,",",".")</f>
        <v>0.0196640271969603</v>
      </c>
      <c r="O154" s="22" t="str">
        <f>SUBSTITUTE(D154,",",".")</f>
        <v>22.03</v>
      </c>
      <c r="P154" s="22" t="str">
        <f>SUBSTITUTE(E154,",",".")</f>
        <v>33.8259890813607</v>
      </c>
      <c r="Q154" s="22" t="str">
        <f>SUBSTITUTE(F154,",",".")</f>
        <v>19.1520085103822</v>
      </c>
      <c r="R154" s="22" t="str">
        <f>SUBSTITUTE(G154,",",".")</f>
        <v>1.25</v>
      </c>
      <c r="S154" s="22" t="str">
        <f>SUBSTITUTE(H154,",",".")</f>
        <v>1.96</v>
      </c>
      <c r="T154" s="22" t="str">
        <f>SUBSTITUTE(I154,",",".")</f>
        <v>5.43431905846777</v>
      </c>
      <c r="U154" s="22" t="str">
        <f>SUBSTITUTE(J154,",",".")</f>
        <v>3.8</v>
      </c>
    </row>
    <row r="155" spans="1:21" x14ac:dyDescent="0.25">
      <c r="A155" t="s">
        <v>34</v>
      </c>
      <c r="B155" s="1" t="s">
        <v>17</v>
      </c>
      <c r="C155">
        <v>0.52819805209130133</v>
      </c>
      <c r="D155" s="17">
        <v>22.73</v>
      </c>
      <c r="E155">
        <v>34.733359153077522</v>
      </c>
      <c r="F155">
        <v>19.119489273789771</v>
      </c>
      <c r="G155" s="17">
        <v>1.92</v>
      </c>
      <c r="H155" s="17">
        <v>2.5299999999999998</v>
      </c>
      <c r="I155">
        <v>5.5593851697582961</v>
      </c>
      <c r="J155" s="17">
        <v>3.92</v>
      </c>
      <c r="L155" s="22" t="s">
        <v>34</v>
      </c>
      <c r="M155" s="24" t="s">
        <v>17</v>
      </c>
      <c r="N155" s="22" t="str">
        <f>SUBSTITUTE(C155,",",".")</f>
        <v>0.528198052091301</v>
      </c>
      <c r="O155" s="22" t="str">
        <f>SUBSTITUTE(D155,",",".")</f>
        <v>22.73</v>
      </c>
      <c r="P155" s="22" t="str">
        <f>SUBSTITUTE(E155,",",".")</f>
        <v>34.7333591530775</v>
      </c>
      <c r="Q155" s="22" t="str">
        <f>SUBSTITUTE(F155,",",".")</f>
        <v>19.1194892737898</v>
      </c>
      <c r="R155" s="22" t="str">
        <f>SUBSTITUTE(G155,",",".")</f>
        <v>1.92</v>
      </c>
      <c r="S155" s="22" t="str">
        <f>SUBSTITUTE(H155,",",".")</f>
        <v>2.53</v>
      </c>
      <c r="T155" s="22" t="str">
        <f>SUBSTITUTE(I155,",",".")</f>
        <v>5.5593851697583</v>
      </c>
      <c r="U155" s="22" t="str">
        <f>SUBSTITUTE(J155,",",".")</f>
        <v>3.92</v>
      </c>
    </row>
    <row r="156" spans="1:21" x14ac:dyDescent="0.25">
      <c r="A156" t="s">
        <v>34</v>
      </c>
      <c r="B156" s="1" t="s">
        <v>18</v>
      </c>
      <c r="C156">
        <v>1.6167417090169323</v>
      </c>
      <c r="D156" s="16">
        <v>22.41</v>
      </c>
      <c r="E156">
        <v>35.493163861985551</v>
      </c>
      <c r="F156">
        <v>19.169007210893117</v>
      </c>
      <c r="G156" s="17">
        <v>1.77</v>
      </c>
      <c r="H156" s="17">
        <v>2.39</v>
      </c>
      <c r="I156">
        <v>5.544463581167852</v>
      </c>
      <c r="J156" s="17">
        <v>3.86</v>
      </c>
      <c r="L156" s="22" t="s">
        <v>34</v>
      </c>
      <c r="M156" s="24" t="s">
        <v>18</v>
      </c>
      <c r="N156" s="22" t="str">
        <f>SUBSTITUTE(C156,",",".")</f>
        <v>1.61674170901693</v>
      </c>
      <c r="O156" s="22" t="str">
        <f>SUBSTITUTE(D156,",",".")</f>
        <v>22.41</v>
      </c>
      <c r="P156" s="22" t="str">
        <f>SUBSTITUTE(E156,",",".")</f>
        <v>35.4931638619856</v>
      </c>
      <c r="Q156" s="22" t="str">
        <f>SUBSTITUTE(F156,",",".")</f>
        <v>19.1690072108931</v>
      </c>
      <c r="R156" s="22" t="str">
        <f>SUBSTITUTE(G156,",",".")</f>
        <v>1.77</v>
      </c>
      <c r="S156" s="22" t="str">
        <f>SUBSTITUTE(H156,",",".")</f>
        <v>2.39</v>
      </c>
      <c r="T156" s="22" t="str">
        <f>SUBSTITUTE(I156,",",".")</f>
        <v>5.54446358116785</v>
      </c>
      <c r="U156" s="22" t="str">
        <f>SUBSTITUTE(J156,",",".")</f>
        <v>3.86</v>
      </c>
    </row>
    <row r="157" spans="1:21" x14ac:dyDescent="0.25">
      <c r="A157" t="s">
        <v>34</v>
      </c>
      <c r="B157" s="1" t="s">
        <v>19</v>
      </c>
      <c r="C157">
        <v>2.957156779354984</v>
      </c>
      <c r="D157" s="17">
        <v>22.94</v>
      </c>
      <c r="E157">
        <v>36.822008990351982</v>
      </c>
      <c r="F157">
        <v>19.183526490938004</v>
      </c>
      <c r="G157" s="17">
        <v>1.55</v>
      </c>
      <c r="H157" s="17">
        <v>2.36</v>
      </c>
      <c r="I157">
        <v>6.2625040346437535</v>
      </c>
      <c r="J157" s="17">
        <v>3.82</v>
      </c>
      <c r="L157" s="22" t="s">
        <v>34</v>
      </c>
      <c r="M157" s="24" t="s">
        <v>19</v>
      </c>
      <c r="N157" s="22" t="str">
        <f>SUBSTITUTE(C157,",",".")</f>
        <v>2.95715677935498</v>
      </c>
      <c r="O157" s="22" t="str">
        <f>SUBSTITUTE(D157,",",".")</f>
        <v>22.94</v>
      </c>
      <c r="P157" s="22" t="str">
        <f>SUBSTITUTE(E157,",",".")</f>
        <v>36.822008990352</v>
      </c>
      <c r="Q157" s="22" t="str">
        <f>SUBSTITUTE(F157,",",".")</f>
        <v>19.183526490938</v>
      </c>
      <c r="R157" s="22" t="str">
        <f>SUBSTITUTE(G157,",",".")</f>
        <v>1.55</v>
      </c>
      <c r="S157" s="22" t="str">
        <f>SUBSTITUTE(H157,",",".")</f>
        <v>2.36</v>
      </c>
      <c r="T157" s="22" t="str">
        <f>SUBSTITUTE(I157,",",".")</f>
        <v>6.26250403464375</v>
      </c>
      <c r="U157" s="22" t="str">
        <f>SUBSTITUTE(J157,",",".")</f>
        <v>3.82</v>
      </c>
    </row>
    <row r="158" spans="1:21" x14ac:dyDescent="0.25">
      <c r="A158" t="s">
        <v>34</v>
      </c>
      <c r="B158" s="1" t="s">
        <v>20</v>
      </c>
      <c r="C158">
        <v>2.0707093817826183</v>
      </c>
      <c r="D158" s="18" t="s">
        <v>460</v>
      </c>
      <c r="E158">
        <v>28.912963860630807</v>
      </c>
      <c r="F158">
        <v>19.234891240827167</v>
      </c>
      <c r="G158" s="18" t="s">
        <v>463</v>
      </c>
      <c r="H158" s="18" t="s">
        <v>462</v>
      </c>
      <c r="I158">
        <v>6.5260120928347893</v>
      </c>
      <c r="J158" s="17" t="s">
        <v>461</v>
      </c>
      <c r="L158" s="22" t="s">
        <v>34</v>
      </c>
      <c r="M158" s="24" t="s">
        <v>20</v>
      </c>
      <c r="N158" s="22" t="str">
        <f>SUBSTITUTE(C158,",",".")</f>
        <v>2.07070938178262</v>
      </c>
      <c r="O158" s="22" t="str">
        <f>SUBSTITUTE(D158,",",".")</f>
        <v>22.33</v>
      </c>
      <c r="P158" s="22" t="str">
        <f>SUBSTITUTE(E158,",",".")</f>
        <v>28.9129638606308</v>
      </c>
      <c r="Q158" s="22" t="str">
        <f>SUBSTITUTE(F158,",",".")</f>
        <v>19.2348912408272</v>
      </c>
      <c r="R158" s="22" t="str">
        <f>SUBSTITUTE(G158,",",".")</f>
        <v>1.39</v>
      </c>
      <c r="S158" s="22" t="str">
        <f>SUBSTITUTE(H158,",",".")</f>
        <v>2.25</v>
      </c>
      <c r="T158" s="22" t="str">
        <f>SUBSTITUTE(I158,",",".")</f>
        <v>6.52601209283479</v>
      </c>
      <c r="U158" s="22" t="str">
        <f>SUBSTITUTE(J158,",",".")</f>
        <v>3.62</v>
      </c>
    </row>
    <row r="159" spans="1:21" x14ac:dyDescent="0.25">
      <c r="A159" t="s">
        <v>34</v>
      </c>
      <c r="B159" s="1" t="s">
        <v>21</v>
      </c>
      <c r="C159">
        <v>3.1063679637938724</v>
      </c>
      <c r="D159" s="18" t="s">
        <v>466</v>
      </c>
      <c r="E159">
        <v>35.947070040946919</v>
      </c>
      <c r="F159">
        <v>19.22473007888723</v>
      </c>
      <c r="G159" s="17" t="s">
        <v>469</v>
      </c>
      <c r="H159" s="18" t="s">
        <v>468</v>
      </c>
      <c r="I159">
        <v>6.1024602573807725</v>
      </c>
      <c r="J159" s="17" t="s">
        <v>467</v>
      </c>
      <c r="L159" s="22" t="s">
        <v>34</v>
      </c>
      <c r="M159" s="24" t="s">
        <v>21</v>
      </c>
      <c r="N159" s="22" t="str">
        <f>SUBSTITUTE(C159,",",".")</f>
        <v>3.10636796379387</v>
      </c>
      <c r="O159" s="22" t="str">
        <f>SUBSTITUTE(D159,",",".")</f>
        <v>21.98</v>
      </c>
      <c r="P159" s="22" t="str">
        <f>SUBSTITUTE(E159,",",".")</f>
        <v>35.9470700409469</v>
      </c>
      <c r="Q159" s="22" t="str">
        <f>SUBSTITUTE(F159,",",".")</f>
        <v>19.2247300788872</v>
      </c>
      <c r="R159" s="22" t="str">
        <f>SUBSTITUTE(G159,",",".")</f>
        <v>1.86</v>
      </c>
      <c r="S159" s="22" t="str">
        <f>SUBSTITUTE(H159,",",".")</f>
        <v>2.42</v>
      </c>
      <c r="T159" s="22" t="str">
        <f>SUBSTITUTE(I159,",",".")</f>
        <v>6.10246025738077</v>
      </c>
      <c r="U159" s="22" t="str">
        <f>SUBSTITUTE(J159,",",".")</f>
        <v>3.74</v>
      </c>
    </row>
    <row r="160" spans="1:21" x14ac:dyDescent="0.25">
      <c r="A160" t="s">
        <v>34</v>
      </c>
      <c r="B160" s="1" t="s">
        <v>22</v>
      </c>
      <c r="C160">
        <v>3.4293567057784502</v>
      </c>
      <c r="D160" s="18" t="s">
        <v>472</v>
      </c>
      <c r="E160">
        <v>31.370573877746626</v>
      </c>
      <c r="F160">
        <v>19.21115799931815</v>
      </c>
      <c r="G160" s="17" t="s">
        <v>338</v>
      </c>
      <c r="H160" s="17" t="s">
        <v>274</v>
      </c>
      <c r="I160">
        <v>6.1931061427504739</v>
      </c>
      <c r="J160" s="17" t="s">
        <v>473</v>
      </c>
      <c r="L160" s="22" t="s">
        <v>34</v>
      </c>
      <c r="M160" s="24" t="s">
        <v>22</v>
      </c>
      <c r="N160" s="22" t="str">
        <f>SUBSTITUTE(C160,",",".")</f>
        <v>3.42935670577845</v>
      </c>
      <c r="O160" s="22" t="str">
        <f>SUBSTITUTE(D160,",",".")</f>
        <v>20.81</v>
      </c>
      <c r="P160" s="22" t="str">
        <f>SUBSTITUTE(E160,",",".")</f>
        <v>31.3705738777466</v>
      </c>
      <c r="Q160" s="22" t="str">
        <f>SUBSTITUTE(F160,",",".")</f>
        <v>19.2111579993182</v>
      </c>
      <c r="R160" s="22" t="str">
        <f>SUBSTITUTE(G160,",",".")</f>
        <v>1.92</v>
      </c>
      <c r="S160" s="22" t="str">
        <f>SUBSTITUTE(H160,",",".")</f>
        <v>2.32</v>
      </c>
      <c r="T160" s="22" t="str">
        <f>SUBSTITUTE(I160,",",".")</f>
        <v>6.19310614275047</v>
      </c>
      <c r="U160" s="22" t="str">
        <f>SUBSTITUTE(J160,",",".")</f>
        <v>3.91</v>
      </c>
    </row>
    <row r="161" spans="1:32" x14ac:dyDescent="0.25">
      <c r="A161" t="s">
        <v>34</v>
      </c>
      <c r="B161" s="1" t="s">
        <v>23</v>
      </c>
      <c r="C161">
        <v>4.5719225665528862</v>
      </c>
      <c r="D161" s="17" t="s">
        <v>476</v>
      </c>
      <c r="E161">
        <v>27.150081860445756</v>
      </c>
      <c r="F161">
        <v>19.290063407003966</v>
      </c>
      <c r="G161" s="17" t="s">
        <v>469</v>
      </c>
      <c r="H161" s="17" t="s">
        <v>468</v>
      </c>
      <c r="I161">
        <v>5.3680365399871661</v>
      </c>
      <c r="J161" s="17" t="s">
        <v>477</v>
      </c>
      <c r="L161" s="22" t="s">
        <v>34</v>
      </c>
      <c r="M161" s="24" t="s">
        <v>23</v>
      </c>
      <c r="N161" s="22" t="str">
        <f>SUBSTITUTE(C161,",",".")</f>
        <v>4.57192256655289</v>
      </c>
      <c r="O161" s="22" t="str">
        <f>SUBSTITUTE(D161,",",".")</f>
        <v>21.39</v>
      </c>
      <c r="P161" s="22" t="str">
        <f>SUBSTITUTE(E161,",",".")</f>
        <v>27.1500818604458</v>
      </c>
      <c r="Q161" s="22" t="str">
        <f>SUBSTITUTE(F161,",",".")</f>
        <v>19.290063407004</v>
      </c>
      <c r="R161" s="22" t="str">
        <f>SUBSTITUTE(G161,",",".")</f>
        <v>1.86</v>
      </c>
      <c r="S161" s="22" t="str">
        <f>SUBSTITUTE(H161,",",".")</f>
        <v>2.42</v>
      </c>
      <c r="T161" s="22" t="str">
        <f>SUBSTITUTE(I161,",",".")</f>
        <v>5.36803653998717</v>
      </c>
      <c r="U161" s="22" t="str">
        <f>SUBSTITUTE(J161,",",".")</f>
        <v>4.04</v>
      </c>
      <c r="Y161" s="3"/>
      <c r="Z161" s="3"/>
      <c r="AC161" s="3"/>
      <c r="AD161" s="3"/>
      <c r="AF161" s="3"/>
    </row>
    <row r="162" spans="1:32" x14ac:dyDescent="0.25">
      <c r="A162" t="s">
        <v>28</v>
      </c>
      <c r="B162" s="1" t="s">
        <v>4</v>
      </c>
      <c r="C162">
        <v>2.2109334762857458</v>
      </c>
      <c r="D162" s="18">
        <v>17.73</v>
      </c>
      <c r="E162">
        <v>25.441486637280637</v>
      </c>
      <c r="F162">
        <v>18.838734903048</v>
      </c>
      <c r="G162" s="18">
        <v>0.54</v>
      </c>
      <c r="H162" s="18">
        <v>4.59</v>
      </c>
      <c r="I162">
        <v>8.8868615835207976</v>
      </c>
      <c r="J162" s="18">
        <v>3.91</v>
      </c>
      <c r="L162" s="22" t="s">
        <v>634</v>
      </c>
      <c r="M162" s="22" t="s">
        <v>1</v>
      </c>
      <c r="N162" s="23" t="s">
        <v>49</v>
      </c>
      <c r="O162" s="23" t="s">
        <v>51</v>
      </c>
      <c r="P162" s="22" t="s">
        <v>52</v>
      </c>
      <c r="Q162" s="22" t="s">
        <v>53</v>
      </c>
      <c r="R162" s="23" t="s">
        <v>54</v>
      </c>
      <c r="S162" s="23" t="s">
        <v>55</v>
      </c>
      <c r="T162" s="22" t="s">
        <v>56</v>
      </c>
      <c r="U162" s="23" t="s">
        <v>57</v>
      </c>
      <c r="X162" s="1"/>
    </row>
    <row r="163" spans="1:32" x14ac:dyDescent="0.25">
      <c r="A163" t="s">
        <v>28</v>
      </c>
      <c r="B163" s="1" t="s">
        <v>5</v>
      </c>
      <c r="C163">
        <v>3.3861654025610055</v>
      </c>
      <c r="D163" s="18">
        <v>19.59</v>
      </c>
      <c r="E163">
        <v>28.422040961852662</v>
      </c>
      <c r="F163">
        <v>18.884807965887877</v>
      </c>
      <c r="G163" s="18">
        <v>0.5</v>
      </c>
      <c r="H163" s="18">
        <v>4.26</v>
      </c>
      <c r="I163">
        <v>8.961748934809874</v>
      </c>
      <c r="J163" s="18">
        <v>3.96</v>
      </c>
      <c r="L163" s="22" t="s">
        <v>28</v>
      </c>
      <c r="M163" s="24" t="s">
        <v>4</v>
      </c>
      <c r="N163" s="22" t="str">
        <f>SUBSTITUTE(C162,",",".")</f>
        <v>2.21093347628575</v>
      </c>
      <c r="O163" s="22" t="str">
        <f>SUBSTITUTE(D162,",",".")</f>
        <v>17.73</v>
      </c>
      <c r="P163" s="22" t="str">
        <f>SUBSTITUTE(E162,",",".")</f>
        <v>25.4414866372806</v>
      </c>
      <c r="Q163" s="22" t="str">
        <f>SUBSTITUTE(F162,",",".")</f>
        <v>18.838734903048</v>
      </c>
      <c r="R163" s="22" t="str">
        <f>SUBSTITUTE(G162,",",".")</f>
        <v>0.54</v>
      </c>
      <c r="S163" s="22" t="str">
        <f>SUBSTITUTE(H162,",",".")</f>
        <v>4.59</v>
      </c>
      <c r="T163" s="22" t="str">
        <f>SUBSTITUTE(I162,",",".")</f>
        <v>8.8868615835208</v>
      </c>
      <c r="U163" s="22" t="str">
        <f>SUBSTITUTE(J162,",",".")</f>
        <v>3.91</v>
      </c>
      <c r="X163" s="1"/>
    </row>
    <row r="164" spans="1:32" x14ac:dyDescent="0.25">
      <c r="A164" t="s">
        <v>28</v>
      </c>
      <c r="B164" s="1" t="s">
        <v>6</v>
      </c>
      <c r="C164">
        <v>3.7124431891464291</v>
      </c>
      <c r="D164" s="18">
        <v>19.190000000000001</v>
      </c>
      <c r="E164">
        <v>25.54730641241883</v>
      </c>
      <c r="F164">
        <v>18.862378374245697</v>
      </c>
      <c r="G164" s="18">
        <v>0.56999999999999995</v>
      </c>
      <c r="H164" s="18">
        <v>4.78</v>
      </c>
      <c r="I164">
        <v>9.0345133440495005</v>
      </c>
      <c r="J164" s="18">
        <v>4.0199999999999996</v>
      </c>
      <c r="L164" s="22" t="s">
        <v>28</v>
      </c>
      <c r="M164" s="24" t="s">
        <v>5</v>
      </c>
      <c r="N164" s="22" t="str">
        <f>SUBSTITUTE(C163,",",".")</f>
        <v>3.38616540256101</v>
      </c>
      <c r="O164" s="22" t="str">
        <f>SUBSTITUTE(D163,",",".")</f>
        <v>19.59</v>
      </c>
      <c r="P164" s="22" t="str">
        <f>SUBSTITUTE(E163,",",".")</f>
        <v>28.4220409618527</v>
      </c>
      <c r="Q164" s="22" t="str">
        <f>SUBSTITUTE(F163,",",".")</f>
        <v>18.8848079658879</v>
      </c>
      <c r="R164" s="22" t="str">
        <f>SUBSTITUTE(G163,",",".")</f>
        <v>0.5</v>
      </c>
      <c r="S164" s="22" t="str">
        <f>SUBSTITUTE(H163,",",".")</f>
        <v>4.26</v>
      </c>
      <c r="T164" s="22" t="str">
        <f>SUBSTITUTE(I163,",",".")</f>
        <v>8.96174893480987</v>
      </c>
      <c r="U164" s="22" t="str">
        <f>SUBSTITUTE(J163,",",".")</f>
        <v>3.96</v>
      </c>
      <c r="X164" s="1"/>
    </row>
    <row r="165" spans="1:32" x14ac:dyDescent="0.25">
      <c r="A165" t="s">
        <v>28</v>
      </c>
      <c r="B165" s="1" t="s">
        <v>7</v>
      </c>
      <c r="C165">
        <v>-0.28849047568740777</v>
      </c>
      <c r="D165" s="18">
        <v>19.440000000000001</v>
      </c>
      <c r="E165">
        <v>22.549440120916028</v>
      </c>
      <c r="F165">
        <v>18.844373605907343</v>
      </c>
      <c r="G165" s="18">
        <v>0.78</v>
      </c>
      <c r="H165" s="18">
        <v>4.3600000000000003</v>
      </c>
      <c r="I165">
        <v>7.6820535695426546</v>
      </c>
      <c r="J165" s="18">
        <v>4.1100000000000003</v>
      </c>
      <c r="L165" s="22" t="s">
        <v>28</v>
      </c>
      <c r="M165" s="24" t="s">
        <v>6</v>
      </c>
      <c r="N165" s="22" t="str">
        <f>SUBSTITUTE(C164,",",".")</f>
        <v>3.71244318914643</v>
      </c>
      <c r="O165" s="22" t="str">
        <f>SUBSTITUTE(D164,",",".")</f>
        <v>19.19</v>
      </c>
      <c r="P165" s="22" t="str">
        <f>SUBSTITUTE(E164,",",".")</f>
        <v>25.5473064124188</v>
      </c>
      <c r="Q165" s="22" t="str">
        <f>SUBSTITUTE(F164,",",".")</f>
        <v>18.8623783742457</v>
      </c>
      <c r="R165" s="22" t="str">
        <f>SUBSTITUTE(G164,",",".")</f>
        <v>0.57</v>
      </c>
      <c r="S165" s="22" t="str">
        <f>SUBSTITUTE(H164,",",".")</f>
        <v>4.78</v>
      </c>
      <c r="T165" s="22" t="str">
        <f>SUBSTITUTE(I164,",",".")</f>
        <v>9.0345133440495</v>
      </c>
      <c r="U165" s="22" t="str">
        <f>SUBSTITUTE(J164,",",".")</f>
        <v>4.02</v>
      </c>
      <c r="X165" s="1"/>
    </row>
    <row r="166" spans="1:32" x14ac:dyDescent="0.25">
      <c r="A166" t="s">
        <v>28</v>
      </c>
      <c r="B166" s="1" t="s">
        <v>8</v>
      </c>
      <c r="C166">
        <v>-1.9042826495749132</v>
      </c>
      <c r="D166" s="18">
        <v>19.899999999999999</v>
      </c>
      <c r="E166">
        <v>24.402601179627062</v>
      </c>
      <c r="F166">
        <v>18.892251806632242</v>
      </c>
      <c r="G166" s="18">
        <v>1.3</v>
      </c>
      <c r="H166" s="18">
        <v>3.78</v>
      </c>
      <c r="I166">
        <v>6.5336076039998092</v>
      </c>
      <c r="J166" s="18">
        <v>4.0199999999999996</v>
      </c>
      <c r="L166" s="22" t="s">
        <v>28</v>
      </c>
      <c r="M166" s="24" t="s">
        <v>7</v>
      </c>
      <c r="N166" s="22" t="str">
        <f>SUBSTITUTE(C165,",",".")</f>
        <v>-0.288490475687408</v>
      </c>
      <c r="O166" s="22" t="str">
        <f>SUBSTITUTE(D165,",",".")</f>
        <v>19.44</v>
      </c>
      <c r="P166" s="22" t="str">
        <f>SUBSTITUTE(E165,",",".")</f>
        <v>22.549440120916</v>
      </c>
      <c r="Q166" s="22" t="str">
        <f>SUBSTITUTE(F165,",",".")</f>
        <v>18.8443736059073</v>
      </c>
      <c r="R166" s="22" t="str">
        <f>SUBSTITUTE(G165,",",".")</f>
        <v>0.78</v>
      </c>
      <c r="S166" s="22" t="str">
        <f>SUBSTITUTE(H165,",",".")</f>
        <v>4.36</v>
      </c>
      <c r="T166" s="22" t="str">
        <f>SUBSTITUTE(I165,",",".")</f>
        <v>7.68205356954265</v>
      </c>
      <c r="U166" s="22" t="str">
        <f>SUBSTITUTE(J165,",",".")</f>
        <v>4.11</v>
      </c>
      <c r="X166" s="1"/>
    </row>
    <row r="167" spans="1:32" x14ac:dyDescent="0.25">
      <c r="A167" t="s">
        <v>28</v>
      </c>
      <c r="B167" s="1" t="s">
        <v>9</v>
      </c>
      <c r="C167">
        <v>2.3639031566351569</v>
      </c>
      <c r="D167" s="18">
        <v>19.809999999999999</v>
      </c>
      <c r="E167">
        <v>19.107693251424532</v>
      </c>
      <c r="F167">
        <v>18.810218902214416</v>
      </c>
      <c r="G167" s="18">
        <v>1.24</v>
      </c>
      <c r="H167" s="18">
        <v>3.58</v>
      </c>
      <c r="I167">
        <v>5.5273406854383529</v>
      </c>
      <c r="J167" s="18">
        <v>4.1500000000000004</v>
      </c>
      <c r="L167" s="22" t="s">
        <v>28</v>
      </c>
      <c r="M167" s="24" t="s">
        <v>8</v>
      </c>
      <c r="N167" s="22" t="str">
        <f>SUBSTITUTE(C166,",",".")</f>
        <v>-1.90428264957491</v>
      </c>
      <c r="O167" s="22" t="str">
        <f>SUBSTITUTE(D166,",",".")</f>
        <v>19.9</v>
      </c>
      <c r="P167" s="22" t="str">
        <f>SUBSTITUTE(E166,",",".")</f>
        <v>24.4026011796271</v>
      </c>
      <c r="Q167" s="22" t="str">
        <f>SUBSTITUTE(F166,",",".")</f>
        <v>18.8922518066322</v>
      </c>
      <c r="R167" s="22" t="str">
        <f>SUBSTITUTE(G166,",",".")</f>
        <v>1.3</v>
      </c>
      <c r="S167" s="22" t="str">
        <f>SUBSTITUTE(H166,",",".")</f>
        <v>3.78</v>
      </c>
      <c r="T167" s="22" t="str">
        <f>SUBSTITUTE(I166,",",".")</f>
        <v>6.53360760399981</v>
      </c>
      <c r="U167" s="22" t="str">
        <f>SUBSTITUTE(J166,",",".")</f>
        <v>4.02</v>
      </c>
      <c r="X167" s="1"/>
    </row>
    <row r="168" spans="1:32" x14ac:dyDescent="0.25">
      <c r="A168" t="s">
        <v>28</v>
      </c>
      <c r="B168" s="1" t="s">
        <v>10</v>
      </c>
      <c r="C168">
        <v>0.52512015230839026</v>
      </c>
      <c r="D168" s="18">
        <v>19.84</v>
      </c>
      <c r="E168">
        <v>21.378110142950575</v>
      </c>
      <c r="F168">
        <v>18.858348386334324</v>
      </c>
      <c r="G168" s="16">
        <v>1.28</v>
      </c>
      <c r="H168" s="18">
        <v>3.33</v>
      </c>
      <c r="I168">
        <v>5.3660970220408206</v>
      </c>
      <c r="J168" s="18">
        <v>4.2300000000000004</v>
      </c>
      <c r="L168" s="22" t="s">
        <v>28</v>
      </c>
      <c r="M168" s="24" t="s">
        <v>9</v>
      </c>
      <c r="N168" s="22" t="str">
        <f>SUBSTITUTE(C167,",",".")</f>
        <v>2.36390315663516</v>
      </c>
      <c r="O168" s="22" t="str">
        <f>SUBSTITUTE(D167,",",".")</f>
        <v>19.81</v>
      </c>
      <c r="P168" s="22" t="str">
        <f>SUBSTITUTE(E167,",",".")</f>
        <v>19.1076932514245</v>
      </c>
      <c r="Q168" s="22" t="str">
        <f>SUBSTITUTE(F167,",",".")</f>
        <v>18.8102189022144</v>
      </c>
      <c r="R168" s="22" t="str">
        <f>SUBSTITUTE(G167,",",".")</f>
        <v>1.24</v>
      </c>
      <c r="S168" s="22" t="str">
        <f>SUBSTITUTE(H167,",",".")</f>
        <v>3.58</v>
      </c>
      <c r="T168" s="22" t="str">
        <f>SUBSTITUTE(I167,",",".")</f>
        <v>5.52734068543835</v>
      </c>
      <c r="U168" s="22" t="str">
        <f>SUBSTITUTE(J167,",",".")</f>
        <v>4.15</v>
      </c>
      <c r="X168" s="1"/>
    </row>
    <row r="169" spans="1:32" x14ac:dyDescent="0.25">
      <c r="A169" t="s">
        <v>28</v>
      </c>
      <c r="B169" s="1" t="s">
        <v>11</v>
      </c>
      <c r="C169">
        <v>0.54432656909758881</v>
      </c>
      <c r="D169" s="18">
        <v>19.89</v>
      </c>
      <c r="E169">
        <v>21.132716011487723</v>
      </c>
      <c r="F169">
        <v>18.898555439918656</v>
      </c>
      <c r="G169" s="18">
        <v>1.3</v>
      </c>
      <c r="H169" s="18">
        <v>2.77</v>
      </c>
      <c r="I169">
        <v>3.6213671290900575</v>
      </c>
      <c r="J169" s="18">
        <v>4.3899999999999997</v>
      </c>
      <c r="L169" s="22" t="s">
        <v>28</v>
      </c>
      <c r="M169" s="24" t="s">
        <v>10</v>
      </c>
      <c r="N169" s="22" t="str">
        <f>SUBSTITUTE(C168,",",".")</f>
        <v>0.52512015230839</v>
      </c>
      <c r="O169" s="22" t="str">
        <f>SUBSTITUTE(D168,",",".")</f>
        <v>19.84</v>
      </c>
      <c r="P169" s="22" t="str">
        <f>SUBSTITUTE(E168,",",".")</f>
        <v>21.3781101429506</v>
      </c>
      <c r="Q169" s="22" t="str">
        <f>SUBSTITUTE(F168,",",".")</f>
        <v>18.8583483863343</v>
      </c>
      <c r="R169" s="22" t="str">
        <f>SUBSTITUTE(G168,",",".")</f>
        <v>1.28</v>
      </c>
      <c r="S169" s="22" t="str">
        <f>SUBSTITUTE(H168,",",".")</f>
        <v>3.33</v>
      </c>
      <c r="T169" s="22" t="str">
        <f>SUBSTITUTE(I168,",",".")</f>
        <v>5.36609702204082</v>
      </c>
      <c r="U169" s="22" t="str">
        <f>SUBSTITUTE(J168,",",".")</f>
        <v>4.23</v>
      </c>
      <c r="X169" s="1"/>
    </row>
    <row r="170" spans="1:32" x14ac:dyDescent="0.25">
      <c r="A170" t="s">
        <v>28</v>
      </c>
      <c r="B170" s="1" t="s">
        <v>12</v>
      </c>
      <c r="C170">
        <v>2.1732659947885744</v>
      </c>
      <c r="D170" s="18">
        <v>19.61</v>
      </c>
      <c r="E170">
        <v>21.243287080847459</v>
      </c>
      <c r="F170">
        <v>18.935066407251</v>
      </c>
      <c r="G170" s="18">
        <v>0.69</v>
      </c>
      <c r="H170" s="18">
        <v>3.18</v>
      </c>
      <c r="I170">
        <v>4.6704243151831566</v>
      </c>
      <c r="J170" s="18">
        <v>4.59</v>
      </c>
      <c r="L170" s="22" t="s">
        <v>28</v>
      </c>
      <c r="M170" s="24" t="s">
        <v>11</v>
      </c>
      <c r="N170" s="22" t="str">
        <f>SUBSTITUTE(C169,",",".")</f>
        <v>0.544326569097589</v>
      </c>
      <c r="O170" s="22" t="str">
        <f>SUBSTITUTE(D169,",",".")</f>
        <v>19.89</v>
      </c>
      <c r="P170" s="22" t="str">
        <f>SUBSTITUTE(E169,",",".")</f>
        <v>21.1327160114877</v>
      </c>
      <c r="Q170" s="22" t="str">
        <f>SUBSTITUTE(F169,",",".")</f>
        <v>18.8985554399187</v>
      </c>
      <c r="R170" s="22" t="str">
        <f>SUBSTITUTE(G169,",",".")</f>
        <v>1.3</v>
      </c>
      <c r="S170" s="22" t="str">
        <f>SUBSTITUTE(H169,",",".")</f>
        <v>2.77</v>
      </c>
      <c r="T170" s="22" t="str">
        <f>SUBSTITUTE(I169,",",".")</f>
        <v>3.62136712909006</v>
      </c>
      <c r="U170" s="22" t="str">
        <f>SUBSTITUTE(J169,",",".")</f>
        <v>4.39</v>
      </c>
      <c r="X170" s="1"/>
    </row>
    <row r="171" spans="1:32" x14ac:dyDescent="0.25">
      <c r="A171" t="s">
        <v>28</v>
      </c>
      <c r="B171" s="1" t="s">
        <v>13</v>
      </c>
      <c r="C171">
        <v>-6.1565952745144052</v>
      </c>
      <c r="D171" s="18">
        <v>21.26</v>
      </c>
      <c r="E171">
        <v>24.261801896486055</v>
      </c>
      <c r="F171">
        <v>18.877073850068815</v>
      </c>
      <c r="G171" s="18">
        <v>0.93</v>
      </c>
      <c r="H171" s="18">
        <v>3.74</v>
      </c>
      <c r="I171">
        <v>4.0701454252087554</v>
      </c>
      <c r="J171" s="18">
        <v>4.53</v>
      </c>
      <c r="L171" s="22" t="s">
        <v>28</v>
      </c>
      <c r="M171" s="24" t="s">
        <v>12</v>
      </c>
      <c r="N171" s="22" t="str">
        <f>SUBSTITUTE(C170,",",".")</f>
        <v>2.17326599478857</v>
      </c>
      <c r="O171" s="22" t="str">
        <f>SUBSTITUTE(D170,",",".")</f>
        <v>19.61</v>
      </c>
      <c r="P171" s="22" t="str">
        <f>SUBSTITUTE(E170,",",".")</f>
        <v>21.2432870808475</v>
      </c>
      <c r="Q171" s="22" t="str">
        <f>SUBSTITUTE(F170,",",".")</f>
        <v>18.935066407251</v>
      </c>
      <c r="R171" s="22" t="str">
        <f>SUBSTITUTE(G170,",",".")</f>
        <v>0.69</v>
      </c>
      <c r="S171" s="22" t="str">
        <f>SUBSTITUTE(H170,",",".")</f>
        <v>3.18</v>
      </c>
      <c r="T171" s="22" t="str">
        <f>SUBSTITUTE(I170,",",".")</f>
        <v>4.67042431518316</v>
      </c>
      <c r="U171" s="22" t="str">
        <f>SUBSTITUTE(J170,",",".")</f>
        <v>4.59</v>
      </c>
      <c r="X171" s="1"/>
    </row>
    <row r="172" spans="1:32" x14ac:dyDescent="0.25">
      <c r="A172" t="s">
        <v>28</v>
      </c>
      <c r="B172" s="1" t="s">
        <v>14</v>
      </c>
      <c r="C172">
        <v>-0.71937634803301065</v>
      </c>
      <c r="D172" s="18">
        <v>21.6</v>
      </c>
      <c r="E172">
        <v>25.254350246428324</v>
      </c>
      <c r="F172">
        <v>18.931320400427513</v>
      </c>
      <c r="G172" s="18">
        <v>0.68</v>
      </c>
      <c r="H172" s="18">
        <v>3.78</v>
      </c>
      <c r="I172">
        <v>4.3349696482426587</v>
      </c>
      <c r="J172" s="18">
        <v>4.42</v>
      </c>
      <c r="L172" s="22" t="s">
        <v>28</v>
      </c>
      <c r="M172" s="24" t="s">
        <v>13</v>
      </c>
      <c r="N172" s="22" t="str">
        <f>SUBSTITUTE(C171,",",".")</f>
        <v>-6.15659527451441</v>
      </c>
      <c r="O172" s="22" t="str">
        <f>SUBSTITUTE(D171,",",".")</f>
        <v>21.26</v>
      </c>
      <c r="P172" s="22" t="str">
        <f>SUBSTITUTE(E171,",",".")</f>
        <v>24.2618018964861</v>
      </c>
      <c r="Q172" s="22" t="str">
        <f>SUBSTITUTE(F171,",",".")</f>
        <v>18.8770738500688</v>
      </c>
      <c r="R172" s="22" t="str">
        <f>SUBSTITUTE(G171,",",".")</f>
        <v>0.93</v>
      </c>
      <c r="S172" s="22" t="str">
        <f>SUBSTITUTE(H171,",",".")</f>
        <v>3.74</v>
      </c>
      <c r="T172" s="22" t="str">
        <f>SUBSTITUTE(I171,",",".")</f>
        <v>4.07014542520876</v>
      </c>
      <c r="U172" s="22" t="str">
        <f>SUBSTITUTE(J171,",",".")</f>
        <v>4.53</v>
      </c>
      <c r="X172" s="1"/>
    </row>
    <row r="173" spans="1:32" x14ac:dyDescent="0.25">
      <c r="A173" t="s">
        <v>28</v>
      </c>
      <c r="B173" s="1" t="s">
        <v>15</v>
      </c>
      <c r="C173">
        <v>14.870466483214523</v>
      </c>
      <c r="D173" s="18">
        <v>35.68</v>
      </c>
      <c r="E173">
        <v>25.241230261999071</v>
      </c>
      <c r="F173">
        <v>19.101625795413394</v>
      </c>
      <c r="G173" s="18">
        <v>0.97</v>
      </c>
      <c r="H173" s="18">
        <v>2.9</v>
      </c>
      <c r="I173">
        <v>6.7385896144701878</v>
      </c>
      <c r="J173" s="18">
        <v>4.74</v>
      </c>
      <c r="L173" s="22" t="s">
        <v>28</v>
      </c>
      <c r="M173" s="24" t="s">
        <v>14</v>
      </c>
      <c r="N173" s="22" t="str">
        <f>SUBSTITUTE(C172,",",".")</f>
        <v>-0.719376348033011</v>
      </c>
      <c r="O173" s="22" t="str">
        <f>SUBSTITUTE(D172,",",".")</f>
        <v>21.6</v>
      </c>
      <c r="P173" s="22" t="str">
        <f>SUBSTITUTE(E172,",",".")</f>
        <v>25.2543502464283</v>
      </c>
      <c r="Q173" s="22" t="str">
        <f>SUBSTITUTE(F172,",",".")</f>
        <v>18.9313204004275</v>
      </c>
      <c r="R173" s="22" t="str">
        <f>SUBSTITUTE(G172,",",".")</f>
        <v>0.68</v>
      </c>
      <c r="S173" s="22" t="str">
        <f>SUBSTITUTE(H172,",",".")</f>
        <v>3.78</v>
      </c>
      <c r="T173" s="22" t="str">
        <f>SUBSTITUTE(I172,",",".")</f>
        <v>4.33496964824266</v>
      </c>
      <c r="U173" s="22" t="str">
        <f>SUBSTITUTE(J172,",",".")</f>
        <v>4.42</v>
      </c>
      <c r="X173" s="1"/>
    </row>
    <row r="174" spans="1:32" x14ac:dyDescent="0.25">
      <c r="A174" t="s">
        <v>28</v>
      </c>
      <c r="B174" s="1" t="s">
        <v>16</v>
      </c>
      <c r="C174">
        <v>-0.35985720297294382</v>
      </c>
      <c r="D174" s="18">
        <v>35.21</v>
      </c>
      <c r="E174">
        <v>24.452763662425976</v>
      </c>
      <c r="F174">
        <v>19.130330367086419</v>
      </c>
      <c r="G174" s="18">
        <v>1.3</v>
      </c>
      <c r="H174" s="18">
        <v>2.93</v>
      </c>
      <c r="I174">
        <v>7.0229833855613073</v>
      </c>
      <c r="J174" s="18">
        <v>4.45</v>
      </c>
      <c r="L174" s="22" t="s">
        <v>28</v>
      </c>
      <c r="M174" s="24" t="s">
        <v>15</v>
      </c>
      <c r="N174" s="22" t="str">
        <f>SUBSTITUTE(C173,",",".")</f>
        <v>14.8704664832145</v>
      </c>
      <c r="O174" s="22" t="str">
        <f>SUBSTITUTE(D173,",",".")</f>
        <v>35.68</v>
      </c>
      <c r="P174" s="22" t="str">
        <f>SUBSTITUTE(E173,",",".")</f>
        <v>25.2412302619991</v>
      </c>
      <c r="Q174" s="22" t="str">
        <f>SUBSTITUTE(F173,",",".")</f>
        <v>19.1016257954134</v>
      </c>
      <c r="R174" s="22" t="str">
        <f>SUBSTITUTE(G173,",",".")</f>
        <v>0.97</v>
      </c>
      <c r="S174" s="22" t="str">
        <f>SUBSTITUTE(H173,",",".")</f>
        <v>2.9</v>
      </c>
      <c r="T174" s="22" t="str">
        <f>SUBSTITUTE(I173,",",".")</f>
        <v>6.73858961447019</v>
      </c>
      <c r="U174" s="22" t="str">
        <f>SUBSTITUTE(J173,",",".")</f>
        <v>4.74</v>
      </c>
      <c r="X174" s="1"/>
    </row>
    <row r="175" spans="1:32" x14ac:dyDescent="0.25">
      <c r="A175" t="s">
        <v>28</v>
      </c>
      <c r="B175" s="1" t="s">
        <v>17</v>
      </c>
      <c r="C175">
        <v>2.6497345960164367</v>
      </c>
      <c r="D175" s="18">
        <v>35.43</v>
      </c>
      <c r="E175">
        <v>32.495233671339427</v>
      </c>
      <c r="F175">
        <v>19.176393367598465</v>
      </c>
      <c r="G175" s="18">
        <v>1.02</v>
      </c>
      <c r="H175" s="18">
        <v>3.31</v>
      </c>
      <c r="I175">
        <v>7.0303642565278253</v>
      </c>
      <c r="J175" s="18">
        <v>4.43</v>
      </c>
      <c r="L175" s="22" t="s">
        <v>28</v>
      </c>
      <c r="M175" s="24" t="s">
        <v>16</v>
      </c>
      <c r="N175" s="22" t="str">
        <f>SUBSTITUTE(C174,",",".")</f>
        <v>-0.359857202972944</v>
      </c>
      <c r="O175" s="22" t="str">
        <f>SUBSTITUTE(D174,",",".")</f>
        <v>35.21</v>
      </c>
      <c r="P175" s="22" t="str">
        <f>SUBSTITUTE(E174,",",".")</f>
        <v>24.452763662426</v>
      </c>
      <c r="Q175" s="22" t="str">
        <f>SUBSTITUTE(F174,",",".")</f>
        <v>19.1303303670864</v>
      </c>
      <c r="R175" s="22" t="str">
        <f>SUBSTITUTE(G174,",",".")</f>
        <v>1.3</v>
      </c>
      <c r="S175" s="22" t="str">
        <f>SUBSTITUTE(H174,",",".")</f>
        <v>2.93</v>
      </c>
      <c r="T175" s="22" t="str">
        <f>SUBSTITUTE(I174,",",".")</f>
        <v>7.02298338556131</v>
      </c>
      <c r="U175" s="22" t="str">
        <f>SUBSTITUTE(J174,",",".")</f>
        <v>4.45</v>
      </c>
      <c r="X175" s="1"/>
    </row>
    <row r="176" spans="1:32" x14ac:dyDescent="0.25">
      <c r="A176" t="s">
        <v>28</v>
      </c>
      <c r="B176" s="1" t="s">
        <v>18</v>
      </c>
      <c r="C176">
        <v>2.7655468539349219</v>
      </c>
      <c r="D176" s="18">
        <v>34.04</v>
      </c>
      <c r="E176">
        <v>32.699006504466965</v>
      </c>
      <c r="F176">
        <v>19.203651503136943</v>
      </c>
      <c r="G176" s="18">
        <v>0.82</v>
      </c>
      <c r="H176" s="18">
        <v>3.3</v>
      </c>
      <c r="I176">
        <v>6.9887254661215801</v>
      </c>
      <c r="J176" s="18">
        <v>4.3899999999999997</v>
      </c>
      <c r="L176" s="22" t="s">
        <v>28</v>
      </c>
      <c r="M176" s="24" t="s">
        <v>17</v>
      </c>
      <c r="N176" s="22" t="str">
        <f>SUBSTITUTE(C175,",",".")</f>
        <v>2.64973459601644</v>
      </c>
      <c r="O176" s="22" t="str">
        <f>SUBSTITUTE(D175,",",".")</f>
        <v>35.43</v>
      </c>
      <c r="P176" s="22" t="str">
        <f>SUBSTITUTE(E175,",",".")</f>
        <v>32.4952336713394</v>
      </c>
      <c r="Q176" s="22" t="str">
        <f>SUBSTITUTE(F175,",",".")</f>
        <v>19.1763933675985</v>
      </c>
      <c r="R176" s="22" t="str">
        <f>SUBSTITUTE(G175,",",".")</f>
        <v>1.02</v>
      </c>
      <c r="S176" s="22" t="str">
        <f>SUBSTITUTE(H175,",",".")</f>
        <v>3.31</v>
      </c>
      <c r="T176" s="22" t="str">
        <f>SUBSTITUTE(I175,",",".")</f>
        <v>7.03036425652783</v>
      </c>
      <c r="U176" s="22" t="str">
        <f>SUBSTITUTE(J175,",",".")</f>
        <v>4.43</v>
      </c>
      <c r="X176" s="1"/>
    </row>
    <row r="177" spans="1:24" x14ac:dyDescent="0.25">
      <c r="A177" t="s">
        <v>28</v>
      </c>
      <c r="B177" s="1" t="s">
        <v>19</v>
      </c>
      <c r="C177">
        <v>1.1950938643283611</v>
      </c>
      <c r="D177" s="18">
        <v>34.94</v>
      </c>
      <c r="E177">
        <v>35.22962347461084</v>
      </c>
      <c r="F177">
        <v>19.272450200406908</v>
      </c>
      <c r="G177" s="18">
        <v>0.73</v>
      </c>
      <c r="H177" s="18">
        <v>3.2</v>
      </c>
      <c r="I177">
        <v>7.2029213108195353</v>
      </c>
      <c r="J177" s="18">
        <v>4.0199999999999996</v>
      </c>
      <c r="L177" s="22" t="s">
        <v>28</v>
      </c>
      <c r="M177" s="24" t="s">
        <v>18</v>
      </c>
      <c r="N177" s="22" t="str">
        <f>SUBSTITUTE(C176,",",".")</f>
        <v>2.76554685393492</v>
      </c>
      <c r="O177" s="22" t="str">
        <f>SUBSTITUTE(D176,",",".")</f>
        <v>34.04</v>
      </c>
      <c r="P177" s="22" t="str">
        <f>SUBSTITUTE(E176,",",".")</f>
        <v>32.699006504467</v>
      </c>
      <c r="Q177" s="22" t="str">
        <f>SUBSTITUTE(F176,",",".")</f>
        <v>19.2036515031369</v>
      </c>
      <c r="R177" s="22" t="str">
        <f>SUBSTITUTE(G176,",",".")</f>
        <v>0.82</v>
      </c>
      <c r="S177" s="22" t="str">
        <f>SUBSTITUTE(H176,",",".")</f>
        <v>3.3</v>
      </c>
      <c r="T177" s="22" t="str">
        <f>SUBSTITUTE(I176,",",".")</f>
        <v>6.98872546612158</v>
      </c>
      <c r="U177" s="22" t="str">
        <f>SUBSTITUTE(J176,",",".")</f>
        <v>4.39</v>
      </c>
      <c r="X177" s="1"/>
    </row>
    <row r="178" spans="1:24" x14ac:dyDescent="0.25">
      <c r="A178" t="s">
        <v>28</v>
      </c>
      <c r="B178" s="1" t="s">
        <v>20</v>
      </c>
      <c r="C178">
        <v>3.2052368176230259</v>
      </c>
      <c r="D178" s="18">
        <v>33.119999999999997</v>
      </c>
      <c r="E178">
        <v>36.060454259094378</v>
      </c>
      <c r="F178">
        <v>19.299779368620122</v>
      </c>
      <c r="G178" s="18" t="s">
        <v>197</v>
      </c>
      <c r="H178" s="18" t="s">
        <v>196</v>
      </c>
      <c r="I178">
        <v>7.1100149711450165</v>
      </c>
      <c r="J178" s="18" t="s">
        <v>195</v>
      </c>
      <c r="L178" s="22" t="s">
        <v>28</v>
      </c>
      <c r="M178" s="24" t="s">
        <v>19</v>
      </c>
      <c r="N178" s="22" t="str">
        <f>SUBSTITUTE(C177,",",".")</f>
        <v>1.19509386432836</v>
      </c>
      <c r="O178" s="22" t="str">
        <f>SUBSTITUTE(D177,",",".")</f>
        <v>34.94</v>
      </c>
      <c r="P178" s="22" t="str">
        <f>SUBSTITUTE(E177,",",".")</f>
        <v>35.2296234746108</v>
      </c>
      <c r="Q178" s="22" t="str">
        <f>SUBSTITUTE(F177,",",".")</f>
        <v>19.2724502004069</v>
      </c>
      <c r="R178" s="22" t="str">
        <f>SUBSTITUTE(G177,",",".")</f>
        <v>0.73</v>
      </c>
      <c r="S178" s="22" t="str">
        <f>SUBSTITUTE(H177,",",".")</f>
        <v>3.2</v>
      </c>
      <c r="T178" s="22" t="str">
        <f>SUBSTITUTE(I177,",",".")</f>
        <v>7.20292131081954</v>
      </c>
      <c r="U178" s="22" t="str">
        <f>SUBSTITUTE(J177,",",".")</f>
        <v>4.02</v>
      </c>
      <c r="X178" s="1"/>
    </row>
    <row r="179" spans="1:24" x14ac:dyDescent="0.25">
      <c r="A179" t="s">
        <v>28</v>
      </c>
      <c r="B179" s="1" t="s">
        <v>21</v>
      </c>
      <c r="C179">
        <v>4.0067981265425425</v>
      </c>
      <c r="D179" s="18" t="s">
        <v>200</v>
      </c>
      <c r="E179">
        <v>34.342972690356056</v>
      </c>
      <c r="F179">
        <v>19.252691372057505</v>
      </c>
      <c r="G179" s="18" t="s">
        <v>203</v>
      </c>
      <c r="H179" s="18" t="s">
        <v>202</v>
      </c>
      <c r="I179">
        <v>7.0852675079777505</v>
      </c>
      <c r="J179" s="18" t="s">
        <v>201</v>
      </c>
      <c r="L179" s="22" t="s">
        <v>28</v>
      </c>
      <c r="M179" s="24" t="s">
        <v>20</v>
      </c>
      <c r="N179" s="22" t="str">
        <f>SUBSTITUTE(C178,",",".")</f>
        <v>3.20523681762303</v>
      </c>
      <c r="O179" s="22" t="str">
        <f>SUBSTITUTE(D178,",",".")</f>
        <v>33.12</v>
      </c>
      <c r="P179" s="22" t="str">
        <f>SUBSTITUTE(E178,",",".")</f>
        <v>36.0604542590944</v>
      </c>
      <c r="Q179" s="22" t="str">
        <f>SUBSTITUTE(F178,",",".")</f>
        <v>19.2997793686201</v>
      </c>
      <c r="R179" s="22" t="str">
        <f>SUBSTITUTE(G178,",",".")</f>
        <v>1.60</v>
      </c>
      <c r="S179" s="22" t="str">
        <f>SUBSTITUTE(H178,",",".")</f>
        <v>3.17</v>
      </c>
      <c r="T179" s="22" t="str">
        <f>SUBSTITUTE(I178,",",".")</f>
        <v>7.11001497114502</v>
      </c>
      <c r="U179" s="22" t="str">
        <f>SUBSTITUTE(J178,",",".")</f>
        <v>3.81</v>
      </c>
      <c r="X179" s="1"/>
    </row>
    <row r="180" spans="1:24" x14ac:dyDescent="0.25">
      <c r="A180" t="s">
        <v>28</v>
      </c>
      <c r="B180" s="1" t="s">
        <v>22</v>
      </c>
      <c r="C180">
        <v>0.7304187678132944</v>
      </c>
      <c r="D180" s="18" t="s">
        <v>206</v>
      </c>
      <c r="E180">
        <v>33.357211310302759</v>
      </c>
      <c r="F180">
        <v>19.211200462556782</v>
      </c>
      <c r="G180" s="18" t="s">
        <v>209</v>
      </c>
      <c r="H180" s="18" t="s">
        <v>208</v>
      </c>
      <c r="I180">
        <v>7.3101352086064191</v>
      </c>
      <c r="J180" s="18" t="s">
        <v>207</v>
      </c>
      <c r="L180" s="22" t="s">
        <v>28</v>
      </c>
      <c r="M180" s="24" t="s">
        <v>21</v>
      </c>
      <c r="N180" s="22" t="str">
        <f>SUBSTITUTE(C179,",",".")</f>
        <v>4.00679812654254</v>
      </c>
      <c r="O180" s="22" t="str">
        <f>SUBSTITUTE(D179,",",".")</f>
        <v>32.96</v>
      </c>
      <c r="P180" s="22" t="str">
        <f>SUBSTITUTE(E179,",",".")</f>
        <v>34.3429726903561</v>
      </c>
      <c r="Q180" s="22" t="str">
        <f>SUBSTITUTE(F179,",",".")</f>
        <v>19.2526913720575</v>
      </c>
      <c r="R180" s="22" t="str">
        <f>SUBSTITUTE(G179,",",".")</f>
        <v>1.54</v>
      </c>
      <c r="S180" s="22" t="str">
        <f>SUBSTITUTE(H179,",",".")</f>
        <v>3.11</v>
      </c>
      <c r="T180" s="22" t="str">
        <f>SUBSTITUTE(I179,",",".")</f>
        <v>7.08526750797775</v>
      </c>
      <c r="U180" s="22" t="str">
        <f>SUBSTITUTE(J179,",",".")</f>
        <v>4.02</v>
      </c>
      <c r="X180" s="1"/>
    </row>
    <row r="181" spans="1:24" ht="15.75" x14ac:dyDescent="0.25">
      <c r="A181" t="s">
        <v>28</v>
      </c>
      <c r="B181" s="1" t="s">
        <v>23</v>
      </c>
      <c r="C181">
        <v>0.49144175569127224</v>
      </c>
      <c r="D181" s="19">
        <v>34.19</v>
      </c>
      <c r="E181">
        <v>39.2183391144371</v>
      </c>
      <c r="F181">
        <v>19.357215068628218</v>
      </c>
      <c r="G181" s="18">
        <v>1.1000000000000001</v>
      </c>
      <c r="H181" s="19">
        <v>3.13</v>
      </c>
      <c r="I181">
        <v>7.4490341902974047</v>
      </c>
      <c r="J181" s="21">
        <v>4.33</v>
      </c>
      <c r="L181" s="22" t="s">
        <v>28</v>
      </c>
      <c r="M181" s="24" t="s">
        <v>22</v>
      </c>
      <c r="N181" s="22" t="str">
        <f>SUBSTITUTE(C180,",",".")</f>
        <v>0.730418767813294</v>
      </c>
      <c r="O181" s="22" t="str">
        <f>SUBSTITUTE(D180,",",".")</f>
        <v>33.17</v>
      </c>
      <c r="P181" s="22" t="str">
        <f>SUBSTITUTE(E180,",",".")</f>
        <v>33.3572113103028</v>
      </c>
      <c r="Q181" s="22" t="str">
        <f>SUBSTITUTE(F180,",",".")</f>
        <v>19.2112004625568</v>
      </c>
      <c r="R181" s="22" t="str">
        <f>SUBSTITUTE(G180,",",".")</f>
        <v>1.64</v>
      </c>
      <c r="S181" s="22" t="str">
        <f>SUBSTITUTE(H180,",",".")</f>
        <v>3.09</v>
      </c>
      <c r="T181" s="22" t="str">
        <f>SUBSTITUTE(I180,",",".")</f>
        <v>7.31013520860642</v>
      </c>
      <c r="U181" s="22" t="str">
        <f>SUBSTITUTE(J180,",",".")</f>
        <v>4.25</v>
      </c>
      <c r="X181" s="1"/>
    </row>
    <row r="182" spans="1:24" x14ac:dyDescent="0.25">
      <c r="A182" t="s">
        <v>30</v>
      </c>
      <c r="B182" s="1" t="s">
        <v>4</v>
      </c>
      <c r="C182">
        <v>-3.7858293365270206</v>
      </c>
      <c r="D182" s="17">
        <v>17.86</v>
      </c>
      <c r="E182">
        <v>21.3456053763386</v>
      </c>
      <c r="F182">
        <v>18.896191785771663</v>
      </c>
      <c r="G182" s="18">
        <v>1.17</v>
      </c>
      <c r="H182" s="18">
        <v>3.25</v>
      </c>
      <c r="I182">
        <v>1.8587564238292973</v>
      </c>
      <c r="J182" s="17">
        <v>4.01</v>
      </c>
      <c r="L182" s="22" t="s">
        <v>28</v>
      </c>
      <c r="M182" s="24" t="s">
        <v>23</v>
      </c>
      <c r="N182" s="22" t="str">
        <f>SUBSTITUTE(C181,",",".")</f>
        <v>0.491441755691272</v>
      </c>
      <c r="O182" s="22" t="str">
        <f>SUBSTITUTE(D181,",",".")</f>
        <v>34.19</v>
      </c>
      <c r="P182" s="22" t="str">
        <f>SUBSTITUTE(E181,",",".")</f>
        <v>39.2183391144371</v>
      </c>
      <c r="Q182" s="22" t="str">
        <f>SUBSTITUTE(F181,",",".")</f>
        <v>19.3572150686282</v>
      </c>
      <c r="R182" s="22" t="str">
        <f>SUBSTITUTE(G181,",",".")</f>
        <v>1.1</v>
      </c>
      <c r="S182" s="22" t="str">
        <f>SUBSTITUTE(H181,",",".")</f>
        <v>3.13</v>
      </c>
      <c r="T182" s="22" t="str">
        <f>SUBSTITUTE(I181,",",".")</f>
        <v>7.4490341902974</v>
      </c>
      <c r="U182" s="22" t="str">
        <f>SUBSTITUTE(J181,",",".")</f>
        <v>4.33</v>
      </c>
      <c r="X182" s="1"/>
    </row>
    <row r="183" spans="1:24" x14ac:dyDescent="0.25">
      <c r="A183" t="s">
        <v>30</v>
      </c>
      <c r="B183" s="1" t="s">
        <v>5</v>
      </c>
      <c r="C183">
        <v>3.4958863780180316</v>
      </c>
      <c r="D183" s="17">
        <v>19.2</v>
      </c>
      <c r="E183">
        <v>20.969559528139701</v>
      </c>
      <c r="F183">
        <v>18.864703300430552</v>
      </c>
      <c r="G183" s="18">
        <v>1.23</v>
      </c>
      <c r="H183" s="18">
        <v>2.93</v>
      </c>
      <c r="I183">
        <v>1.8585912030273402</v>
      </c>
      <c r="J183" s="17">
        <v>4.1900000000000004</v>
      </c>
      <c r="L183" s="22" t="s">
        <v>30</v>
      </c>
      <c r="M183" s="24" t="s">
        <v>4</v>
      </c>
      <c r="N183" s="22" t="str">
        <f>SUBSTITUTE(C182,",",".")</f>
        <v>-3.78582933652702</v>
      </c>
      <c r="O183" s="22" t="str">
        <f>SUBSTITUTE(D182,",",".")</f>
        <v>17.86</v>
      </c>
      <c r="P183" s="22" t="str">
        <f>SUBSTITUTE(E182,",",".")</f>
        <v>21.3456053763386</v>
      </c>
      <c r="Q183" s="22" t="str">
        <f>SUBSTITUTE(F182,",",".")</f>
        <v>18.8961917857717</v>
      </c>
      <c r="R183" s="22" t="str">
        <f>SUBSTITUTE(G182,",",".")</f>
        <v>1.17</v>
      </c>
      <c r="S183" s="22" t="str">
        <f>SUBSTITUTE(H182,",",".")</f>
        <v>3.25</v>
      </c>
      <c r="T183" s="22" t="str">
        <f>SUBSTITUTE(I182,",",".")</f>
        <v>1.8587564238293</v>
      </c>
      <c r="U183" s="22" t="str">
        <f>SUBSTITUTE(J182,",",".")</f>
        <v>4.01</v>
      </c>
      <c r="X183" s="1"/>
    </row>
    <row r="184" spans="1:24" x14ac:dyDescent="0.25">
      <c r="A184" t="s">
        <v>30</v>
      </c>
      <c r="B184" s="1" t="s">
        <v>6</v>
      </c>
      <c r="C184">
        <v>65.372104364431962</v>
      </c>
      <c r="D184" s="17">
        <v>19.04</v>
      </c>
      <c r="E184">
        <v>19.34089170333807</v>
      </c>
      <c r="F184">
        <v>18.877821018858864</v>
      </c>
      <c r="G184" s="18">
        <v>1.35</v>
      </c>
      <c r="H184" s="18">
        <v>2.83</v>
      </c>
      <c r="I184">
        <v>1.1531997809804873</v>
      </c>
      <c r="J184" s="17">
        <v>4.34</v>
      </c>
      <c r="L184" s="22" t="s">
        <v>30</v>
      </c>
      <c r="M184" s="24" t="s">
        <v>5</v>
      </c>
      <c r="N184" s="22" t="str">
        <f>SUBSTITUTE(C183,",",".")</f>
        <v>3.49588637801803</v>
      </c>
      <c r="O184" s="22" t="str">
        <f>SUBSTITUTE(D183,",",".")</f>
        <v>19.2</v>
      </c>
      <c r="P184" s="22" t="str">
        <f>SUBSTITUTE(E183,",",".")</f>
        <v>20.9695595281397</v>
      </c>
      <c r="Q184" s="22" t="str">
        <f>SUBSTITUTE(F183,",",".")</f>
        <v>18.8647033004306</v>
      </c>
      <c r="R184" s="22" t="str">
        <f>SUBSTITUTE(G183,",",".")</f>
        <v>1.23</v>
      </c>
      <c r="S184" s="22" t="str">
        <f>SUBSTITUTE(H183,",",".")</f>
        <v>2.93</v>
      </c>
      <c r="T184" s="22" t="str">
        <f>SUBSTITUTE(I183,",",".")</f>
        <v>1.85859120302734</v>
      </c>
      <c r="U184" s="22" t="str">
        <f>SUBSTITUTE(J183,",",".")</f>
        <v>4.19</v>
      </c>
      <c r="X184" s="1"/>
    </row>
    <row r="185" spans="1:24" x14ac:dyDescent="0.25">
      <c r="A185" t="s">
        <v>30</v>
      </c>
      <c r="B185" s="1" t="s">
        <v>7</v>
      </c>
      <c r="C185">
        <v>-35.379633641075529</v>
      </c>
      <c r="D185" s="17">
        <v>19.09</v>
      </c>
      <c r="E185">
        <v>20.515047899256516</v>
      </c>
      <c r="F185">
        <v>18.91070781557362</v>
      </c>
      <c r="G185" s="18">
        <v>1.48</v>
      </c>
      <c r="H185" s="18">
        <v>2.66</v>
      </c>
      <c r="I185">
        <v>1.6895924878160142</v>
      </c>
      <c r="J185" s="17">
        <v>4.3499999999999996</v>
      </c>
      <c r="L185" s="22" t="s">
        <v>30</v>
      </c>
      <c r="M185" s="24" t="s">
        <v>6</v>
      </c>
      <c r="N185" s="22" t="str">
        <f>SUBSTITUTE(C184,",",".")</f>
        <v>65.372104364432</v>
      </c>
      <c r="O185" s="22" t="str">
        <f>SUBSTITUTE(D184,",",".")</f>
        <v>19.04</v>
      </c>
      <c r="P185" s="22" t="str">
        <f>SUBSTITUTE(E184,",",".")</f>
        <v>19.3408917033381</v>
      </c>
      <c r="Q185" s="22" t="str">
        <f>SUBSTITUTE(F184,",",".")</f>
        <v>18.8778210188589</v>
      </c>
      <c r="R185" s="22" t="str">
        <f>SUBSTITUTE(G184,",",".")</f>
        <v>1.35</v>
      </c>
      <c r="S185" s="22" t="str">
        <f>SUBSTITUTE(H184,",",".")</f>
        <v>2.83</v>
      </c>
      <c r="T185" s="22" t="str">
        <f>SUBSTITUTE(I184,",",".")</f>
        <v>1.15319978098049</v>
      </c>
      <c r="U185" s="22" t="str">
        <f>SUBSTITUTE(J184,",",".")</f>
        <v>4.34</v>
      </c>
      <c r="X185" s="1"/>
    </row>
    <row r="186" spans="1:24" x14ac:dyDescent="0.25">
      <c r="A186" t="s">
        <v>30</v>
      </c>
      <c r="B186" s="1" t="s">
        <v>8</v>
      </c>
      <c r="C186">
        <v>2.0550767555637854</v>
      </c>
      <c r="D186" s="17">
        <v>18.739999999999998</v>
      </c>
      <c r="E186">
        <v>19.903908086553564</v>
      </c>
      <c r="F186">
        <v>18.974553121465519</v>
      </c>
      <c r="G186" s="18">
        <v>0.96</v>
      </c>
      <c r="H186" s="18">
        <v>3.01</v>
      </c>
      <c r="I186">
        <v>1.7979911199120975</v>
      </c>
      <c r="J186" s="17">
        <v>4.12</v>
      </c>
      <c r="L186" s="22" t="s">
        <v>30</v>
      </c>
      <c r="M186" s="24" t="s">
        <v>7</v>
      </c>
      <c r="N186" s="22" t="str">
        <f>SUBSTITUTE(C185,",",".")</f>
        <v>-35.3796336410755</v>
      </c>
      <c r="O186" s="22" t="str">
        <f>SUBSTITUTE(D185,",",".")</f>
        <v>19.09</v>
      </c>
      <c r="P186" s="22" t="str">
        <f>SUBSTITUTE(E185,",",".")</f>
        <v>20.5150478992565</v>
      </c>
      <c r="Q186" s="22" t="str">
        <f>SUBSTITUTE(F185,",",".")</f>
        <v>18.9107078155736</v>
      </c>
      <c r="R186" s="22" t="str">
        <f>SUBSTITUTE(G185,",",".")</f>
        <v>1.48</v>
      </c>
      <c r="S186" s="22" t="str">
        <f>SUBSTITUTE(H185,",",".")</f>
        <v>2.66</v>
      </c>
      <c r="T186" s="22" t="str">
        <f>SUBSTITUTE(I185,",",".")</f>
        <v>1.68959248781601</v>
      </c>
      <c r="U186" s="22" t="str">
        <f>SUBSTITUTE(J185,",",".")</f>
        <v>4.35</v>
      </c>
      <c r="X186" s="1"/>
    </row>
    <row r="187" spans="1:24" x14ac:dyDescent="0.25">
      <c r="A187" t="s">
        <v>30</v>
      </c>
      <c r="B187" s="1" t="s">
        <v>9</v>
      </c>
      <c r="C187">
        <v>-0.28568072705986425</v>
      </c>
      <c r="D187" s="17">
        <v>19.059999999999999</v>
      </c>
      <c r="E187">
        <v>20.971702524481508</v>
      </c>
      <c r="F187">
        <v>18.946982732574995</v>
      </c>
      <c r="G187" s="18">
        <v>0.89</v>
      </c>
      <c r="H187" s="16">
        <v>3.22</v>
      </c>
      <c r="I187">
        <v>2.020860954857485</v>
      </c>
      <c r="J187" s="17">
        <v>4.0199999999999996</v>
      </c>
      <c r="L187" s="22" t="s">
        <v>30</v>
      </c>
      <c r="M187" s="24" t="s">
        <v>8</v>
      </c>
      <c r="N187" s="22" t="str">
        <f>SUBSTITUTE(C186,",",".")</f>
        <v>2.05507675556379</v>
      </c>
      <c r="O187" s="22" t="str">
        <f>SUBSTITUTE(D186,",",".")</f>
        <v>18.74</v>
      </c>
      <c r="P187" s="22" t="str">
        <f>SUBSTITUTE(E186,",",".")</f>
        <v>19.9039080865536</v>
      </c>
      <c r="Q187" s="22" t="str">
        <f>SUBSTITUTE(F186,",",".")</f>
        <v>18.9745531214655</v>
      </c>
      <c r="R187" s="22" t="str">
        <f>SUBSTITUTE(G186,",",".")</f>
        <v>0.96</v>
      </c>
      <c r="S187" s="22" t="str">
        <f>SUBSTITUTE(H186,",",".")</f>
        <v>3.01</v>
      </c>
      <c r="T187" s="22" t="str">
        <f>SUBSTITUTE(I186,",",".")</f>
        <v>1.7979911199121</v>
      </c>
      <c r="U187" s="22" t="str">
        <f>SUBSTITUTE(J186,",",".")</f>
        <v>4.12</v>
      </c>
      <c r="X187" s="1"/>
    </row>
    <row r="188" spans="1:24" x14ac:dyDescent="0.25">
      <c r="A188" t="s">
        <v>30</v>
      </c>
      <c r="B188" s="1" t="s">
        <v>10</v>
      </c>
      <c r="C188">
        <v>-4.3864064744394069</v>
      </c>
      <c r="D188" s="17">
        <v>20.059999999999999</v>
      </c>
      <c r="E188">
        <v>21.04890361764183</v>
      </c>
      <c r="F188">
        <v>18.913677292127243</v>
      </c>
      <c r="G188" s="18">
        <v>0.82</v>
      </c>
      <c r="H188" s="18">
        <v>2.78</v>
      </c>
      <c r="I188">
        <v>2.3587877616045656</v>
      </c>
      <c r="J188" s="17">
        <v>4.09</v>
      </c>
      <c r="L188" s="22" t="s">
        <v>30</v>
      </c>
      <c r="M188" s="24" t="s">
        <v>9</v>
      </c>
      <c r="N188" s="22" t="str">
        <f>SUBSTITUTE(C187,",",".")</f>
        <v>-0.285680727059864</v>
      </c>
      <c r="O188" s="22" t="str">
        <f>SUBSTITUTE(D187,",",".")</f>
        <v>19.06</v>
      </c>
      <c r="P188" s="22" t="str">
        <f>SUBSTITUTE(E187,",",".")</f>
        <v>20.9717025244815</v>
      </c>
      <c r="Q188" s="22" t="str">
        <f>SUBSTITUTE(F187,",",".")</f>
        <v>18.946982732575</v>
      </c>
      <c r="R188" s="22" t="str">
        <f>SUBSTITUTE(G187,",",".")</f>
        <v>0.89</v>
      </c>
      <c r="S188" s="22" t="str">
        <f>SUBSTITUTE(H187,",",".")</f>
        <v>3.22</v>
      </c>
      <c r="T188" s="22" t="str">
        <f>SUBSTITUTE(I187,",",".")</f>
        <v>2.02086095485748</v>
      </c>
      <c r="U188" s="22" t="str">
        <f>SUBSTITUTE(J187,",",".")</f>
        <v>4.02</v>
      </c>
      <c r="X188" s="1"/>
    </row>
    <row r="189" spans="1:24" x14ac:dyDescent="0.25">
      <c r="A189" t="s">
        <v>30</v>
      </c>
      <c r="B189" s="1" t="s">
        <v>11</v>
      </c>
      <c r="C189">
        <v>-6.4634240402615548</v>
      </c>
      <c r="D189" s="17">
        <v>21.42</v>
      </c>
      <c r="E189">
        <v>21.073831524843779</v>
      </c>
      <c r="F189">
        <v>18.85701916212626</v>
      </c>
      <c r="G189" s="18">
        <v>1.0900000000000001</v>
      </c>
      <c r="H189" s="18">
        <v>3.62</v>
      </c>
      <c r="I189">
        <v>2.208292298551497</v>
      </c>
      <c r="J189" s="17">
        <v>4.1399999999999997</v>
      </c>
      <c r="L189" s="22" t="s">
        <v>30</v>
      </c>
      <c r="M189" s="24" t="s">
        <v>10</v>
      </c>
      <c r="N189" s="22" t="str">
        <f>SUBSTITUTE(C188,",",".")</f>
        <v>-4.38640647443941</v>
      </c>
      <c r="O189" s="22" t="str">
        <f>SUBSTITUTE(D188,",",".")</f>
        <v>20.06</v>
      </c>
      <c r="P189" s="22" t="str">
        <f>SUBSTITUTE(E188,",",".")</f>
        <v>21.0489036176418</v>
      </c>
      <c r="Q189" s="22" t="str">
        <f>SUBSTITUTE(F188,",",".")</f>
        <v>18.9136772921272</v>
      </c>
      <c r="R189" s="22" t="str">
        <f>SUBSTITUTE(G188,",",".")</f>
        <v>0.82</v>
      </c>
      <c r="S189" s="22" t="str">
        <f>SUBSTITUTE(H188,",",".")</f>
        <v>2.78</v>
      </c>
      <c r="T189" s="22" t="str">
        <f>SUBSTITUTE(I188,",",".")</f>
        <v>2.35878776160457</v>
      </c>
      <c r="U189" s="22" t="str">
        <f>SUBSTITUTE(J188,",",".")</f>
        <v>4.09</v>
      </c>
      <c r="X189" s="1"/>
    </row>
    <row r="190" spans="1:24" x14ac:dyDescent="0.25">
      <c r="A190" t="s">
        <v>30</v>
      </c>
      <c r="B190" s="1" t="s">
        <v>12</v>
      </c>
      <c r="C190">
        <v>0.78930804144999123</v>
      </c>
      <c r="D190" s="17">
        <v>20.53</v>
      </c>
      <c r="E190">
        <v>21.244187117456704</v>
      </c>
      <c r="F190">
        <v>18.937144258900226</v>
      </c>
      <c r="G190" s="18">
        <v>1.37</v>
      </c>
      <c r="H190" s="18">
        <v>3.97</v>
      </c>
      <c r="I190">
        <v>3.0252366926406458</v>
      </c>
      <c r="J190" s="17">
        <v>4.12</v>
      </c>
      <c r="L190" s="22" t="s">
        <v>30</v>
      </c>
      <c r="M190" s="24" t="s">
        <v>11</v>
      </c>
      <c r="N190" s="22" t="str">
        <f>SUBSTITUTE(C189,",",".")</f>
        <v>-6.46342404026155</v>
      </c>
      <c r="O190" s="22" t="str">
        <f>SUBSTITUTE(D189,",",".")</f>
        <v>21.42</v>
      </c>
      <c r="P190" s="22" t="str">
        <f>SUBSTITUTE(E189,",",".")</f>
        <v>21.0738315248438</v>
      </c>
      <c r="Q190" s="22" t="str">
        <f>SUBSTITUTE(F189,",",".")</f>
        <v>18.8570191621263</v>
      </c>
      <c r="R190" s="22" t="str">
        <f>SUBSTITUTE(G189,",",".")</f>
        <v>1.09</v>
      </c>
      <c r="S190" s="22" t="str">
        <f>SUBSTITUTE(H189,",",".")</f>
        <v>3.62</v>
      </c>
      <c r="T190" s="22" t="str">
        <f>SUBSTITUTE(I189,",",".")</f>
        <v>2.2082922985515</v>
      </c>
      <c r="U190" s="22" t="str">
        <f>SUBSTITUTE(J189,",",".")</f>
        <v>4.14</v>
      </c>
      <c r="X190" s="1"/>
    </row>
    <row r="191" spans="1:24" x14ac:dyDescent="0.25">
      <c r="A191" t="s">
        <v>30</v>
      </c>
      <c r="B191" s="1" t="s">
        <v>13</v>
      </c>
      <c r="C191">
        <v>-5.4009237900182461</v>
      </c>
      <c r="D191" s="17">
        <v>21.98</v>
      </c>
      <c r="E191">
        <v>20.202431042805127</v>
      </c>
      <c r="F191">
        <v>18.837686040532251</v>
      </c>
      <c r="G191" s="18">
        <v>1.01</v>
      </c>
      <c r="H191" s="18">
        <v>5.23</v>
      </c>
      <c r="I191">
        <v>3.5040487886838569</v>
      </c>
      <c r="J191" s="17">
        <v>4.13</v>
      </c>
      <c r="L191" s="22" t="s">
        <v>30</v>
      </c>
      <c r="M191" s="24" t="s">
        <v>12</v>
      </c>
      <c r="N191" s="22" t="str">
        <f>SUBSTITUTE(C190,",",".")</f>
        <v>0.789308041449991</v>
      </c>
      <c r="O191" s="22" t="str">
        <f>SUBSTITUTE(D190,",",".")</f>
        <v>20.53</v>
      </c>
      <c r="P191" s="22" t="str">
        <f>SUBSTITUTE(E190,",",".")</f>
        <v>21.2441871174567</v>
      </c>
      <c r="Q191" s="22" t="str">
        <f>SUBSTITUTE(F190,",",".")</f>
        <v>18.9371442589002</v>
      </c>
      <c r="R191" s="22" t="str">
        <f>SUBSTITUTE(G190,",",".")</f>
        <v>1.37</v>
      </c>
      <c r="S191" s="22" t="str">
        <f>SUBSTITUTE(H190,",",".")</f>
        <v>3.97</v>
      </c>
      <c r="T191" s="22" t="str">
        <f>SUBSTITUTE(I190,",",".")</f>
        <v>3.02523669264065</v>
      </c>
      <c r="U191" s="22" t="str">
        <f>SUBSTITUTE(J190,",",".")</f>
        <v>4.12</v>
      </c>
      <c r="X191" s="1"/>
    </row>
    <row r="192" spans="1:24" x14ac:dyDescent="0.25">
      <c r="A192" t="s">
        <v>30</v>
      </c>
      <c r="B192" s="1" t="s">
        <v>14</v>
      </c>
      <c r="C192">
        <v>-5.2133766123171821</v>
      </c>
      <c r="D192" s="17">
        <v>23.36</v>
      </c>
      <c r="E192">
        <v>24.458060000332612</v>
      </c>
      <c r="F192">
        <v>18.928337626556729</v>
      </c>
      <c r="G192" s="18">
        <v>0.88</v>
      </c>
      <c r="H192" s="18">
        <v>4.51</v>
      </c>
      <c r="I192">
        <v>3.0808693644921692</v>
      </c>
      <c r="J192" s="17">
        <v>3.92</v>
      </c>
      <c r="L192" s="22" t="s">
        <v>30</v>
      </c>
      <c r="M192" s="24" t="s">
        <v>13</v>
      </c>
      <c r="N192" s="22" t="str">
        <f>SUBSTITUTE(C191,",",".")</f>
        <v>-5.40092379001825</v>
      </c>
      <c r="O192" s="22" t="str">
        <f>SUBSTITUTE(D191,",",".")</f>
        <v>21.98</v>
      </c>
      <c r="P192" s="22" t="str">
        <f>SUBSTITUTE(E191,",",".")</f>
        <v>20.2024310428051</v>
      </c>
      <c r="Q192" s="22" t="str">
        <f>SUBSTITUTE(F191,",",".")</f>
        <v>18.8376860405323</v>
      </c>
      <c r="R192" s="22" t="str">
        <f>SUBSTITUTE(G191,",",".")</f>
        <v>1.01</v>
      </c>
      <c r="S192" s="22" t="str">
        <f>SUBSTITUTE(H191,",",".")</f>
        <v>5.23</v>
      </c>
      <c r="T192" s="22" t="str">
        <f>SUBSTITUTE(I191,",",".")</f>
        <v>3.50404878868386</v>
      </c>
      <c r="U192" s="22" t="str">
        <f>SUBSTITUTE(J191,",",".")</f>
        <v>4.13</v>
      </c>
      <c r="X192" s="1"/>
    </row>
    <row r="193" spans="1:24" x14ac:dyDescent="0.25">
      <c r="A193" t="s">
        <v>30</v>
      </c>
      <c r="B193" s="1" t="s">
        <v>15</v>
      </c>
      <c r="C193">
        <v>-3.5224285871734269</v>
      </c>
      <c r="D193" s="17">
        <v>24.25</v>
      </c>
      <c r="E193">
        <v>28.432043118662463</v>
      </c>
      <c r="F193">
        <v>18.906675019854692</v>
      </c>
      <c r="G193" s="18">
        <v>0.82</v>
      </c>
      <c r="H193" s="18">
        <v>4.13</v>
      </c>
      <c r="I193">
        <v>3.1797730153020667</v>
      </c>
      <c r="J193" s="17">
        <v>3.79</v>
      </c>
      <c r="L193" s="22" t="s">
        <v>30</v>
      </c>
      <c r="M193" s="24" t="s">
        <v>14</v>
      </c>
      <c r="N193" s="22" t="str">
        <f>SUBSTITUTE(C192,",",".")</f>
        <v>-5.21337661231718</v>
      </c>
      <c r="O193" s="22" t="str">
        <f>SUBSTITUTE(D192,",",".")</f>
        <v>23.36</v>
      </c>
      <c r="P193" s="22" t="str">
        <f>SUBSTITUTE(E192,",",".")</f>
        <v>24.4580600003326</v>
      </c>
      <c r="Q193" s="22" t="str">
        <f>SUBSTITUTE(F192,",",".")</f>
        <v>18.9283376265567</v>
      </c>
      <c r="R193" s="22" t="str">
        <f>SUBSTITUTE(G192,",",".")</f>
        <v>0.88</v>
      </c>
      <c r="S193" s="22" t="str">
        <f>SUBSTITUTE(H192,",",".")</f>
        <v>4.51</v>
      </c>
      <c r="T193" s="22" t="str">
        <f>SUBSTITUTE(I192,",",".")</f>
        <v>3.08086936449217</v>
      </c>
      <c r="U193" s="22" t="str">
        <f>SUBSTITUTE(J192,",",".")</f>
        <v>3.92</v>
      </c>
      <c r="X193" s="1"/>
    </row>
    <row r="194" spans="1:24" x14ac:dyDescent="0.25">
      <c r="A194" t="s">
        <v>30</v>
      </c>
      <c r="B194" s="1" t="s">
        <v>16</v>
      </c>
      <c r="C194">
        <v>-2.3346178337878709</v>
      </c>
      <c r="D194" s="17">
        <v>24.74</v>
      </c>
      <c r="E194">
        <v>27.369237400231718</v>
      </c>
      <c r="F194">
        <v>18.917631308745655</v>
      </c>
      <c r="G194" s="18">
        <v>1.1499999999999999</v>
      </c>
      <c r="H194" s="18">
        <v>4.16</v>
      </c>
      <c r="I194">
        <v>3.424152089957551</v>
      </c>
      <c r="J194" s="17">
        <v>4.3499999999999996</v>
      </c>
      <c r="L194" s="22" t="s">
        <v>30</v>
      </c>
      <c r="M194" s="24" t="s">
        <v>15</v>
      </c>
      <c r="N194" s="22" t="str">
        <f>SUBSTITUTE(C193,",",".")</f>
        <v>-3.52242858717343</v>
      </c>
      <c r="O194" s="22" t="str">
        <f>SUBSTITUTE(D193,",",".")</f>
        <v>24.25</v>
      </c>
      <c r="P194" s="22" t="str">
        <f>SUBSTITUTE(E193,",",".")</f>
        <v>28.4320431186625</v>
      </c>
      <c r="Q194" s="22" t="str">
        <f>SUBSTITUTE(F193,",",".")</f>
        <v>18.9066750198547</v>
      </c>
      <c r="R194" s="22" t="str">
        <f>SUBSTITUTE(G193,",",".")</f>
        <v>0.82</v>
      </c>
      <c r="S194" s="22" t="str">
        <f>SUBSTITUTE(H193,",",".")</f>
        <v>4.13</v>
      </c>
      <c r="T194" s="22" t="str">
        <f>SUBSTITUTE(I193,",",".")</f>
        <v>3.17977301530207</v>
      </c>
      <c r="U194" s="22" t="str">
        <f>SUBSTITUTE(J193,",",".")</f>
        <v>3.79</v>
      </c>
      <c r="X194" s="1"/>
    </row>
    <row r="195" spans="1:24" x14ac:dyDescent="0.25">
      <c r="A195" t="s">
        <v>30</v>
      </c>
      <c r="B195" s="1" t="s">
        <v>17</v>
      </c>
      <c r="C195">
        <v>-3.4123890431324986</v>
      </c>
      <c r="D195" s="17">
        <v>25.41</v>
      </c>
      <c r="E195">
        <v>32.921371249683936</v>
      </c>
      <c r="F195">
        <v>18.839759326788414</v>
      </c>
      <c r="G195" s="18">
        <v>0.59</v>
      </c>
      <c r="H195" s="18">
        <v>4.66</v>
      </c>
      <c r="I195">
        <v>3.8424602290768335</v>
      </c>
      <c r="J195" s="17">
        <v>3.71</v>
      </c>
      <c r="L195" s="22" t="s">
        <v>30</v>
      </c>
      <c r="M195" s="24" t="s">
        <v>16</v>
      </c>
      <c r="N195" s="22" t="str">
        <f>SUBSTITUTE(C194,",",".")</f>
        <v>-2.33461783378787</v>
      </c>
      <c r="O195" s="22" t="str">
        <f>SUBSTITUTE(D194,",",".")</f>
        <v>24.74</v>
      </c>
      <c r="P195" s="22" t="str">
        <f>SUBSTITUTE(E194,",",".")</f>
        <v>27.3692374002317</v>
      </c>
      <c r="Q195" s="22" t="str">
        <f>SUBSTITUTE(F194,",",".")</f>
        <v>18.9176313087457</v>
      </c>
      <c r="R195" s="22" t="str">
        <f>SUBSTITUTE(G194,",",".")</f>
        <v>1.15</v>
      </c>
      <c r="S195" s="22" t="str">
        <f>SUBSTITUTE(H194,",",".")</f>
        <v>4.16</v>
      </c>
      <c r="T195" s="22" t="str">
        <f>SUBSTITUTE(I194,",",".")</f>
        <v>3.42415208995755</v>
      </c>
      <c r="U195" s="22" t="str">
        <f>SUBSTITUTE(J194,",",".")</f>
        <v>4.35</v>
      </c>
      <c r="X195" s="1"/>
    </row>
    <row r="196" spans="1:24" x14ac:dyDescent="0.25">
      <c r="A196" t="s">
        <v>30</v>
      </c>
      <c r="B196" s="1" t="s">
        <v>18</v>
      </c>
      <c r="C196">
        <v>-0.28224700029797933</v>
      </c>
      <c r="D196" s="17">
        <v>26.01</v>
      </c>
      <c r="E196">
        <v>31.103322699420705</v>
      </c>
      <c r="F196">
        <v>18.785874386526935</v>
      </c>
      <c r="G196" s="18">
        <v>0.9</v>
      </c>
      <c r="H196" s="18">
        <v>4.99</v>
      </c>
      <c r="I196">
        <v>3.9452233166429975</v>
      </c>
      <c r="J196" s="17">
        <v>3.98</v>
      </c>
      <c r="L196" s="22" t="s">
        <v>30</v>
      </c>
      <c r="M196" s="24" t="s">
        <v>17</v>
      </c>
      <c r="N196" s="22" t="str">
        <f>SUBSTITUTE(C195,",",".")</f>
        <v>-3.4123890431325</v>
      </c>
      <c r="O196" s="22" t="str">
        <f>SUBSTITUTE(D195,",",".")</f>
        <v>25.41</v>
      </c>
      <c r="P196" s="22" t="str">
        <f>SUBSTITUTE(E195,",",".")</f>
        <v>32.9213712496839</v>
      </c>
      <c r="Q196" s="22" t="str">
        <f>SUBSTITUTE(F195,",",".")</f>
        <v>18.8397593267884</v>
      </c>
      <c r="R196" s="22" t="str">
        <f>SUBSTITUTE(G195,",",".")</f>
        <v>0.59</v>
      </c>
      <c r="S196" s="22" t="str">
        <f>SUBSTITUTE(H195,",",".")</f>
        <v>4.66</v>
      </c>
      <c r="T196" s="22" t="str">
        <f>SUBSTITUTE(I195,",",".")</f>
        <v>3.84246022907683</v>
      </c>
      <c r="U196" s="22" t="str">
        <f>SUBSTITUTE(J195,",",".")</f>
        <v>3.71</v>
      </c>
      <c r="X196" s="1"/>
    </row>
    <row r="197" spans="1:24" x14ac:dyDescent="0.25">
      <c r="A197" t="s">
        <v>30</v>
      </c>
      <c r="B197" s="1" t="s">
        <v>19</v>
      </c>
      <c r="C197">
        <v>2.1699490222744848</v>
      </c>
      <c r="D197" s="17">
        <v>26.38</v>
      </c>
      <c r="E197">
        <v>33.039358038578101</v>
      </c>
      <c r="F197">
        <v>18.877865942024556</v>
      </c>
      <c r="G197" s="17">
        <v>1</v>
      </c>
      <c r="H197" s="17">
        <v>4.04</v>
      </c>
      <c r="I197">
        <v>3.380322635535792</v>
      </c>
      <c r="J197" s="17">
        <v>3.95</v>
      </c>
      <c r="L197" s="22" t="s">
        <v>30</v>
      </c>
      <c r="M197" s="24" t="s">
        <v>18</v>
      </c>
      <c r="N197" s="22" t="str">
        <f>SUBSTITUTE(C196,",",".")</f>
        <v>-0.282247000297979</v>
      </c>
      <c r="O197" s="22" t="str">
        <f>SUBSTITUTE(D196,",",".")</f>
        <v>26.01</v>
      </c>
      <c r="P197" s="22" t="str">
        <f>SUBSTITUTE(E196,",",".")</f>
        <v>31.1033226994207</v>
      </c>
      <c r="Q197" s="22" t="str">
        <f>SUBSTITUTE(F196,",",".")</f>
        <v>18.7858743865269</v>
      </c>
      <c r="R197" s="22" t="str">
        <f>SUBSTITUTE(G196,",",".")</f>
        <v>0.9</v>
      </c>
      <c r="S197" s="22" t="str">
        <f>SUBSTITUTE(H196,",",".")</f>
        <v>4.99</v>
      </c>
      <c r="T197" s="22" t="str">
        <f>SUBSTITUTE(I196,",",".")</f>
        <v>3.945223316643</v>
      </c>
      <c r="U197" s="22" t="str">
        <f>SUBSTITUTE(J196,",",".")</f>
        <v>3.98</v>
      </c>
      <c r="X197" s="1"/>
    </row>
    <row r="198" spans="1:24" x14ac:dyDescent="0.25">
      <c r="A198" t="s">
        <v>30</v>
      </c>
      <c r="B198" s="1" t="s">
        <v>20</v>
      </c>
      <c r="C198">
        <v>-1.6700887190672378</v>
      </c>
      <c r="D198" s="18" t="s">
        <v>264</v>
      </c>
      <c r="E198">
        <v>29.581083926351848</v>
      </c>
      <c r="F198">
        <v>18.823180787263968</v>
      </c>
      <c r="G198" s="17" t="s">
        <v>268</v>
      </c>
      <c r="H198" s="18" t="s">
        <v>266</v>
      </c>
      <c r="I198">
        <v>3.4982291892755613</v>
      </c>
      <c r="J198" s="17" t="s">
        <v>265</v>
      </c>
      <c r="L198" s="22" t="s">
        <v>30</v>
      </c>
      <c r="M198" s="24" t="s">
        <v>19</v>
      </c>
      <c r="N198" s="22" t="str">
        <f>SUBSTITUTE(C197,",",".")</f>
        <v>2.16994902227448</v>
      </c>
      <c r="O198" s="22" t="str">
        <f>SUBSTITUTE(D197,",",".")</f>
        <v>26.38</v>
      </c>
      <c r="P198" s="22" t="str">
        <f>SUBSTITUTE(E197,",",".")</f>
        <v>33.0393580385781</v>
      </c>
      <c r="Q198" s="22" t="str">
        <f>SUBSTITUTE(F197,",",".")</f>
        <v>18.8778659420246</v>
      </c>
      <c r="R198" s="22" t="str">
        <f>SUBSTITUTE(G197,",",".")</f>
        <v>1</v>
      </c>
      <c r="S198" s="22" t="str">
        <f>SUBSTITUTE(H197,",",".")</f>
        <v>4.04</v>
      </c>
      <c r="T198" s="22" t="str">
        <f>SUBSTITUTE(I197,",",".")</f>
        <v>3.38032263553579</v>
      </c>
      <c r="U198" s="22" t="str">
        <f>SUBSTITUTE(J197,",",".")</f>
        <v>3.95</v>
      </c>
      <c r="X198" s="1"/>
    </row>
    <row r="199" spans="1:24" x14ac:dyDescent="0.25">
      <c r="A199" t="s">
        <v>30</v>
      </c>
      <c r="B199" s="1" t="s">
        <v>21</v>
      </c>
      <c r="C199">
        <v>8.2020743547328383</v>
      </c>
      <c r="D199" s="18" t="s">
        <v>271</v>
      </c>
      <c r="E199">
        <v>31.907478901919241</v>
      </c>
      <c r="F199">
        <v>18.872744982747562</v>
      </c>
      <c r="G199" s="18" t="s">
        <v>273</v>
      </c>
      <c r="H199" s="18" t="s">
        <v>272</v>
      </c>
      <c r="I199">
        <v>3.3058999764063528</v>
      </c>
      <c r="J199" s="17" t="s">
        <v>265</v>
      </c>
      <c r="L199" s="22" t="s">
        <v>30</v>
      </c>
      <c r="M199" s="24" t="s">
        <v>20</v>
      </c>
      <c r="N199" s="22" t="str">
        <f>SUBSTITUTE(C198,",",".")</f>
        <v>-1.67008871906724</v>
      </c>
      <c r="O199" s="22" t="str">
        <f>SUBSTITUTE(D198,",",".")</f>
        <v>25.58</v>
      </c>
      <c r="P199" s="22" t="str">
        <f>SUBSTITUTE(E198,",",".")</f>
        <v>29.5810839263518</v>
      </c>
      <c r="Q199" s="22" t="str">
        <f>SUBSTITUTE(F198,",",".")</f>
        <v>18.823180787264</v>
      </c>
      <c r="R199" s="22" t="str">
        <f>SUBSTITUTE(G198,",",".")</f>
        <v>1.02</v>
      </c>
      <c r="S199" s="22" t="str">
        <f>SUBSTITUTE(H198,",",".")</f>
        <v>4.28</v>
      </c>
      <c r="T199" s="22" t="str">
        <f>SUBSTITUTE(I198,",",".")</f>
        <v>3.49822918927556</v>
      </c>
      <c r="U199" s="22" t="str">
        <f>SUBSTITUTE(J198,",",".")</f>
        <v>3.75</v>
      </c>
      <c r="X199" s="1"/>
    </row>
    <row r="200" spans="1:24" x14ac:dyDescent="0.25">
      <c r="A200" t="s">
        <v>30</v>
      </c>
      <c r="B200" s="1" t="s">
        <v>22</v>
      </c>
      <c r="C200">
        <v>4.5651417281885438</v>
      </c>
      <c r="D200" s="18" t="s">
        <v>277</v>
      </c>
      <c r="E200">
        <v>27.938507647704718</v>
      </c>
      <c r="F200">
        <v>18.8555921884311</v>
      </c>
      <c r="G200" s="18" t="s">
        <v>280</v>
      </c>
      <c r="H200" s="18" t="s">
        <v>279</v>
      </c>
      <c r="I200">
        <v>2.7907600157455592</v>
      </c>
      <c r="J200" s="17" t="s">
        <v>278</v>
      </c>
      <c r="L200" s="22" t="s">
        <v>30</v>
      </c>
      <c r="M200" s="24" t="s">
        <v>21</v>
      </c>
      <c r="N200" s="22" t="str">
        <f>SUBSTITUTE(C199,",",".")</f>
        <v>8.20207435473284</v>
      </c>
      <c r="O200" s="22" t="str">
        <f>SUBSTITUTE(D199,",",".")</f>
        <v>24.81</v>
      </c>
      <c r="P200" s="22" t="str">
        <f>SUBSTITUTE(E199,",",".")</f>
        <v>31.9074789019192</v>
      </c>
      <c r="Q200" s="22" t="str">
        <f>SUBSTITUTE(F199,",",".")</f>
        <v>18.8727449827476</v>
      </c>
      <c r="R200" s="22" t="str">
        <f>SUBSTITUTE(G199,",",".")</f>
        <v>0.77</v>
      </c>
      <c r="S200" s="22" t="str">
        <f>SUBSTITUTE(H199,",",".")</f>
        <v>3.79</v>
      </c>
      <c r="T200" s="22" t="str">
        <f>SUBSTITUTE(I199,",",".")</f>
        <v>3.30589997640635</v>
      </c>
      <c r="U200" s="22" t="str">
        <f>SUBSTITUTE(J199,",",".")</f>
        <v>3.75</v>
      </c>
      <c r="X200" s="1"/>
    </row>
    <row r="201" spans="1:24" x14ac:dyDescent="0.25">
      <c r="A201" t="s">
        <v>30</v>
      </c>
      <c r="B201" s="1" t="s">
        <v>23</v>
      </c>
      <c r="C201">
        <v>-4.9109811480186787</v>
      </c>
      <c r="D201" s="17">
        <v>25.66</v>
      </c>
      <c r="E201">
        <v>29.109907262606367</v>
      </c>
      <c r="F201">
        <v>18.819097000508947</v>
      </c>
      <c r="G201" s="17" t="s">
        <v>232</v>
      </c>
      <c r="H201" s="17" t="s">
        <v>195</v>
      </c>
      <c r="I201">
        <v>3.2874606718332746</v>
      </c>
      <c r="J201" s="17">
        <v>4.0599999999999996</v>
      </c>
      <c r="L201" s="22" t="s">
        <v>30</v>
      </c>
      <c r="M201" s="24" t="s">
        <v>22</v>
      </c>
      <c r="N201" s="22" t="str">
        <f>SUBSTITUTE(C200,",",".")</f>
        <v>4.56514172818854</v>
      </c>
      <c r="O201" s="22" t="str">
        <f>SUBSTITUTE(D200,",",".")</f>
        <v>23.40</v>
      </c>
      <c r="P201" s="22" t="str">
        <f>SUBSTITUTE(E200,",",".")</f>
        <v>27.9385076477047</v>
      </c>
      <c r="Q201" s="22" t="str">
        <f>SUBSTITUTE(F200,",",".")</f>
        <v>18.8555921884311</v>
      </c>
      <c r="R201" s="22" t="str">
        <f>SUBSTITUTE(G200,",",".")</f>
        <v>0.80</v>
      </c>
      <c r="S201" s="22" t="str">
        <f>SUBSTITUTE(H200,",",".")</f>
        <v>3.73</v>
      </c>
      <c r="T201" s="22" t="str">
        <f>SUBSTITUTE(I200,",",".")</f>
        <v>2.79076001574556</v>
      </c>
      <c r="U201" s="22" t="str">
        <f>SUBSTITUTE(J200,",",".")</f>
        <v>3.82</v>
      </c>
      <c r="X201" s="1"/>
    </row>
    <row r="202" spans="1:24" x14ac:dyDescent="0.25">
      <c r="A202" t="s">
        <v>44</v>
      </c>
      <c r="B202" s="1" t="s">
        <v>4</v>
      </c>
      <c r="C202">
        <v>-0.41607415653438079</v>
      </c>
      <c r="D202" s="17">
        <v>25.44</v>
      </c>
      <c r="E202">
        <v>17.832376723426016</v>
      </c>
      <c r="F202">
        <v>18.281859832169001</v>
      </c>
      <c r="G202" s="17">
        <v>2.37</v>
      </c>
      <c r="H202" s="17">
        <v>0.94</v>
      </c>
      <c r="I202">
        <v>1.1895345238873005</v>
      </c>
      <c r="J202" s="17">
        <v>8.83</v>
      </c>
      <c r="L202" s="22" t="s">
        <v>30</v>
      </c>
      <c r="M202" s="24" t="s">
        <v>23</v>
      </c>
      <c r="N202" s="22" t="str">
        <f>SUBSTITUTE(C201,",",".")</f>
        <v>-4.91098114801868</v>
      </c>
      <c r="O202" s="22" t="str">
        <f>SUBSTITUTE(D201,",",".")</f>
        <v>25.66</v>
      </c>
      <c r="P202" s="22" t="str">
        <f>SUBSTITUTE(E201,",",".")</f>
        <v>29.1099072626064</v>
      </c>
      <c r="Q202" s="22" t="str">
        <f>SUBSTITUTE(F201,",",".")</f>
        <v>18.8190970005089</v>
      </c>
      <c r="R202" s="22" t="str">
        <f>SUBSTITUTE(G201,",",".")</f>
        <v>0.79</v>
      </c>
      <c r="S202" s="22" t="str">
        <f>SUBSTITUTE(H201,",",".")</f>
        <v>3.81</v>
      </c>
      <c r="T202" s="22" t="str">
        <f>SUBSTITUTE(I201,",",".")</f>
        <v>3.28746067183327</v>
      </c>
      <c r="U202" s="22" t="str">
        <f>SUBSTITUTE(J201,",",".")</f>
        <v>4.06</v>
      </c>
      <c r="X202" s="1"/>
    </row>
    <row r="203" spans="1:24" x14ac:dyDescent="0.25">
      <c r="A203" t="s">
        <v>44</v>
      </c>
      <c r="B203" s="1" t="s">
        <v>5</v>
      </c>
      <c r="C203">
        <v>3.1212576313035334</v>
      </c>
      <c r="D203" s="17">
        <v>23.62</v>
      </c>
      <c r="E203">
        <v>15.893019945046863</v>
      </c>
      <c r="F203">
        <v>18.320001553772006</v>
      </c>
      <c r="G203" s="17">
        <v>2.41</v>
      </c>
      <c r="H203" s="17">
        <v>1.07</v>
      </c>
      <c r="I203">
        <v>1.3323475271318672</v>
      </c>
      <c r="J203" s="17">
        <v>8.91</v>
      </c>
      <c r="L203" s="22" t="s">
        <v>44</v>
      </c>
      <c r="M203" s="24" t="s">
        <v>4</v>
      </c>
      <c r="N203" s="22" t="str">
        <f>SUBSTITUTE(C202,",",".")</f>
        <v>-0.416074156534381</v>
      </c>
      <c r="O203" s="22" t="str">
        <f>SUBSTITUTE(D202,",",".")</f>
        <v>25.44</v>
      </c>
      <c r="P203" s="22" t="str">
        <f>SUBSTITUTE(E202,",",".")</f>
        <v>17.832376723426</v>
      </c>
      <c r="Q203" s="22" t="str">
        <f>SUBSTITUTE(F202,",",".")</f>
        <v>18.281859832169</v>
      </c>
      <c r="R203" s="22" t="str">
        <f>SUBSTITUTE(G202,",",".")</f>
        <v>2.37</v>
      </c>
      <c r="S203" s="22" t="str">
        <f>SUBSTITUTE(H202,",",".")</f>
        <v>0.94</v>
      </c>
      <c r="T203" s="22" t="str">
        <f>SUBSTITUTE(I202,",",".")</f>
        <v>1.1895345238873</v>
      </c>
      <c r="U203" s="22" t="str">
        <f>SUBSTITUTE(J202,",",".")</f>
        <v>8.83</v>
      </c>
      <c r="X203" s="1"/>
    </row>
    <row r="204" spans="1:24" x14ac:dyDescent="0.25">
      <c r="A204" t="s">
        <v>44</v>
      </c>
      <c r="B204" s="1" t="s">
        <v>6</v>
      </c>
      <c r="C204">
        <v>-6.0711062015307071E-2</v>
      </c>
      <c r="D204" s="17">
        <v>24.3</v>
      </c>
      <c r="E204">
        <v>14.383649810593402</v>
      </c>
      <c r="F204">
        <v>18.292962036322873</v>
      </c>
      <c r="G204" s="17">
        <v>2.34</v>
      </c>
      <c r="H204" s="17">
        <v>1.19</v>
      </c>
      <c r="I204">
        <v>1.4222527880791667</v>
      </c>
      <c r="J204" s="17">
        <v>8.86</v>
      </c>
      <c r="L204" s="22" t="s">
        <v>44</v>
      </c>
      <c r="M204" s="24" t="s">
        <v>5</v>
      </c>
      <c r="N204" s="22" t="str">
        <f>SUBSTITUTE(C203,",",".")</f>
        <v>3.12125763130353</v>
      </c>
      <c r="O204" s="22" t="str">
        <f>SUBSTITUTE(D203,",",".")</f>
        <v>23.62</v>
      </c>
      <c r="P204" s="22" t="str">
        <f>SUBSTITUTE(E203,",",".")</f>
        <v>15.8930199450469</v>
      </c>
      <c r="Q204" s="22" t="str">
        <f>SUBSTITUTE(F203,",",".")</f>
        <v>18.320001553772</v>
      </c>
      <c r="R204" s="22" t="str">
        <f>SUBSTITUTE(G203,",",".")</f>
        <v>2.41</v>
      </c>
      <c r="S204" s="22" t="str">
        <f>SUBSTITUTE(H203,",",".")</f>
        <v>1.07</v>
      </c>
      <c r="T204" s="22" t="str">
        <f>SUBSTITUTE(I203,",",".")</f>
        <v>1.33234752713187</v>
      </c>
      <c r="U204" s="22" t="str">
        <f>SUBSTITUTE(J203,",",".")</f>
        <v>8.91</v>
      </c>
      <c r="X204" s="1"/>
    </row>
    <row r="205" spans="1:24" x14ac:dyDescent="0.25">
      <c r="A205" t="s">
        <v>44</v>
      </c>
      <c r="B205" s="1" t="s">
        <v>7</v>
      </c>
      <c r="C205">
        <v>2.6126380565600973E-3</v>
      </c>
      <c r="D205" s="17">
        <v>24.46</v>
      </c>
      <c r="E205">
        <v>18.974143113133692</v>
      </c>
      <c r="F205">
        <v>18.327792897927214</v>
      </c>
      <c r="G205" s="17">
        <v>1.99</v>
      </c>
      <c r="H205" s="17">
        <v>1.22</v>
      </c>
      <c r="I205">
        <v>1.508579958553141</v>
      </c>
      <c r="J205" s="17">
        <v>8.61</v>
      </c>
      <c r="L205" s="22" t="s">
        <v>44</v>
      </c>
      <c r="M205" s="24" t="s">
        <v>6</v>
      </c>
      <c r="N205" s="22" t="str">
        <f>SUBSTITUTE(C204,",",".")</f>
        <v>-0.0607110620153071</v>
      </c>
      <c r="O205" s="22" t="str">
        <f>SUBSTITUTE(D204,",",".")</f>
        <v>24.3</v>
      </c>
      <c r="P205" s="22" t="str">
        <f>SUBSTITUTE(E204,",",".")</f>
        <v>14.3836498105934</v>
      </c>
      <c r="Q205" s="22" t="str">
        <f>SUBSTITUTE(F204,",",".")</f>
        <v>18.2929620363229</v>
      </c>
      <c r="R205" s="22" t="str">
        <f>SUBSTITUTE(G204,",",".")</f>
        <v>2.34</v>
      </c>
      <c r="S205" s="22" t="str">
        <f>SUBSTITUTE(H204,",",".")</f>
        <v>1.19</v>
      </c>
      <c r="T205" s="22" t="str">
        <f>SUBSTITUTE(I204,",",".")</f>
        <v>1.42225278807917</v>
      </c>
      <c r="U205" s="22" t="str">
        <f>SUBSTITUTE(J204,",",".")</f>
        <v>8.86</v>
      </c>
      <c r="X205" s="1"/>
    </row>
    <row r="206" spans="1:24" x14ac:dyDescent="0.25">
      <c r="A206" t="s">
        <v>44</v>
      </c>
      <c r="B206" s="1" t="s">
        <v>8</v>
      </c>
      <c r="C206">
        <v>117.44673783525886</v>
      </c>
      <c r="D206" s="17">
        <v>22.68</v>
      </c>
      <c r="E206">
        <v>14.788892445960744</v>
      </c>
      <c r="F206">
        <v>19.013246360342375</v>
      </c>
      <c r="G206" s="17">
        <v>1.0900000000000001</v>
      </c>
      <c r="H206" s="17">
        <v>0.73</v>
      </c>
      <c r="I206">
        <v>0.82597905499837565</v>
      </c>
      <c r="J206" s="17">
        <v>4.8899999999999997</v>
      </c>
      <c r="L206" s="22" t="s">
        <v>44</v>
      </c>
      <c r="M206" s="24" t="s">
        <v>7</v>
      </c>
      <c r="N206" s="22" t="str">
        <f>SUBSTITUTE(C205,",",".")</f>
        <v>0.0026126380565601</v>
      </c>
      <c r="O206" s="22" t="str">
        <f>SUBSTITUTE(D205,",",".")</f>
        <v>24.46</v>
      </c>
      <c r="P206" s="22" t="str">
        <f>SUBSTITUTE(E205,",",".")</f>
        <v>18.9741431131337</v>
      </c>
      <c r="Q206" s="22" t="str">
        <f>SUBSTITUTE(F205,",",".")</f>
        <v>18.3277928979272</v>
      </c>
      <c r="R206" s="22" t="str">
        <f>SUBSTITUTE(G205,",",".")</f>
        <v>1.99</v>
      </c>
      <c r="S206" s="22" t="str">
        <f>SUBSTITUTE(H205,",",".")</f>
        <v>1.22</v>
      </c>
      <c r="T206" s="22" t="str">
        <f>SUBSTITUTE(I205,",",".")</f>
        <v>1.50857995855314</v>
      </c>
      <c r="U206" s="22" t="str">
        <f>SUBSTITUTE(J205,",",".")</f>
        <v>8.61</v>
      </c>
      <c r="X206" s="1"/>
    </row>
    <row r="207" spans="1:24" x14ac:dyDescent="0.25">
      <c r="A207" t="s">
        <v>44</v>
      </c>
      <c r="B207" s="1" t="s">
        <v>9</v>
      </c>
      <c r="C207">
        <v>1.8694947380425468</v>
      </c>
      <c r="D207" s="17">
        <v>23.34</v>
      </c>
      <c r="E207">
        <v>14.431839214780814</v>
      </c>
      <c r="F207">
        <v>18.97663898836576</v>
      </c>
      <c r="G207" s="17">
        <v>2.1800000000000002</v>
      </c>
      <c r="H207" s="17">
        <v>0.81</v>
      </c>
      <c r="I207">
        <v>0.83834075264259023</v>
      </c>
      <c r="J207" s="17">
        <v>6.72</v>
      </c>
      <c r="L207" s="22" t="s">
        <v>44</v>
      </c>
      <c r="M207" s="24" t="s">
        <v>8</v>
      </c>
      <c r="N207" s="22" t="str">
        <f>SUBSTITUTE(C206,",",".")</f>
        <v>117.446737835259</v>
      </c>
      <c r="O207" s="22" t="str">
        <f>SUBSTITUTE(D206,",",".")</f>
        <v>22.68</v>
      </c>
      <c r="P207" s="22" t="str">
        <f>SUBSTITUTE(E206,",",".")</f>
        <v>14.7888924459607</v>
      </c>
      <c r="Q207" s="22" t="str">
        <f>SUBSTITUTE(F206,",",".")</f>
        <v>19.0132463603424</v>
      </c>
      <c r="R207" s="22" t="str">
        <f>SUBSTITUTE(G206,",",".")</f>
        <v>1.09</v>
      </c>
      <c r="S207" s="22" t="str">
        <f>SUBSTITUTE(H206,",",".")</f>
        <v>0.73</v>
      </c>
      <c r="T207" s="22" t="str">
        <f>SUBSTITUTE(I206,",",".")</f>
        <v>0.825979054998376</v>
      </c>
      <c r="U207" s="22" t="str">
        <f>SUBSTITUTE(J206,",",".")</f>
        <v>4.89</v>
      </c>
      <c r="X207" s="1"/>
    </row>
    <row r="208" spans="1:24" x14ac:dyDescent="0.25">
      <c r="A208" t="s">
        <v>44</v>
      </c>
      <c r="B208" s="1" t="s">
        <v>10</v>
      </c>
      <c r="C208">
        <v>-2.317558087048079</v>
      </c>
      <c r="D208" s="17">
        <v>23.91</v>
      </c>
      <c r="E208">
        <v>14.523076330483967</v>
      </c>
      <c r="F208">
        <v>18.944927932209438</v>
      </c>
      <c r="G208" s="17">
        <v>1.37</v>
      </c>
      <c r="H208" s="17">
        <v>0.81</v>
      </c>
      <c r="I208">
        <v>0.88969172210078018</v>
      </c>
      <c r="J208" s="17">
        <v>4.78</v>
      </c>
      <c r="L208" s="22" t="s">
        <v>44</v>
      </c>
      <c r="M208" s="24" t="s">
        <v>9</v>
      </c>
      <c r="N208" s="22" t="str">
        <f>SUBSTITUTE(C207,",",".")</f>
        <v>1.86949473804255</v>
      </c>
      <c r="O208" s="22" t="str">
        <f>SUBSTITUTE(D207,",",".")</f>
        <v>23.34</v>
      </c>
      <c r="P208" s="22" t="str">
        <f>SUBSTITUTE(E207,",",".")</f>
        <v>14.4318392147808</v>
      </c>
      <c r="Q208" s="22" t="str">
        <f>SUBSTITUTE(F207,",",".")</f>
        <v>18.9766389883658</v>
      </c>
      <c r="R208" s="22" t="str">
        <f>SUBSTITUTE(G207,",",".")</f>
        <v>2.18</v>
      </c>
      <c r="S208" s="22" t="str">
        <f>SUBSTITUTE(H207,",",".")</f>
        <v>0.81</v>
      </c>
      <c r="T208" s="22" t="str">
        <f>SUBSTITUTE(I207,",",".")</f>
        <v>0.83834075264259</v>
      </c>
      <c r="U208" s="22" t="str">
        <f>SUBSTITUTE(J207,",",".")</f>
        <v>6.72</v>
      </c>
      <c r="X208" s="1"/>
    </row>
    <row r="209" spans="1:24" x14ac:dyDescent="0.25">
      <c r="A209" t="s">
        <v>44</v>
      </c>
      <c r="B209" s="1" t="s">
        <v>11</v>
      </c>
      <c r="C209">
        <v>0.81530242910456074</v>
      </c>
      <c r="D209" s="17">
        <v>23.51</v>
      </c>
      <c r="E209">
        <v>14.916189024798213</v>
      </c>
      <c r="F209">
        <v>18.936450529184018</v>
      </c>
      <c r="G209" s="17">
        <v>1.29</v>
      </c>
      <c r="H209" s="17">
        <v>0.78</v>
      </c>
      <c r="I209">
        <v>0.88511193858714521</v>
      </c>
      <c r="J209" s="17">
        <v>4.83</v>
      </c>
      <c r="L209" s="22" t="s">
        <v>44</v>
      </c>
      <c r="M209" s="24" t="s">
        <v>10</v>
      </c>
      <c r="N209" s="22" t="str">
        <f>SUBSTITUTE(C208,",",".")</f>
        <v>-2.31755808704808</v>
      </c>
      <c r="O209" s="22" t="str">
        <f>SUBSTITUTE(D208,",",".")</f>
        <v>23.91</v>
      </c>
      <c r="P209" s="22" t="str">
        <f>SUBSTITUTE(E208,",",".")</f>
        <v>14.523076330484</v>
      </c>
      <c r="Q209" s="22" t="str">
        <f>SUBSTITUTE(F208,",",".")</f>
        <v>18.9449279322094</v>
      </c>
      <c r="R209" s="22" t="str">
        <f>SUBSTITUTE(G208,",",".")</f>
        <v>1.37</v>
      </c>
      <c r="S209" s="22" t="str">
        <f>SUBSTITUTE(H208,",",".")</f>
        <v>0.81</v>
      </c>
      <c r="T209" s="22" t="str">
        <f>SUBSTITUTE(I208,",",".")</f>
        <v>0.88969172210078</v>
      </c>
      <c r="U209" s="22" t="str">
        <f>SUBSTITUTE(J208,",",".")</f>
        <v>4.78</v>
      </c>
      <c r="X209" s="1"/>
    </row>
    <row r="210" spans="1:24" x14ac:dyDescent="0.25">
      <c r="A210" t="s">
        <v>44</v>
      </c>
      <c r="B210" s="1" t="s">
        <v>12</v>
      </c>
      <c r="C210">
        <v>11.36225203667151</v>
      </c>
      <c r="D210" s="17">
        <v>21.95</v>
      </c>
      <c r="E210">
        <v>16.753535227414758</v>
      </c>
      <c r="F210">
        <v>19.035620671776979</v>
      </c>
      <c r="G210" s="17">
        <v>1.47</v>
      </c>
      <c r="H210" s="17">
        <v>0.94</v>
      </c>
      <c r="I210">
        <v>1.1714867666589983</v>
      </c>
      <c r="J210" s="17">
        <v>4.82</v>
      </c>
      <c r="L210" s="22" t="s">
        <v>44</v>
      </c>
      <c r="M210" s="24" t="s">
        <v>11</v>
      </c>
      <c r="N210" s="22" t="str">
        <f>SUBSTITUTE(C209,",",".")</f>
        <v>0.815302429104561</v>
      </c>
      <c r="O210" s="22" t="str">
        <f>SUBSTITUTE(D209,",",".")</f>
        <v>23.51</v>
      </c>
      <c r="P210" s="22" t="str">
        <f>SUBSTITUTE(E209,",",".")</f>
        <v>14.9161890247982</v>
      </c>
      <c r="Q210" s="22" t="str">
        <f>SUBSTITUTE(F209,",",".")</f>
        <v>18.936450529184</v>
      </c>
      <c r="R210" s="22" t="str">
        <f>SUBSTITUTE(G209,",",".")</f>
        <v>1.29</v>
      </c>
      <c r="S210" s="22" t="str">
        <f>SUBSTITUTE(H209,",",".")</f>
        <v>0.78</v>
      </c>
      <c r="T210" s="22" t="str">
        <f>SUBSTITUTE(I209,",",".")</f>
        <v>0.885111938587145</v>
      </c>
      <c r="U210" s="22" t="str">
        <f>SUBSTITUTE(J209,",",".")</f>
        <v>4.83</v>
      </c>
      <c r="X210" s="1"/>
    </row>
    <row r="211" spans="1:24" x14ac:dyDescent="0.25">
      <c r="A211" t="s">
        <v>44</v>
      </c>
      <c r="B211" s="1" t="s">
        <v>13</v>
      </c>
      <c r="C211">
        <v>-4.133581499201016</v>
      </c>
      <c r="D211" s="17">
        <v>22.52</v>
      </c>
      <c r="E211">
        <v>17.496104795559862</v>
      </c>
      <c r="F211">
        <v>18.958153237308863</v>
      </c>
      <c r="G211" s="17">
        <v>1.51</v>
      </c>
      <c r="H211" s="17">
        <v>1.08</v>
      </c>
      <c r="I211">
        <v>1.4042660026392273</v>
      </c>
      <c r="J211" s="17">
        <v>4.66</v>
      </c>
      <c r="L211" s="22" t="s">
        <v>44</v>
      </c>
      <c r="M211" s="24" t="s">
        <v>12</v>
      </c>
      <c r="N211" s="22" t="str">
        <f>SUBSTITUTE(C210,",",".")</f>
        <v>11.3622520366715</v>
      </c>
      <c r="O211" s="22" t="str">
        <f>SUBSTITUTE(D210,",",".")</f>
        <v>21.95</v>
      </c>
      <c r="P211" s="22" t="str">
        <f>SUBSTITUTE(E210,",",".")</f>
        <v>16.7535352274148</v>
      </c>
      <c r="Q211" s="22" t="str">
        <f>SUBSTITUTE(F210,",",".")</f>
        <v>19.035620671777</v>
      </c>
      <c r="R211" s="22" t="str">
        <f>SUBSTITUTE(G210,",",".")</f>
        <v>1.47</v>
      </c>
      <c r="S211" s="22" t="str">
        <f>SUBSTITUTE(H210,",",".")</f>
        <v>0.94</v>
      </c>
      <c r="T211" s="22" t="str">
        <f>SUBSTITUTE(I210,",",".")</f>
        <v>1.171486766659</v>
      </c>
      <c r="U211" s="22" t="str">
        <f>SUBSTITUTE(J210,",",".")</f>
        <v>4.82</v>
      </c>
      <c r="X211" s="1"/>
    </row>
    <row r="212" spans="1:24" x14ac:dyDescent="0.25">
      <c r="A212" t="s">
        <v>44</v>
      </c>
      <c r="B212" s="1" t="s">
        <v>14</v>
      </c>
      <c r="C212">
        <v>-1.4291810014515793</v>
      </c>
      <c r="D212" s="17">
        <v>24.34</v>
      </c>
      <c r="E212">
        <v>26.024654205715709</v>
      </c>
      <c r="F212">
        <v>18.968068681225642</v>
      </c>
      <c r="G212" s="17">
        <v>1.37</v>
      </c>
      <c r="H212" s="17">
        <v>1.05</v>
      </c>
      <c r="I212">
        <v>1.4733136624383605</v>
      </c>
      <c r="J212" s="17">
        <v>4.49</v>
      </c>
      <c r="L212" s="22" t="s">
        <v>44</v>
      </c>
      <c r="M212" s="24" t="s">
        <v>13</v>
      </c>
      <c r="N212" s="22" t="str">
        <f>SUBSTITUTE(C211,",",".")</f>
        <v>-4.13358149920102</v>
      </c>
      <c r="O212" s="22" t="str">
        <f>SUBSTITUTE(D211,",",".")</f>
        <v>22.52</v>
      </c>
      <c r="P212" s="22" t="str">
        <f>SUBSTITUTE(E211,",",".")</f>
        <v>17.4961047955599</v>
      </c>
      <c r="Q212" s="22" t="str">
        <f>SUBSTITUTE(F211,",",".")</f>
        <v>18.9581532373089</v>
      </c>
      <c r="R212" s="22" t="str">
        <f>SUBSTITUTE(G211,",",".")</f>
        <v>1.51</v>
      </c>
      <c r="S212" s="22" t="str">
        <f>SUBSTITUTE(H211,",",".")</f>
        <v>1.08</v>
      </c>
      <c r="T212" s="22" t="str">
        <f>SUBSTITUTE(I211,",",".")</f>
        <v>1.40426600263923</v>
      </c>
      <c r="U212" s="22" t="str">
        <f>SUBSTITUTE(J211,",",".")</f>
        <v>4.66</v>
      </c>
      <c r="X212" s="1"/>
    </row>
    <row r="213" spans="1:24" x14ac:dyDescent="0.25">
      <c r="A213" t="s">
        <v>44</v>
      </c>
      <c r="B213" s="1" t="s">
        <v>15</v>
      </c>
      <c r="C213">
        <v>-9.3183568777761963</v>
      </c>
      <c r="D213" s="17">
        <v>25.19</v>
      </c>
      <c r="E213">
        <v>25.451040306077484</v>
      </c>
      <c r="F213">
        <v>18.940533761905389</v>
      </c>
      <c r="G213" s="17">
        <v>1.01</v>
      </c>
      <c r="H213" s="17">
        <v>1.1499999999999999</v>
      </c>
      <c r="I213">
        <v>2.0308153888341707</v>
      </c>
      <c r="J213" s="17">
        <v>4.4400000000000004</v>
      </c>
      <c r="L213" s="22" t="s">
        <v>44</v>
      </c>
      <c r="M213" s="24" t="s">
        <v>14</v>
      </c>
      <c r="N213" s="22" t="str">
        <f>SUBSTITUTE(C212,",",".")</f>
        <v>-1.42918100145158</v>
      </c>
      <c r="O213" s="22" t="str">
        <f>SUBSTITUTE(D212,",",".")</f>
        <v>24.34</v>
      </c>
      <c r="P213" s="22" t="str">
        <f>SUBSTITUTE(E212,",",".")</f>
        <v>26.0246542057157</v>
      </c>
      <c r="Q213" s="22" t="str">
        <f>SUBSTITUTE(F212,",",".")</f>
        <v>18.9680686812256</v>
      </c>
      <c r="R213" s="22" t="str">
        <f>SUBSTITUTE(G212,",",".")</f>
        <v>1.37</v>
      </c>
      <c r="S213" s="22" t="str">
        <f>SUBSTITUTE(H212,",",".")</f>
        <v>1.05</v>
      </c>
      <c r="T213" s="22" t="str">
        <f>SUBSTITUTE(I212,",",".")</f>
        <v>1.47331366243836</v>
      </c>
      <c r="U213" s="22" t="str">
        <f>SUBSTITUTE(J212,",",".")</f>
        <v>4.49</v>
      </c>
      <c r="X213" s="1"/>
    </row>
    <row r="214" spans="1:24" x14ac:dyDescent="0.25">
      <c r="A214" t="s">
        <v>44</v>
      </c>
      <c r="B214" s="1" t="s">
        <v>16</v>
      </c>
      <c r="C214">
        <v>-2.925911458679693</v>
      </c>
      <c r="D214" s="17">
        <v>26.81</v>
      </c>
      <c r="E214">
        <v>22.881125720358362</v>
      </c>
      <c r="F214">
        <v>18.882486096476324</v>
      </c>
      <c r="G214" s="17">
        <v>2.27</v>
      </c>
      <c r="H214" s="17">
        <v>1.36</v>
      </c>
      <c r="I214">
        <v>2.0472704165601918</v>
      </c>
      <c r="J214" s="17">
        <v>4.76</v>
      </c>
      <c r="L214" s="22" t="s">
        <v>44</v>
      </c>
      <c r="M214" s="24" t="s">
        <v>15</v>
      </c>
      <c r="N214" s="22" t="str">
        <f>SUBSTITUTE(C213,",",".")</f>
        <v>-9.3183568777762</v>
      </c>
      <c r="O214" s="22" t="str">
        <f>SUBSTITUTE(D213,",",".")</f>
        <v>25.19</v>
      </c>
      <c r="P214" s="22" t="str">
        <f>SUBSTITUTE(E213,",",".")</f>
        <v>25.4510403060775</v>
      </c>
      <c r="Q214" s="22" t="str">
        <f>SUBSTITUTE(F213,",",".")</f>
        <v>18.9405337619054</v>
      </c>
      <c r="R214" s="22" t="str">
        <f>SUBSTITUTE(G213,",",".")</f>
        <v>1.01</v>
      </c>
      <c r="S214" s="22" t="str">
        <f>SUBSTITUTE(H213,",",".")</f>
        <v>1.15</v>
      </c>
      <c r="T214" s="22" t="str">
        <f>SUBSTITUTE(I213,",",".")</f>
        <v>2.03081538883417</v>
      </c>
      <c r="U214" s="22" t="str">
        <f>SUBSTITUTE(J213,",",".")</f>
        <v>4.44</v>
      </c>
      <c r="X214" s="1"/>
    </row>
    <row r="215" spans="1:24" x14ac:dyDescent="0.25">
      <c r="A215" t="s">
        <v>44</v>
      </c>
      <c r="B215" s="1" t="s">
        <v>17</v>
      </c>
      <c r="C215">
        <v>2.0605535615704955</v>
      </c>
      <c r="D215" s="17">
        <v>26.46</v>
      </c>
      <c r="E215">
        <v>25.563716128365183</v>
      </c>
      <c r="F215">
        <v>18.889165889635265</v>
      </c>
      <c r="G215" s="17">
        <v>1.99</v>
      </c>
      <c r="H215" s="17">
        <v>1.39</v>
      </c>
      <c r="I215">
        <v>2.171135281284331</v>
      </c>
      <c r="J215" s="17">
        <v>4.6900000000000004</v>
      </c>
      <c r="L215" s="22" t="s">
        <v>44</v>
      </c>
      <c r="M215" s="24" t="s">
        <v>16</v>
      </c>
      <c r="N215" s="22" t="str">
        <f>SUBSTITUTE(C214,",",".")</f>
        <v>-2.92591145867969</v>
      </c>
      <c r="O215" s="22" t="str">
        <f>SUBSTITUTE(D214,",",".")</f>
        <v>26.81</v>
      </c>
      <c r="P215" s="22" t="str">
        <f>SUBSTITUTE(E214,",",".")</f>
        <v>22.8811257203584</v>
      </c>
      <c r="Q215" s="22" t="str">
        <f>SUBSTITUTE(F214,",",".")</f>
        <v>18.8824860964763</v>
      </c>
      <c r="R215" s="22" t="str">
        <f>SUBSTITUTE(G214,",",".")</f>
        <v>2.27</v>
      </c>
      <c r="S215" s="22" t="str">
        <f>SUBSTITUTE(H214,",",".")</f>
        <v>1.36</v>
      </c>
      <c r="T215" s="22" t="str">
        <f>SUBSTITUTE(I214,",",".")</f>
        <v>2.04727041656019</v>
      </c>
      <c r="U215" s="22" t="str">
        <f>SUBSTITUTE(J214,",",".")</f>
        <v>4.76</v>
      </c>
      <c r="X215" s="1"/>
    </row>
    <row r="216" spans="1:24" x14ac:dyDescent="0.25">
      <c r="A216" t="s">
        <v>44</v>
      </c>
      <c r="B216" s="1" t="s">
        <v>18</v>
      </c>
      <c r="C216">
        <v>1.5350288819721483</v>
      </c>
      <c r="D216" s="17">
        <v>24.52</v>
      </c>
      <c r="E216">
        <v>21.769272576255506</v>
      </c>
      <c r="F216">
        <v>18.930229384722519</v>
      </c>
      <c r="G216" s="17">
        <v>1.51</v>
      </c>
      <c r="H216" s="17">
        <v>1.49</v>
      </c>
      <c r="I216">
        <v>2.4954714343638988</v>
      </c>
      <c r="J216" s="17">
        <v>4.57</v>
      </c>
      <c r="L216" s="22" t="s">
        <v>44</v>
      </c>
      <c r="M216" s="24" t="s">
        <v>17</v>
      </c>
      <c r="N216" s="22" t="str">
        <f>SUBSTITUTE(C215,",",".")</f>
        <v>2.0605535615705</v>
      </c>
      <c r="O216" s="22" t="str">
        <f>SUBSTITUTE(D215,",",".")</f>
        <v>26.46</v>
      </c>
      <c r="P216" s="22" t="str">
        <f>SUBSTITUTE(E215,",",".")</f>
        <v>25.5637161283652</v>
      </c>
      <c r="Q216" s="22" t="str">
        <f>SUBSTITUTE(F215,",",".")</f>
        <v>18.8891658896353</v>
      </c>
      <c r="R216" s="22" t="str">
        <f>SUBSTITUTE(G215,",",".")</f>
        <v>1.99</v>
      </c>
      <c r="S216" s="22" t="str">
        <f>SUBSTITUTE(H215,",",".")</f>
        <v>1.39</v>
      </c>
      <c r="T216" s="22" t="str">
        <f>SUBSTITUTE(I215,",",".")</f>
        <v>2.17113528128433</v>
      </c>
      <c r="U216" s="22" t="str">
        <f>SUBSTITUTE(J215,",",".")</f>
        <v>4.69</v>
      </c>
      <c r="X216" s="1"/>
    </row>
    <row r="217" spans="1:24" x14ac:dyDescent="0.25">
      <c r="A217" t="s">
        <v>44</v>
      </c>
      <c r="B217" s="1" t="s">
        <v>19</v>
      </c>
      <c r="C217">
        <v>-1.7956702867597887</v>
      </c>
      <c r="D217" s="17">
        <v>24.96</v>
      </c>
      <c r="E217">
        <v>23.765669024699445</v>
      </c>
      <c r="F217">
        <v>18.978015732841985</v>
      </c>
      <c r="G217" s="17">
        <v>1.41</v>
      </c>
      <c r="H217" s="17">
        <v>1.63</v>
      </c>
      <c r="I217">
        <v>2.6003164628139412</v>
      </c>
      <c r="J217" s="17">
        <v>4.46</v>
      </c>
      <c r="L217" s="22" t="s">
        <v>44</v>
      </c>
      <c r="M217" s="24" t="s">
        <v>18</v>
      </c>
      <c r="N217" s="22" t="str">
        <f>SUBSTITUTE(C216,",",".")</f>
        <v>1.53502888197215</v>
      </c>
      <c r="O217" s="22" t="str">
        <f>SUBSTITUTE(D216,",",".")</f>
        <v>24.52</v>
      </c>
      <c r="P217" s="22" t="str">
        <f>SUBSTITUTE(E216,",",".")</f>
        <v>21.7692725762555</v>
      </c>
      <c r="Q217" s="22" t="str">
        <f>SUBSTITUTE(F216,",",".")</f>
        <v>18.9302293847225</v>
      </c>
      <c r="R217" s="22" t="str">
        <f>SUBSTITUTE(G216,",",".")</f>
        <v>1.51</v>
      </c>
      <c r="S217" s="22" t="str">
        <f>SUBSTITUTE(H216,",",".")</f>
        <v>1.49</v>
      </c>
      <c r="T217" s="22" t="str">
        <f>SUBSTITUTE(I216,",",".")</f>
        <v>2.4954714343639</v>
      </c>
      <c r="U217" s="22" t="str">
        <f>SUBSTITUTE(J216,",",".")</f>
        <v>4.57</v>
      </c>
      <c r="X217" s="1"/>
    </row>
    <row r="218" spans="1:24" x14ac:dyDescent="0.25">
      <c r="A218" t="s">
        <v>44</v>
      </c>
      <c r="B218" s="1" t="s">
        <v>20</v>
      </c>
      <c r="C218">
        <v>5.2443330308691269</v>
      </c>
      <c r="D218" s="17">
        <v>24.41</v>
      </c>
      <c r="E218">
        <v>21.867851054254743</v>
      </c>
      <c r="F218">
        <v>18.977133414502486</v>
      </c>
      <c r="G218" s="17">
        <v>1.41</v>
      </c>
      <c r="H218" s="17">
        <v>1.32</v>
      </c>
      <c r="I218">
        <v>2.4054268733227633</v>
      </c>
      <c r="J218" s="17">
        <v>4.16</v>
      </c>
      <c r="L218" s="22" t="s">
        <v>44</v>
      </c>
      <c r="M218" s="24" t="s">
        <v>19</v>
      </c>
      <c r="N218" s="22" t="str">
        <f>SUBSTITUTE(C217,",",".")</f>
        <v>-1.79567028675979</v>
      </c>
      <c r="O218" s="22" t="str">
        <f>SUBSTITUTE(D217,",",".")</f>
        <v>24.96</v>
      </c>
      <c r="P218" s="22" t="str">
        <f>SUBSTITUTE(E217,",",".")</f>
        <v>23.7656690246994</v>
      </c>
      <c r="Q218" s="22" t="str">
        <f>SUBSTITUTE(F217,",",".")</f>
        <v>18.978015732842</v>
      </c>
      <c r="R218" s="22" t="str">
        <f>SUBSTITUTE(G217,",",".")</f>
        <v>1.41</v>
      </c>
      <c r="S218" s="22" t="str">
        <f>SUBSTITUTE(H217,",",".")</f>
        <v>1.63</v>
      </c>
      <c r="T218" s="22" t="str">
        <f>SUBSTITUTE(I217,",",".")</f>
        <v>2.60031646281394</v>
      </c>
      <c r="U218" s="22" t="str">
        <f>SUBSTITUTE(J217,",",".")</f>
        <v>4.46</v>
      </c>
      <c r="X218" s="1"/>
    </row>
    <row r="219" spans="1:24" x14ac:dyDescent="0.25">
      <c r="A219" t="s">
        <v>44</v>
      </c>
      <c r="B219" s="1" t="s">
        <v>21</v>
      </c>
      <c r="C219">
        <v>4.8516444106040213</v>
      </c>
      <c r="D219" s="17">
        <v>24.09</v>
      </c>
      <c r="E219">
        <v>22.471863133658893</v>
      </c>
      <c r="F219">
        <v>18.989934644274584</v>
      </c>
      <c r="G219" s="17">
        <v>0.37</v>
      </c>
      <c r="H219" s="17">
        <v>1.25</v>
      </c>
      <c r="I219">
        <v>2.2658298913577908</v>
      </c>
      <c r="J219" s="17">
        <v>4.08</v>
      </c>
      <c r="L219" s="22" t="s">
        <v>44</v>
      </c>
      <c r="M219" s="24" t="s">
        <v>20</v>
      </c>
      <c r="N219" s="22" t="str">
        <f>SUBSTITUTE(C218,",",".")</f>
        <v>5.24433303086913</v>
      </c>
      <c r="O219" s="22" t="str">
        <f>SUBSTITUTE(D218,",",".")</f>
        <v>24.41</v>
      </c>
      <c r="P219" s="22" t="str">
        <f>SUBSTITUTE(E218,",",".")</f>
        <v>21.8678510542547</v>
      </c>
      <c r="Q219" s="22" t="str">
        <f>SUBSTITUTE(F218,",",".")</f>
        <v>18.9771334145025</v>
      </c>
      <c r="R219" s="22" t="str">
        <f>SUBSTITUTE(G218,",",".")</f>
        <v>1.41</v>
      </c>
      <c r="S219" s="22" t="str">
        <f>SUBSTITUTE(H218,",",".")</f>
        <v>1.32</v>
      </c>
      <c r="T219" s="22" t="str">
        <f>SUBSTITUTE(I218,",",".")</f>
        <v>2.40542687332276</v>
      </c>
      <c r="U219" s="22" t="str">
        <f>SUBSTITUTE(J218,",",".")</f>
        <v>4.16</v>
      </c>
      <c r="X219" s="1"/>
    </row>
    <row r="220" spans="1:24" x14ac:dyDescent="0.25">
      <c r="A220" t="s">
        <v>44</v>
      </c>
      <c r="B220" s="1" t="s">
        <v>22</v>
      </c>
      <c r="C220">
        <v>4.3210434116948608</v>
      </c>
      <c r="D220" s="17">
        <v>23.81</v>
      </c>
      <c r="E220">
        <v>22.999423378611908</v>
      </c>
      <c r="F220">
        <v>19.011716796095222</v>
      </c>
      <c r="G220" s="17">
        <v>1.71</v>
      </c>
      <c r="H220" s="17">
        <v>1.34</v>
      </c>
      <c r="I220">
        <v>2.2673613980908178</v>
      </c>
      <c r="J220" s="17">
        <v>4.03</v>
      </c>
      <c r="L220" s="22" t="s">
        <v>44</v>
      </c>
      <c r="M220" s="24" t="s">
        <v>21</v>
      </c>
      <c r="N220" s="22" t="str">
        <f>SUBSTITUTE(C219,",",".")</f>
        <v>4.85164441060402</v>
      </c>
      <c r="O220" s="22" t="str">
        <f>SUBSTITUTE(D219,",",".")</f>
        <v>24.09</v>
      </c>
      <c r="P220" s="22" t="str">
        <f>SUBSTITUTE(E219,",",".")</f>
        <v>22.4718631336589</v>
      </c>
      <c r="Q220" s="22" t="str">
        <f>SUBSTITUTE(F219,",",".")</f>
        <v>18.9899346442746</v>
      </c>
      <c r="R220" s="22" t="str">
        <f>SUBSTITUTE(G219,",",".")</f>
        <v>0.37</v>
      </c>
      <c r="S220" s="22" t="str">
        <f>SUBSTITUTE(H219,",",".")</f>
        <v>1.25</v>
      </c>
      <c r="T220" s="22" t="str">
        <f>SUBSTITUTE(I219,",",".")</f>
        <v>2.26582989135779</v>
      </c>
      <c r="U220" s="22" t="str">
        <f>SUBSTITUTE(J219,",",".")</f>
        <v>4.08</v>
      </c>
      <c r="X220" s="1"/>
    </row>
    <row r="221" spans="1:24" x14ac:dyDescent="0.25">
      <c r="A221" t="s">
        <v>44</v>
      </c>
      <c r="B221" s="1" t="s">
        <v>23</v>
      </c>
      <c r="C221">
        <v>-6.580578584958821</v>
      </c>
      <c r="D221" s="16">
        <v>25.94</v>
      </c>
      <c r="E221">
        <v>23.236812193805754</v>
      </c>
      <c r="F221">
        <v>19.058534831056555</v>
      </c>
      <c r="G221" s="17">
        <v>1.52</v>
      </c>
      <c r="H221" s="17">
        <v>1.32</v>
      </c>
      <c r="I221">
        <v>2.0878725173315447</v>
      </c>
      <c r="J221" s="17">
        <v>3.99</v>
      </c>
      <c r="L221" s="22" t="s">
        <v>44</v>
      </c>
      <c r="M221" s="24" t="s">
        <v>22</v>
      </c>
      <c r="N221" s="22" t="str">
        <f>SUBSTITUTE(C220,",",".")</f>
        <v>4.32104341169486</v>
      </c>
      <c r="O221" s="22" t="str">
        <f>SUBSTITUTE(D220,",",".")</f>
        <v>23.81</v>
      </c>
      <c r="P221" s="22" t="str">
        <f>SUBSTITUTE(E220,",",".")</f>
        <v>22.9994233786119</v>
      </c>
      <c r="Q221" s="22" t="str">
        <f>SUBSTITUTE(F220,",",".")</f>
        <v>19.0117167960952</v>
      </c>
      <c r="R221" s="22" t="str">
        <f>SUBSTITUTE(G220,",",".")</f>
        <v>1.71</v>
      </c>
      <c r="S221" s="22" t="str">
        <f>SUBSTITUTE(H220,",",".")</f>
        <v>1.34</v>
      </c>
      <c r="T221" s="22" t="str">
        <f>SUBSTITUTE(I220,",",".")</f>
        <v>2.26736139809082</v>
      </c>
      <c r="U221" s="22" t="str">
        <f>SUBSTITUTE(J220,",",".")</f>
        <v>4.03</v>
      </c>
      <c r="X221" s="1"/>
    </row>
    <row r="222" spans="1:24" x14ac:dyDescent="0.25">
      <c r="A222" t="s">
        <v>33</v>
      </c>
      <c r="B222" s="1" t="s">
        <v>4</v>
      </c>
      <c r="C222">
        <v>0.43325667842260723</v>
      </c>
      <c r="D222" s="18" t="s">
        <v>355</v>
      </c>
      <c r="E222">
        <v>22.451202350667867</v>
      </c>
      <c r="F222">
        <v>18.523386292301495</v>
      </c>
      <c r="G222" s="18" t="s">
        <v>357</v>
      </c>
      <c r="H222" s="18" t="s">
        <v>353</v>
      </c>
      <c r="I222">
        <v>0.75931315177359759</v>
      </c>
      <c r="J222" s="18" t="s">
        <v>356</v>
      </c>
      <c r="L222" s="22" t="s">
        <v>44</v>
      </c>
      <c r="M222" s="24" t="s">
        <v>23</v>
      </c>
      <c r="N222" s="22" t="str">
        <f>SUBSTITUTE(C221,",",".")</f>
        <v>-6.58057858495882</v>
      </c>
      <c r="O222" s="22" t="str">
        <f>SUBSTITUTE(D221,",",".")</f>
        <v>25.94</v>
      </c>
      <c r="P222" s="22" t="str">
        <f>SUBSTITUTE(E221,",",".")</f>
        <v>23.2368121938058</v>
      </c>
      <c r="Q222" s="22" t="str">
        <f>SUBSTITUTE(F221,",",".")</f>
        <v>19.0585348310566</v>
      </c>
      <c r="R222" s="22" t="str">
        <f>SUBSTITUTE(G221,",",".")</f>
        <v>1.52</v>
      </c>
      <c r="S222" s="22" t="str">
        <f>SUBSTITUTE(H221,",",".")</f>
        <v>1.32</v>
      </c>
      <c r="T222" s="22" t="str">
        <f>SUBSTITUTE(I221,",",".")</f>
        <v>2.08787251733154</v>
      </c>
      <c r="U222" s="22" t="str">
        <f>SUBSTITUTE(J221,",",".")</f>
        <v>3.99</v>
      </c>
      <c r="X222" s="1"/>
    </row>
    <row r="223" spans="1:24" x14ac:dyDescent="0.25">
      <c r="A223" t="s">
        <v>33</v>
      </c>
      <c r="B223" s="1" t="s">
        <v>5</v>
      </c>
      <c r="C223">
        <v>1.2438923081945292</v>
      </c>
      <c r="D223" s="18" t="s">
        <v>359</v>
      </c>
      <c r="E223">
        <v>20.752937042734413</v>
      </c>
      <c r="F223">
        <v>18.495011077810464</v>
      </c>
      <c r="G223" s="18" t="s">
        <v>316</v>
      </c>
      <c r="H223" s="18" t="s">
        <v>361</v>
      </c>
      <c r="I223">
        <v>0.66969160415569984</v>
      </c>
      <c r="J223" s="18" t="s">
        <v>360</v>
      </c>
      <c r="L223" s="22" t="s">
        <v>33</v>
      </c>
      <c r="M223" s="24" t="s">
        <v>4</v>
      </c>
      <c r="N223" s="22" t="str">
        <f>SUBSTITUTE(C222,",",".")</f>
        <v>0.433256678422607</v>
      </c>
      <c r="O223" s="22" t="str">
        <f>SUBSTITUTE(D222,",",".")</f>
        <v>17.33</v>
      </c>
      <c r="P223" s="22" t="str">
        <f>SUBSTITUTE(E222,",",".")</f>
        <v>22.4512023506679</v>
      </c>
      <c r="Q223" s="22" t="str">
        <f>SUBSTITUTE(F222,",",".")</f>
        <v>18.5233862923015</v>
      </c>
      <c r="R223" s="22" t="str">
        <f>SUBSTITUTE(G222,",",".")</f>
        <v>2.08</v>
      </c>
      <c r="S223" s="22" t="str">
        <f>SUBSTITUTE(H222,",",".")</f>
        <v>1.62</v>
      </c>
      <c r="T223" s="22" t="str">
        <f>SUBSTITUTE(I222,",",".")</f>
        <v>0.759313151773598</v>
      </c>
      <c r="U223" s="22" t="str">
        <f>SUBSTITUTE(J222,",",".")</f>
        <v>5.99</v>
      </c>
      <c r="X223" s="1"/>
    </row>
    <row r="224" spans="1:24" x14ac:dyDescent="0.25">
      <c r="A224" t="s">
        <v>33</v>
      </c>
      <c r="B224" s="1" t="s">
        <v>6</v>
      </c>
      <c r="C224">
        <v>3.2342752037491498</v>
      </c>
      <c r="D224" s="18" t="s">
        <v>363</v>
      </c>
      <c r="E224">
        <v>20.16801897913243</v>
      </c>
      <c r="F224">
        <v>18.503462460191766</v>
      </c>
      <c r="G224" s="18" t="s">
        <v>357</v>
      </c>
      <c r="H224" s="18" t="s">
        <v>365</v>
      </c>
      <c r="I224">
        <v>0.61849196938665518</v>
      </c>
      <c r="J224" s="18" t="s">
        <v>364</v>
      </c>
      <c r="L224" s="22" t="s">
        <v>33</v>
      </c>
      <c r="M224" s="24" t="s">
        <v>5</v>
      </c>
      <c r="N224" s="22" t="str">
        <f>SUBSTITUTE(C223,",",".")</f>
        <v>1.24389230819453</v>
      </c>
      <c r="O224" s="22" t="str">
        <f>SUBSTITUTE(D223,",",".")</f>
        <v>17.44</v>
      </c>
      <c r="P224" s="22" t="str">
        <f>SUBSTITUTE(E223,",",".")</f>
        <v>20.7529370427344</v>
      </c>
      <c r="Q224" s="22" t="str">
        <f>SUBSTITUTE(F223,",",".")</f>
        <v>18.4950110778105</v>
      </c>
      <c r="R224" s="22" t="str">
        <f>SUBSTITUTE(G223,",",".")</f>
        <v>2.06</v>
      </c>
      <c r="S224" s="22" t="str">
        <f>SUBSTITUTE(H223,",",".")</f>
        <v>1.61</v>
      </c>
      <c r="T224" s="22" t="str">
        <f>SUBSTITUTE(I223,",",".")</f>
        <v>0.6696916041557</v>
      </c>
      <c r="U224" s="22" t="str">
        <f>SUBSTITUTE(J223,",",".")</f>
        <v>6.31</v>
      </c>
      <c r="X224" s="1"/>
    </row>
    <row r="225" spans="1:24" x14ac:dyDescent="0.25">
      <c r="A225" t="s">
        <v>33</v>
      </c>
      <c r="B225" s="1" t="s">
        <v>7</v>
      </c>
      <c r="C225">
        <v>1.0452153174517624</v>
      </c>
      <c r="D225" s="18" t="s">
        <v>367</v>
      </c>
      <c r="E225">
        <v>25.484403175678587</v>
      </c>
      <c r="F225">
        <v>18.556872721579602</v>
      </c>
      <c r="G225" s="18" t="s">
        <v>370</v>
      </c>
      <c r="H225" s="18" t="s">
        <v>369</v>
      </c>
      <c r="I225">
        <v>0.83634969979417861</v>
      </c>
      <c r="J225" s="18" t="s">
        <v>368</v>
      </c>
      <c r="L225" s="22" t="s">
        <v>33</v>
      </c>
      <c r="M225" s="24" t="s">
        <v>6</v>
      </c>
      <c r="N225" s="22" t="str">
        <f>SUBSTITUTE(C224,",",".")</f>
        <v>3.23427520374915</v>
      </c>
      <c r="O225" s="22" t="str">
        <f>SUBSTITUTE(D224,",",".")</f>
        <v>17.53</v>
      </c>
      <c r="P225" s="22" t="str">
        <f>SUBSTITUTE(E224,",",".")</f>
        <v>20.1680189791324</v>
      </c>
      <c r="Q225" s="22" t="str">
        <f>SUBSTITUTE(F224,",",".")</f>
        <v>18.5034624601918</v>
      </c>
      <c r="R225" s="22" t="str">
        <f>SUBSTITUTE(G224,",",".")</f>
        <v>2.08</v>
      </c>
      <c r="S225" s="22" t="str">
        <f>SUBSTITUTE(H224,",",".")</f>
        <v>1.58</v>
      </c>
      <c r="T225" s="22" t="str">
        <f>SUBSTITUTE(I224,",",".")</f>
        <v>0.618491969386655</v>
      </c>
      <c r="U225" s="22" t="str">
        <f>SUBSTITUTE(J224,",",".")</f>
        <v>6.52</v>
      </c>
      <c r="X225" s="1"/>
    </row>
    <row r="226" spans="1:24" x14ac:dyDescent="0.25">
      <c r="A226" t="s">
        <v>33</v>
      </c>
      <c r="B226" s="1" t="s">
        <v>8</v>
      </c>
      <c r="C226">
        <v>0.55900973703535817</v>
      </c>
      <c r="D226" s="18" t="s">
        <v>372</v>
      </c>
      <c r="E226">
        <v>19.450875013916392</v>
      </c>
      <c r="F226">
        <v>18.536245578997619</v>
      </c>
      <c r="G226" s="18" t="s">
        <v>374</v>
      </c>
      <c r="H226" s="18" t="s">
        <v>302</v>
      </c>
      <c r="I226">
        <v>0.86088981692414668</v>
      </c>
      <c r="J226" s="18" t="s">
        <v>373</v>
      </c>
      <c r="L226" s="22" t="s">
        <v>33</v>
      </c>
      <c r="M226" s="24" t="s">
        <v>7</v>
      </c>
      <c r="N226" s="22" t="str">
        <f>SUBSTITUTE(C225,",",".")</f>
        <v>1.04521531745176</v>
      </c>
      <c r="O226" s="22" t="str">
        <f>SUBSTITUTE(D225,",",".")</f>
        <v>18.63</v>
      </c>
      <c r="P226" s="22" t="str">
        <f>SUBSTITUTE(E225,",",".")</f>
        <v>25.4844031756786</v>
      </c>
      <c r="Q226" s="22" t="str">
        <f>SUBSTITUTE(F225,",",".")</f>
        <v>18.5568727215796</v>
      </c>
      <c r="R226" s="22" t="str">
        <f>SUBSTITUTE(G225,",",".")</f>
        <v>1.71</v>
      </c>
      <c r="S226" s="22" t="str">
        <f>SUBSTITUTE(H225,",",".")</f>
        <v>1.65</v>
      </c>
      <c r="T226" s="22" t="str">
        <f>SUBSTITUTE(I225,",",".")</f>
        <v>0.836349699794179</v>
      </c>
      <c r="U226" s="22" t="str">
        <f>SUBSTITUTE(J225,",",".")</f>
        <v>6.37</v>
      </c>
      <c r="X226" s="1"/>
    </row>
    <row r="227" spans="1:24" x14ac:dyDescent="0.25">
      <c r="A227" t="s">
        <v>33</v>
      </c>
      <c r="B227" s="1" t="s">
        <v>9</v>
      </c>
      <c r="C227">
        <v>3.1716702916054822</v>
      </c>
      <c r="D227" s="18" t="s">
        <v>376</v>
      </c>
      <c r="E227">
        <v>19.240075374124256</v>
      </c>
      <c r="F227">
        <v>18.558994446830429</v>
      </c>
      <c r="G227" s="18" t="s">
        <v>379</v>
      </c>
      <c r="H227" s="18" t="s">
        <v>378</v>
      </c>
      <c r="I227">
        <v>1.6647555508153611</v>
      </c>
      <c r="J227" s="18" t="s">
        <v>377</v>
      </c>
      <c r="L227" s="22" t="s">
        <v>33</v>
      </c>
      <c r="M227" s="24" t="s">
        <v>8</v>
      </c>
      <c r="N227" s="22" t="str">
        <f>SUBSTITUTE(C226,",",".")</f>
        <v>0.559009737035358</v>
      </c>
      <c r="O227" s="22" t="str">
        <f>SUBSTITUTE(D226,",",".")</f>
        <v>18.57</v>
      </c>
      <c r="P227" s="22" t="str">
        <f>SUBSTITUTE(E226,",",".")</f>
        <v>19.4508750139164</v>
      </c>
      <c r="Q227" s="22" t="str">
        <f>SUBSTITUTE(F226,",",".")</f>
        <v>18.5362455789976</v>
      </c>
      <c r="R227" s="22" t="str">
        <f>SUBSTITUTE(G226,",",".")</f>
        <v>1.91</v>
      </c>
      <c r="S227" s="22" t="str">
        <f>SUBSTITUTE(H226,",",".")</f>
        <v>1.68</v>
      </c>
      <c r="T227" s="22" t="str">
        <f>SUBSTITUTE(I226,",",".")</f>
        <v>0.860889816924147</v>
      </c>
      <c r="U227" s="22" t="str">
        <f>SUBSTITUTE(J226,",",".")</f>
        <v>5.88</v>
      </c>
      <c r="X227" s="1"/>
    </row>
    <row r="228" spans="1:24" x14ac:dyDescent="0.25">
      <c r="A228" t="s">
        <v>33</v>
      </c>
      <c r="B228" s="1" t="s">
        <v>10</v>
      </c>
      <c r="C228">
        <v>4.7278800582714897</v>
      </c>
      <c r="D228" s="18" t="s">
        <v>382</v>
      </c>
      <c r="E228">
        <v>18.829336205060695</v>
      </c>
      <c r="F228">
        <v>18.580640205805501</v>
      </c>
      <c r="G228" s="18" t="s">
        <v>302</v>
      </c>
      <c r="H228" s="18" t="s">
        <v>384</v>
      </c>
      <c r="I228">
        <v>1.6827613332279019</v>
      </c>
      <c r="J228" s="18" t="s">
        <v>383</v>
      </c>
      <c r="L228" s="22" t="s">
        <v>33</v>
      </c>
      <c r="M228" s="24" t="s">
        <v>9</v>
      </c>
      <c r="N228" s="22" t="str">
        <f>SUBSTITUTE(C227,",",".")</f>
        <v>3.17167029160548</v>
      </c>
      <c r="O228" s="22" t="str">
        <f>SUBSTITUTE(D227,",",".")</f>
        <v>16.94</v>
      </c>
      <c r="P228" s="22" t="str">
        <f>SUBSTITUTE(E227,",",".")</f>
        <v>19.2400753741243</v>
      </c>
      <c r="Q228" s="22" t="str">
        <f>SUBSTITUTE(F227,",",".")</f>
        <v>18.5589944468304</v>
      </c>
      <c r="R228" s="22" t="str">
        <f>SUBSTITUTE(G227,",",".")</f>
        <v>1.80</v>
      </c>
      <c r="S228" s="22" t="str">
        <f>SUBSTITUTE(H227,",",".")</f>
        <v>1.74</v>
      </c>
      <c r="T228" s="22" t="str">
        <f>SUBSTITUTE(I227,",",".")</f>
        <v>1.66475555081536</v>
      </c>
      <c r="U228" s="22" t="str">
        <f>SUBSTITUTE(J227,",",".")</f>
        <v>5.75</v>
      </c>
      <c r="X228" s="1"/>
    </row>
    <row r="229" spans="1:24" x14ac:dyDescent="0.25">
      <c r="A229" t="s">
        <v>33</v>
      </c>
      <c r="B229" s="1" t="s">
        <v>11</v>
      </c>
      <c r="C229">
        <v>4.114326687136273E-2</v>
      </c>
      <c r="D229" s="18" t="s">
        <v>387</v>
      </c>
      <c r="E229">
        <v>20.590587176900357</v>
      </c>
      <c r="F229">
        <v>18.577653526470613</v>
      </c>
      <c r="G229" s="18" t="s">
        <v>302</v>
      </c>
      <c r="H229" s="18" t="s">
        <v>365</v>
      </c>
      <c r="I229">
        <v>0.83403896307875036</v>
      </c>
      <c r="J229" s="18" t="s">
        <v>377</v>
      </c>
      <c r="L229" s="22" t="s">
        <v>33</v>
      </c>
      <c r="M229" s="24" t="s">
        <v>10</v>
      </c>
      <c r="N229" s="22" t="str">
        <f>SUBSTITUTE(C228,",",".")</f>
        <v>4.72788005827149</v>
      </c>
      <c r="O229" s="22" t="str">
        <f>SUBSTITUTE(D228,",",".")</f>
        <v>16.62</v>
      </c>
      <c r="P229" s="22" t="str">
        <f>SUBSTITUTE(E228,",",".")</f>
        <v>18.8293362050607</v>
      </c>
      <c r="Q229" s="22" t="str">
        <f>SUBSTITUTE(F228,",",".")</f>
        <v>18.5806402058055</v>
      </c>
      <c r="R229" s="22" t="str">
        <f>SUBSTITUTE(G228,",",".")</f>
        <v>1.68</v>
      </c>
      <c r="S229" s="22" t="str">
        <f>SUBSTITUTE(H228,",",".")</f>
        <v>1.75</v>
      </c>
      <c r="T229" s="22" t="str">
        <f>SUBSTITUTE(I228,",",".")</f>
        <v>1.6827613332279</v>
      </c>
      <c r="U229" s="22" t="str">
        <f>SUBSTITUTE(J228,",",".")</f>
        <v>5.69</v>
      </c>
      <c r="X229" s="1"/>
    </row>
    <row r="230" spans="1:24" x14ac:dyDescent="0.25">
      <c r="A230" t="s">
        <v>33</v>
      </c>
      <c r="B230" s="1" t="s">
        <v>12</v>
      </c>
      <c r="C230">
        <v>0.99200564629745058</v>
      </c>
      <c r="D230" s="18" t="s">
        <v>389</v>
      </c>
      <c r="E230">
        <v>18.619554627911679</v>
      </c>
      <c r="F230">
        <v>18.575962095757653</v>
      </c>
      <c r="G230" s="18" t="s">
        <v>379</v>
      </c>
      <c r="H230" s="18" t="s">
        <v>369</v>
      </c>
      <c r="I230">
        <v>2.3103960851320235</v>
      </c>
      <c r="J230" s="18" t="s">
        <v>390</v>
      </c>
      <c r="L230" s="22" t="s">
        <v>33</v>
      </c>
      <c r="M230" s="24" t="s">
        <v>11</v>
      </c>
      <c r="N230" s="22" t="str">
        <f>SUBSTITUTE(C229,",",".")</f>
        <v>0.0411432668713627</v>
      </c>
      <c r="O230" s="22" t="str">
        <f>SUBSTITUTE(D229,",",".")</f>
        <v>17.71</v>
      </c>
      <c r="P230" s="22" t="str">
        <f>SUBSTITUTE(E229,",",".")</f>
        <v>20.5905871769004</v>
      </c>
      <c r="Q230" s="22" t="str">
        <f>SUBSTITUTE(F229,",",".")</f>
        <v>18.5776535264706</v>
      </c>
      <c r="R230" s="22" t="str">
        <f>SUBSTITUTE(G229,",",".")</f>
        <v>1.68</v>
      </c>
      <c r="S230" s="22" t="str">
        <f>SUBSTITUTE(H229,",",".")</f>
        <v>1.58</v>
      </c>
      <c r="T230" s="22" t="str">
        <f>SUBSTITUTE(I229,",",".")</f>
        <v>0.83403896307875</v>
      </c>
      <c r="U230" s="22" t="str">
        <f>SUBSTITUTE(J229,",",".")</f>
        <v>5.75</v>
      </c>
      <c r="X230" s="1"/>
    </row>
    <row r="231" spans="1:24" x14ac:dyDescent="0.25">
      <c r="A231" t="s">
        <v>33</v>
      </c>
      <c r="B231" s="1" t="s">
        <v>13</v>
      </c>
      <c r="C231">
        <v>3.8197478679392383</v>
      </c>
      <c r="D231" s="18" t="s">
        <v>393</v>
      </c>
      <c r="E231">
        <v>19.578034310381039</v>
      </c>
      <c r="F231">
        <v>18.595915800712238</v>
      </c>
      <c r="G231" s="18" t="s">
        <v>369</v>
      </c>
      <c r="H231" s="18" t="s">
        <v>197</v>
      </c>
      <c r="I231">
        <v>2.0912570506500172</v>
      </c>
      <c r="J231" s="18" t="s">
        <v>394</v>
      </c>
      <c r="L231" s="22" t="s">
        <v>33</v>
      </c>
      <c r="M231" s="24" t="s">
        <v>12</v>
      </c>
      <c r="N231" s="22" t="str">
        <f>SUBSTITUTE(C230,",",".")</f>
        <v>0.992005646297451</v>
      </c>
      <c r="O231" s="22" t="str">
        <f>SUBSTITUTE(D230,",",".")</f>
        <v>17.08</v>
      </c>
      <c r="P231" s="22" t="str">
        <f>SUBSTITUTE(E230,",",".")</f>
        <v>18.6195546279117</v>
      </c>
      <c r="Q231" s="22" t="str">
        <f>SUBSTITUTE(F230,",",".")</f>
        <v>18.5759620957577</v>
      </c>
      <c r="R231" s="22" t="str">
        <f>SUBSTITUTE(G230,",",".")</f>
        <v>1.80</v>
      </c>
      <c r="S231" s="22" t="str">
        <f>SUBSTITUTE(H230,",",".")</f>
        <v>1.65</v>
      </c>
      <c r="T231" s="22" t="str">
        <f>SUBSTITUTE(I230,",",".")</f>
        <v>2.31039608513202</v>
      </c>
      <c r="U231" s="22" t="str">
        <f>SUBSTITUTE(J230,",",".")</f>
        <v>5.54</v>
      </c>
      <c r="X231" s="1"/>
    </row>
    <row r="232" spans="1:24" x14ac:dyDescent="0.25">
      <c r="A232" t="s">
        <v>33</v>
      </c>
      <c r="B232" s="1" t="s">
        <v>14</v>
      </c>
      <c r="C232">
        <v>3.6605925722063213</v>
      </c>
      <c r="D232" s="18" t="s">
        <v>397</v>
      </c>
      <c r="E232">
        <v>27.695757040227686</v>
      </c>
      <c r="F232">
        <v>18.762945010053382</v>
      </c>
      <c r="G232" s="18" t="s">
        <v>361</v>
      </c>
      <c r="H232" s="18" t="s">
        <v>399</v>
      </c>
      <c r="I232">
        <v>2.0806531565855604</v>
      </c>
      <c r="J232" s="18" t="s">
        <v>398</v>
      </c>
      <c r="L232" s="22" t="s">
        <v>33</v>
      </c>
      <c r="M232" s="24" t="s">
        <v>13</v>
      </c>
      <c r="N232" s="22" t="str">
        <f>SUBSTITUTE(C231,",",".")</f>
        <v>3.81974786793924</v>
      </c>
      <c r="O232" s="22" t="str">
        <f>SUBSTITUTE(D231,",",".")</f>
        <v>16.72</v>
      </c>
      <c r="P232" s="22" t="str">
        <f>SUBSTITUTE(E231,",",".")</f>
        <v>19.578034310381</v>
      </c>
      <c r="Q232" s="22" t="str">
        <f>SUBSTITUTE(F231,",",".")</f>
        <v>18.5959158007122</v>
      </c>
      <c r="R232" s="22" t="str">
        <f>SUBSTITUTE(G231,",",".")</f>
        <v>1.65</v>
      </c>
      <c r="S232" s="22" t="str">
        <f>SUBSTITUTE(H231,",",".")</f>
        <v>1.60</v>
      </c>
      <c r="T232" s="22" t="str">
        <f>SUBSTITUTE(I231,",",".")</f>
        <v>2.09125705065002</v>
      </c>
      <c r="U232" s="22" t="str">
        <f>SUBSTITUTE(J231,",",".")</f>
        <v>5.65</v>
      </c>
      <c r="X232" s="1"/>
    </row>
    <row r="233" spans="1:24" x14ac:dyDescent="0.25">
      <c r="A233" t="s">
        <v>33</v>
      </c>
      <c r="B233" s="1" t="s">
        <v>15</v>
      </c>
      <c r="C233">
        <v>0.5633678944591668</v>
      </c>
      <c r="D233" s="18" t="s">
        <v>402</v>
      </c>
      <c r="E233">
        <v>18.280000660377681</v>
      </c>
      <c r="F233">
        <v>18.710060886366954</v>
      </c>
      <c r="G233" s="18" t="s">
        <v>405</v>
      </c>
      <c r="H233" s="18" t="s">
        <v>404</v>
      </c>
      <c r="I233">
        <v>1.9453736774512569</v>
      </c>
      <c r="J233" s="18" t="s">
        <v>403</v>
      </c>
      <c r="L233" s="22" t="s">
        <v>33</v>
      </c>
      <c r="M233" s="24" t="s">
        <v>14</v>
      </c>
      <c r="N233" s="22" t="str">
        <f>SUBSTITUTE(C232,",",".")</f>
        <v>3.66059257220632</v>
      </c>
      <c r="O233" s="22" t="str">
        <f>SUBSTITUTE(D232,",",".")</f>
        <v>16.59</v>
      </c>
      <c r="P233" s="22" t="str">
        <f>SUBSTITUTE(E232,",",".")</f>
        <v>27.6957570402277</v>
      </c>
      <c r="Q233" s="22" t="str">
        <f>SUBSTITUTE(F232,",",".")</f>
        <v>18.7629450100534</v>
      </c>
      <c r="R233" s="22" t="str">
        <f>SUBSTITUTE(G232,",",".")</f>
        <v>1.61</v>
      </c>
      <c r="S233" s="22" t="str">
        <f>SUBSTITUTE(H232,",",".")</f>
        <v>1.50</v>
      </c>
      <c r="T233" s="22" t="str">
        <f>SUBSTITUTE(I232,",",".")</f>
        <v>2.08065315658556</v>
      </c>
      <c r="U233" s="22" t="str">
        <f>SUBSTITUTE(J232,",",".")</f>
        <v>5.52</v>
      </c>
      <c r="X233" s="1"/>
    </row>
    <row r="234" spans="1:24" x14ac:dyDescent="0.25">
      <c r="A234" t="s">
        <v>33</v>
      </c>
      <c r="B234" s="1" t="s">
        <v>16</v>
      </c>
      <c r="C234">
        <v>1.9289609668861021</v>
      </c>
      <c r="D234" s="18" t="s">
        <v>408</v>
      </c>
      <c r="E234">
        <v>24.580472613814429</v>
      </c>
      <c r="F234">
        <v>18.734121662804196</v>
      </c>
      <c r="G234" s="18" t="s">
        <v>410</v>
      </c>
      <c r="H234" s="18" t="s">
        <v>404</v>
      </c>
      <c r="I234">
        <v>1.965685961383947</v>
      </c>
      <c r="J234" s="18" t="s">
        <v>409</v>
      </c>
      <c r="L234" s="22" t="s">
        <v>33</v>
      </c>
      <c r="M234" s="24" t="s">
        <v>15</v>
      </c>
      <c r="N234" s="22" t="str">
        <f>SUBSTITUTE(C233,",",".")</f>
        <v>0.563367894459167</v>
      </c>
      <c r="O234" s="22" t="str">
        <f>SUBSTITUTE(D233,",",".")</f>
        <v>17.31</v>
      </c>
      <c r="P234" s="22" t="str">
        <f>SUBSTITUTE(E233,",",".")</f>
        <v>18.2800006603777</v>
      </c>
      <c r="Q234" s="22" t="str">
        <f>SUBSTITUTE(F233,",",".")</f>
        <v>18.710060886367</v>
      </c>
      <c r="R234" s="22" t="str">
        <f>SUBSTITUTE(G233,",",".")</f>
        <v>1.66</v>
      </c>
      <c r="S234" s="22" t="str">
        <f>SUBSTITUTE(H233,",",".")</f>
        <v>1.40</v>
      </c>
      <c r="T234" s="22" t="str">
        <f>SUBSTITUTE(I233,",",".")</f>
        <v>1.94537367745126</v>
      </c>
      <c r="U234" s="22" t="str">
        <f>SUBSTITUTE(J233,",",".")</f>
        <v>5.39</v>
      </c>
      <c r="X234" s="1"/>
    </row>
    <row r="235" spans="1:24" x14ac:dyDescent="0.25">
      <c r="A235" t="s">
        <v>33</v>
      </c>
      <c r="B235" s="1" t="s">
        <v>17</v>
      </c>
      <c r="C235">
        <v>0.48143351500719589</v>
      </c>
      <c r="D235" s="18" t="s">
        <v>413</v>
      </c>
      <c r="E235">
        <v>24.823246787479995</v>
      </c>
      <c r="F235">
        <v>18.778402292009886</v>
      </c>
      <c r="G235" s="18" t="s">
        <v>361</v>
      </c>
      <c r="H235" s="18" t="s">
        <v>415</v>
      </c>
      <c r="I235">
        <v>2.0174767489348739</v>
      </c>
      <c r="J235" s="18" t="s">
        <v>414</v>
      </c>
      <c r="L235" s="22" t="s">
        <v>33</v>
      </c>
      <c r="M235" s="24" t="s">
        <v>16</v>
      </c>
      <c r="N235" s="22" t="str">
        <f>SUBSTITUTE(C234,",",".")</f>
        <v>1.9289609668861</v>
      </c>
      <c r="O235" s="22" t="str">
        <f>SUBSTITUTE(D234,",",".")</f>
        <v>17.05</v>
      </c>
      <c r="P235" s="22" t="str">
        <f>SUBSTITUTE(E234,",",".")</f>
        <v>24.5804726138144</v>
      </c>
      <c r="Q235" s="22" t="str">
        <f>SUBSTITUTE(F234,",",".")</f>
        <v>18.7341216628042</v>
      </c>
      <c r="R235" s="22" t="str">
        <f>SUBSTITUTE(G234,",",".")</f>
        <v>1.67</v>
      </c>
      <c r="S235" s="22" t="str">
        <f>SUBSTITUTE(H234,",",".")</f>
        <v>1.40</v>
      </c>
      <c r="T235" s="22" t="str">
        <f>SUBSTITUTE(I234,",",".")</f>
        <v>1.96568596138395</v>
      </c>
      <c r="U235" s="22" t="str">
        <f>SUBSTITUTE(J234,",",".")</f>
        <v>5.53</v>
      </c>
      <c r="X235" s="1"/>
    </row>
    <row r="236" spans="1:24" x14ac:dyDescent="0.25">
      <c r="A236" t="s">
        <v>33</v>
      </c>
      <c r="B236" s="1" t="s">
        <v>18</v>
      </c>
      <c r="C236">
        <v>3.8174828880180276</v>
      </c>
      <c r="D236" s="18" t="s">
        <v>387</v>
      </c>
      <c r="E236">
        <v>27.554808847982926</v>
      </c>
      <c r="F236">
        <v>18.835782054372572</v>
      </c>
      <c r="G236" s="18" t="s">
        <v>209</v>
      </c>
      <c r="H236" s="18" t="s">
        <v>419</v>
      </c>
      <c r="I236">
        <v>2.0417688016576951</v>
      </c>
      <c r="J236" s="18" t="s">
        <v>418</v>
      </c>
      <c r="L236" s="22" t="s">
        <v>33</v>
      </c>
      <c r="M236" s="24" t="s">
        <v>17</v>
      </c>
      <c r="N236" s="22" t="str">
        <f>SUBSTITUTE(C235,",",".")</f>
        <v>0.481433515007196</v>
      </c>
      <c r="O236" s="22" t="str">
        <f>SUBSTITUTE(D235,",",".")</f>
        <v>16.86</v>
      </c>
      <c r="P236" s="22" t="str">
        <f>SUBSTITUTE(E235,",",".")</f>
        <v>24.82324678748</v>
      </c>
      <c r="Q236" s="22" t="str">
        <f>SUBSTITUTE(F235,",",".")</f>
        <v>18.7784022920099</v>
      </c>
      <c r="R236" s="22" t="str">
        <f>SUBSTITUTE(G235,",",".")</f>
        <v>1.61</v>
      </c>
      <c r="S236" s="22" t="str">
        <f>SUBSTITUTE(H235,",",".")</f>
        <v>1.34</v>
      </c>
      <c r="T236" s="22" t="str">
        <f>SUBSTITUTE(I235,",",".")</f>
        <v>2.01747674893487</v>
      </c>
      <c r="U236" s="22" t="str">
        <f>SUBSTITUTE(J235,",",".")</f>
        <v>5.60</v>
      </c>
      <c r="X236" s="1"/>
    </row>
    <row r="237" spans="1:24" x14ac:dyDescent="0.25">
      <c r="A237" t="s">
        <v>33</v>
      </c>
      <c r="B237" s="1" t="s">
        <v>19</v>
      </c>
      <c r="C237">
        <v>0.74755329391851055</v>
      </c>
      <c r="D237" s="18" t="s">
        <v>422</v>
      </c>
      <c r="E237">
        <v>24.445408331391054</v>
      </c>
      <c r="F237">
        <v>18.822274862772993</v>
      </c>
      <c r="G237" s="18" t="s">
        <v>425</v>
      </c>
      <c r="H237" s="18" t="s">
        <v>424</v>
      </c>
      <c r="I237">
        <v>1.8772135175139721</v>
      </c>
      <c r="J237" s="18" t="s">
        <v>423</v>
      </c>
      <c r="L237" s="22" t="s">
        <v>33</v>
      </c>
      <c r="M237" s="24" t="s">
        <v>18</v>
      </c>
      <c r="N237" s="22" t="str">
        <f>SUBSTITUTE(C236,",",".")</f>
        <v>3.81748288801803</v>
      </c>
      <c r="O237" s="22" t="str">
        <f>SUBSTITUTE(D236,",",".")</f>
        <v>17.71</v>
      </c>
      <c r="P237" s="22" t="str">
        <f>SUBSTITUTE(E236,",",".")</f>
        <v>27.5548088479829</v>
      </c>
      <c r="Q237" s="22" t="str">
        <f>SUBSTITUTE(F236,",",".")</f>
        <v>18.8357820543726</v>
      </c>
      <c r="R237" s="22" t="str">
        <f>SUBSTITUTE(G236,",",".")</f>
        <v>1.64</v>
      </c>
      <c r="S237" s="22" t="str">
        <f>SUBSTITUTE(H236,",",".")</f>
        <v>1.26</v>
      </c>
      <c r="T237" s="22" t="str">
        <f>SUBSTITUTE(I236,",",".")</f>
        <v>2.0417688016577</v>
      </c>
      <c r="U237" s="22" t="str">
        <f>SUBSTITUTE(J236,",",".")</f>
        <v>5.66</v>
      </c>
      <c r="X237" s="1"/>
    </row>
    <row r="238" spans="1:24" x14ac:dyDescent="0.25">
      <c r="A238" t="s">
        <v>33</v>
      </c>
      <c r="B238" s="1" t="s">
        <v>20</v>
      </c>
      <c r="C238">
        <v>2.9474960958942744</v>
      </c>
      <c r="D238" s="18" t="s">
        <v>428</v>
      </c>
      <c r="E238">
        <v>25.062646658159061</v>
      </c>
      <c r="F238">
        <v>18.882898309066707</v>
      </c>
      <c r="G238" s="18" t="s">
        <v>430</v>
      </c>
      <c r="H238" s="18" t="s">
        <v>429</v>
      </c>
      <c r="I238">
        <v>1.8634836766792771</v>
      </c>
      <c r="J238" s="18" t="s">
        <v>377</v>
      </c>
      <c r="L238" s="22" t="s">
        <v>33</v>
      </c>
      <c r="M238" s="24" t="s">
        <v>19</v>
      </c>
      <c r="N238" s="22" t="str">
        <f>SUBSTITUTE(C237,",",".")</f>
        <v>0.747553293918511</v>
      </c>
      <c r="O238" s="22" t="str">
        <f>SUBSTITUTE(D237,",",".")</f>
        <v>17.78</v>
      </c>
      <c r="P238" s="22" t="str">
        <f>SUBSTITUTE(E237,",",".")</f>
        <v>24.4454083313911</v>
      </c>
      <c r="Q238" s="22" t="str">
        <f>SUBSTITUTE(F237,",",".")</f>
        <v>18.822274862773</v>
      </c>
      <c r="R238" s="22" t="str">
        <f>SUBSTITUTE(G237,",",".")</f>
        <v>1.73</v>
      </c>
      <c r="S238" s="22" t="str">
        <f>SUBSTITUTE(H237,",",".")</f>
        <v>1.24</v>
      </c>
      <c r="T238" s="22" t="str">
        <f>SUBSTITUTE(I237,",",".")</f>
        <v>1.87721351751397</v>
      </c>
      <c r="U238" s="22" t="str">
        <f>SUBSTITUTE(J237,",",".")</f>
        <v>5.84</v>
      </c>
      <c r="X238" s="1"/>
    </row>
    <row r="239" spans="1:24" x14ac:dyDescent="0.25">
      <c r="A239" t="s">
        <v>33</v>
      </c>
      <c r="B239" s="1" t="s">
        <v>21</v>
      </c>
      <c r="C239">
        <v>4.8493432899067006</v>
      </c>
      <c r="D239" s="18" t="s">
        <v>433</v>
      </c>
      <c r="E239">
        <v>30.028150119359399</v>
      </c>
      <c r="F239">
        <v>18.909184596361552</v>
      </c>
      <c r="G239" s="18" t="s">
        <v>436</v>
      </c>
      <c r="H239" s="18" t="s">
        <v>435</v>
      </c>
      <c r="I239">
        <v>1.6843319996677573</v>
      </c>
      <c r="J239" s="18" t="s">
        <v>434</v>
      </c>
      <c r="L239" s="22" t="s">
        <v>33</v>
      </c>
      <c r="M239" s="24" t="s">
        <v>20</v>
      </c>
      <c r="N239" s="22" t="str">
        <f>SUBSTITUTE(C238,",",".")</f>
        <v>2.94749609589427</v>
      </c>
      <c r="O239" s="22" t="str">
        <f>SUBSTITUTE(D238,",",".")</f>
        <v>17.15</v>
      </c>
      <c r="P239" s="22" t="str">
        <f>SUBSTITUTE(E238,",",".")</f>
        <v>25.0626466581591</v>
      </c>
      <c r="Q239" s="22" t="str">
        <f>SUBSTITUTE(F238,",",".")</f>
        <v>18.8828983090667</v>
      </c>
      <c r="R239" s="22" t="str">
        <f>SUBSTITUTE(G238,",",".")</f>
        <v>1.85</v>
      </c>
      <c r="S239" s="22" t="str">
        <f>SUBSTITUTE(H238,",",".")</f>
        <v>1.19</v>
      </c>
      <c r="T239" s="22" t="str">
        <f>SUBSTITUTE(I238,",",".")</f>
        <v>1.86348367667928</v>
      </c>
      <c r="U239" s="22" t="str">
        <f>SUBSTITUTE(J238,",",".")</f>
        <v>5.75</v>
      </c>
      <c r="X239" s="1"/>
    </row>
    <row r="240" spans="1:24" x14ac:dyDescent="0.25">
      <c r="A240" t="s">
        <v>33</v>
      </c>
      <c r="B240" s="1" t="s">
        <v>22</v>
      </c>
      <c r="C240">
        <v>2.6666008807770298</v>
      </c>
      <c r="D240" s="18" t="s">
        <v>439</v>
      </c>
      <c r="E240">
        <v>27.991694351414768</v>
      </c>
      <c r="F240">
        <v>18.894448978172267</v>
      </c>
      <c r="G240" s="18" t="s">
        <v>436</v>
      </c>
      <c r="H240" s="18" t="s">
        <v>441</v>
      </c>
      <c r="I240">
        <v>1.597759403011717</v>
      </c>
      <c r="J240" s="18" t="s">
        <v>440</v>
      </c>
      <c r="L240" s="22" t="s">
        <v>33</v>
      </c>
      <c r="M240" s="24" t="s">
        <v>21</v>
      </c>
      <c r="N240" s="22" t="str">
        <f>SUBSTITUTE(C239,",",".")</f>
        <v>4.8493432899067</v>
      </c>
      <c r="O240" s="22" t="str">
        <f>SUBSTITUTE(D239,",",".")</f>
        <v>18.03</v>
      </c>
      <c r="P240" s="22" t="str">
        <f>SUBSTITUTE(E239,",",".")</f>
        <v>30.0281501193594</v>
      </c>
      <c r="Q240" s="22" t="str">
        <f>SUBSTITUTE(F239,",",".")</f>
        <v>18.9091845963616</v>
      </c>
      <c r="R240" s="22" t="str">
        <f>SUBSTITUTE(G239,",",".")</f>
        <v>1.88</v>
      </c>
      <c r="S240" s="22" t="str">
        <f>SUBSTITUTE(H239,",",".")</f>
        <v>1.10</v>
      </c>
      <c r="T240" s="22" t="str">
        <f>SUBSTITUTE(I239,",",".")</f>
        <v>1.68433199966776</v>
      </c>
      <c r="U240" s="22" t="str">
        <f>SUBSTITUTE(J239,",",".")</f>
        <v>5.73</v>
      </c>
      <c r="X240" s="1"/>
    </row>
    <row r="241" spans="1:24" x14ac:dyDescent="0.25">
      <c r="A241" t="s">
        <v>33</v>
      </c>
      <c r="B241" s="1" t="s">
        <v>23</v>
      </c>
      <c r="C241">
        <v>2.1035293770606374</v>
      </c>
      <c r="D241" s="18">
        <v>19.190000000000001</v>
      </c>
      <c r="E241">
        <v>26.313983412340637</v>
      </c>
      <c r="F241">
        <v>18.953299248439716</v>
      </c>
      <c r="G241" s="18">
        <v>1.75</v>
      </c>
      <c r="H241" s="18">
        <v>1.1599999999999999</v>
      </c>
      <c r="I241">
        <v>1.4418438895534684</v>
      </c>
      <c r="J241" s="18">
        <v>5.86</v>
      </c>
      <c r="L241" s="22" t="s">
        <v>33</v>
      </c>
      <c r="M241" s="24" t="s">
        <v>22</v>
      </c>
      <c r="N241" s="22" t="str">
        <f>SUBSTITUTE(C240,",",".")</f>
        <v>2.66660088077703</v>
      </c>
      <c r="O241" s="22" t="str">
        <f>SUBSTITUTE(D240,",",".")</f>
        <v>17.74</v>
      </c>
      <c r="P241" s="22" t="str">
        <f>SUBSTITUTE(E240,",",".")</f>
        <v>27.9916943514148</v>
      </c>
      <c r="Q241" s="22" t="str">
        <f>SUBSTITUTE(F240,",",".")</f>
        <v>18.8944489781723</v>
      </c>
      <c r="R241" s="22" t="str">
        <f>SUBSTITUTE(G240,",",".")</f>
        <v>1.88</v>
      </c>
      <c r="S241" s="22" t="str">
        <f>SUBSTITUTE(H240,",",".")</f>
        <v>1.07</v>
      </c>
      <c r="T241" s="22" t="str">
        <f>SUBSTITUTE(I240,",",".")</f>
        <v>1.59775940301172</v>
      </c>
      <c r="U241" s="22" t="str">
        <f>SUBSTITUTE(J240,",",".")</f>
        <v>5.83</v>
      </c>
      <c r="X241" s="1"/>
    </row>
    <row r="242" spans="1:24" x14ac:dyDescent="0.25">
      <c r="A242" t="s">
        <v>39</v>
      </c>
      <c r="B242" s="1" t="s">
        <v>4</v>
      </c>
      <c r="C242">
        <v>3.426018488085071</v>
      </c>
      <c r="D242" s="17">
        <v>21.4</v>
      </c>
      <c r="E242">
        <v>44.013307272865113</v>
      </c>
      <c r="F242">
        <v>18.248019483876536</v>
      </c>
      <c r="G242" s="17">
        <v>2.0499999999999998</v>
      </c>
      <c r="H242" s="17">
        <v>2.34</v>
      </c>
      <c r="I242">
        <v>1.2435673704379075</v>
      </c>
      <c r="J242" s="17">
        <v>5.01</v>
      </c>
      <c r="L242" s="22" t="s">
        <v>33</v>
      </c>
      <c r="M242" s="24" t="s">
        <v>23</v>
      </c>
      <c r="N242" s="22" t="str">
        <f>SUBSTITUTE(C241,",",".")</f>
        <v>2.10352937706064</v>
      </c>
      <c r="O242" s="22" t="str">
        <f>SUBSTITUTE(D241,",",".")</f>
        <v>19.19</v>
      </c>
      <c r="P242" s="22" t="str">
        <f>SUBSTITUTE(E241,",",".")</f>
        <v>26.3139834123406</v>
      </c>
      <c r="Q242" s="22" t="str">
        <f>SUBSTITUTE(F241,",",".")</f>
        <v>18.9532992484397</v>
      </c>
      <c r="R242" s="22" t="str">
        <f>SUBSTITUTE(G241,",",".")</f>
        <v>1.75</v>
      </c>
      <c r="S242" s="22" t="str">
        <f>SUBSTITUTE(H241,",",".")</f>
        <v>1.16</v>
      </c>
      <c r="T242" s="22" t="str">
        <f>SUBSTITUTE(I241,",",".")</f>
        <v>1.44184388955347</v>
      </c>
      <c r="U242" s="22" t="str">
        <f>SUBSTITUTE(J241,",",".")</f>
        <v>5.86</v>
      </c>
      <c r="X242" s="1"/>
    </row>
    <row r="243" spans="1:24" x14ac:dyDescent="0.25">
      <c r="A243" t="s">
        <v>39</v>
      </c>
      <c r="B243" s="1" t="s">
        <v>5</v>
      </c>
      <c r="C243">
        <v>5.8468416186538157</v>
      </c>
      <c r="D243" s="17">
        <v>21.06</v>
      </c>
      <c r="E243">
        <v>33.66377405726422</v>
      </c>
      <c r="F243">
        <v>18.233905753326468</v>
      </c>
      <c r="G243" s="17">
        <v>2.0699999999999998</v>
      </c>
      <c r="H243" s="17">
        <v>2.2799999999999998</v>
      </c>
      <c r="I243">
        <v>1.1604342229170139</v>
      </c>
      <c r="J243" s="17">
        <v>5.14</v>
      </c>
      <c r="L243" s="22" t="s">
        <v>39</v>
      </c>
      <c r="M243" s="24" t="s">
        <v>4</v>
      </c>
      <c r="N243" s="22" t="str">
        <f>SUBSTITUTE(C242,",",".")</f>
        <v>3.42601848808507</v>
      </c>
      <c r="O243" s="22" t="str">
        <f>SUBSTITUTE(D242,",",".")</f>
        <v>21.4</v>
      </c>
      <c r="P243" s="22" t="str">
        <f>SUBSTITUTE(E242,",",".")</f>
        <v>44.0133072728651</v>
      </c>
      <c r="Q243" s="22" t="str">
        <f>SUBSTITUTE(F242,",",".")</f>
        <v>18.2480194838765</v>
      </c>
      <c r="R243" s="22" t="str">
        <f>SUBSTITUTE(G242,",",".")</f>
        <v>2.05</v>
      </c>
      <c r="S243" s="22" t="str">
        <f>SUBSTITUTE(H242,",",".")</f>
        <v>2.34</v>
      </c>
      <c r="T243" s="22" t="str">
        <f>SUBSTITUTE(I242,",",".")</f>
        <v>1.24356737043791</v>
      </c>
      <c r="U243" s="22" t="str">
        <f>SUBSTITUTE(J242,",",".")</f>
        <v>5.01</v>
      </c>
      <c r="X243" s="1"/>
    </row>
    <row r="244" spans="1:24" x14ac:dyDescent="0.25">
      <c r="A244" t="s">
        <v>39</v>
      </c>
      <c r="B244" s="1" t="s">
        <v>6</v>
      </c>
      <c r="C244">
        <v>4.2240630418524754</v>
      </c>
      <c r="D244" s="17">
        <v>21.03</v>
      </c>
      <c r="E244">
        <v>36.259296791238135</v>
      </c>
      <c r="F244">
        <v>18.164008536945367</v>
      </c>
      <c r="G244" s="17">
        <v>2.29</v>
      </c>
      <c r="H244" s="17">
        <v>2.19</v>
      </c>
      <c r="I244">
        <v>1.0008325611094107</v>
      </c>
      <c r="J244" s="17">
        <v>5.32</v>
      </c>
      <c r="L244" s="22" t="s">
        <v>39</v>
      </c>
      <c r="M244" s="24" t="s">
        <v>5</v>
      </c>
      <c r="N244" s="22" t="str">
        <f>SUBSTITUTE(C243,",",".")</f>
        <v>5.84684161865382</v>
      </c>
      <c r="O244" s="22" t="str">
        <f>SUBSTITUTE(D243,",",".")</f>
        <v>21.06</v>
      </c>
      <c r="P244" s="22" t="str">
        <f>SUBSTITUTE(E243,",",".")</f>
        <v>33.6637740572642</v>
      </c>
      <c r="Q244" s="22" t="str">
        <f>SUBSTITUTE(F243,",",".")</f>
        <v>18.2339057533265</v>
      </c>
      <c r="R244" s="22" t="str">
        <f>SUBSTITUTE(G243,",",".")</f>
        <v>2.07</v>
      </c>
      <c r="S244" s="22" t="str">
        <f>SUBSTITUTE(H243,",",".")</f>
        <v>2.28</v>
      </c>
      <c r="T244" s="22" t="str">
        <f>SUBSTITUTE(I243,",",".")</f>
        <v>1.16043422291701</v>
      </c>
      <c r="U244" s="22" t="str">
        <f>SUBSTITUTE(J243,",",".")</f>
        <v>5.14</v>
      </c>
      <c r="X244" s="1"/>
    </row>
    <row r="245" spans="1:24" x14ac:dyDescent="0.25">
      <c r="A245" t="s">
        <v>39</v>
      </c>
      <c r="B245" s="1" t="s">
        <v>7</v>
      </c>
      <c r="C245">
        <v>5.1375009794580437</v>
      </c>
      <c r="D245" s="17">
        <v>22.79</v>
      </c>
      <c r="E245">
        <v>77.582442986699476</v>
      </c>
      <c r="F245">
        <v>18.243489357303474</v>
      </c>
      <c r="G245" s="17">
        <v>2.4700000000000002</v>
      </c>
      <c r="H245" s="17">
        <v>1.6</v>
      </c>
      <c r="I245">
        <v>0.82135102271092619</v>
      </c>
      <c r="J245" s="17">
        <v>5.19</v>
      </c>
      <c r="L245" s="22" t="s">
        <v>39</v>
      </c>
      <c r="M245" s="24" t="s">
        <v>6</v>
      </c>
      <c r="N245" s="22" t="str">
        <f>SUBSTITUTE(C244,",",".")</f>
        <v>4.22406304185248</v>
      </c>
      <c r="O245" s="22" t="str">
        <f>SUBSTITUTE(D244,",",".")</f>
        <v>21.03</v>
      </c>
      <c r="P245" s="22" t="str">
        <f>SUBSTITUTE(E244,",",".")</f>
        <v>36.2592967912381</v>
      </c>
      <c r="Q245" s="22" t="str">
        <f>SUBSTITUTE(F244,",",".")</f>
        <v>18.1640085369454</v>
      </c>
      <c r="R245" s="22" t="str">
        <f>SUBSTITUTE(G244,",",".")</f>
        <v>2.29</v>
      </c>
      <c r="S245" s="22" t="str">
        <f>SUBSTITUTE(H244,",",".")</f>
        <v>2.19</v>
      </c>
      <c r="T245" s="22" t="str">
        <f>SUBSTITUTE(I244,",",".")</f>
        <v>1.00083256110941</v>
      </c>
      <c r="U245" s="22" t="str">
        <f>SUBSTITUTE(J244,",",".")</f>
        <v>5.32</v>
      </c>
      <c r="X245" s="1"/>
    </row>
    <row r="246" spans="1:24" x14ac:dyDescent="0.25">
      <c r="A246" t="s">
        <v>39</v>
      </c>
      <c r="B246" s="1" t="s">
        <v>8</v>
      </c>
      <c r="C246">
        <v>3.1241339311270555</v>
      </c>
      <c r="D246" s="17">
        <v>24.25</v>
      </c>
      <c r="E246">
        <v>36.736738449725067</v>
      </c>
      <c r="F246">
        <v>18.245999445907827</v>
      </c>
      <c r="G246" s="17">
        <v>2.94</v>
      </c>
      <c r="H246" s="17">
        <v>1.75</v>
      </c>
      <c r="I246">
        <v>0.75421479758912535</v>
      </c>
      <c r="J246" s="17">
        <v>5.26</v>
      </c>
      <c r="L246" s="22" t="s">
        <v>39</v>
      </c>
      <c r="M246" s="24" t="s">
        <v>7</v>
      </c>
      <c r="N246" s="22" t="str">
        <f>SUBSTITUTE(C245,",",".")</f>
        <v>5.13750097945804</v>
      </c>
      <c r="O246" s="22" t="str">
        <f>SUBSTITUTE(D245,",",".")</f>
        <v>22.79</v>
      </c>
      <c r="P246" s="22" t="str">
        <f>SUBSTITUTE(E245,",",".")</f>
        <v>77.5824429866995</v>
      </c>
      <c r="Q246" s="22" t="str">
        <f>SUBSTITUTE(F245,",",".")</f>
        <v>18.2434893573035</v>
      </c>
      <c r="R246" s="22" t="str">
        <f>SUBSTITUTE(G245,",",".")</f>
        <v>2.47</v>
      </c>
      <c r="S246" s="22" t="str">
        <f>SUBSTITUTE(H245,",",".")</f>
        <v>1.6</v>
      </c>
      <c r="T246" s="22" t="str">
        <f>SUBSTITUTE(I245,",",".")</f>
        <v>0.821351022710926</v>
      </c>
      <c r="U246" s="22" t="str">
        <f>SUBSTITUTE(J245,",",".")</f>
        <v>5.19</v>
      </c>
      <c r="X246" s="1"/>
    </row>
    <row r="247" spans="1:24" x14ac:dyDescent="0.25">
      <c r="A247" t="s">
        <v>39</v>
      </c>
      <c r="B247" s="1" t="s">
        <v>9</v>
      </c>
      <c r="C247">
        <v>5.9212306007979807</v>
      </c>
      <c r="D247" s="17">
        <v>23.26</v>
      </c>
      <c r="E247">
        <v>34.732677426139247</v>
      </c>
      <c r="F247">
        <v>18.249627559903704</v>
      </c>
      <c r="G247" s="17">
        <v>2.7</v>
      </c>
      <c r="H247" s="17">
        <v>1.65</v>
      </c>
      <c r="I247">
        <v>0.71151517974812994</v>
      </c>
      <c r="J247" s="17">
        <v>5.2</v>
      </c>
      <c r="L247" s="22" t="s">
        <v>39</v>
      </c>
      <c r="M247" s="24" t="s">
        <v>8</v>
      </c>
      <c r="N247" s="22" t="str">
        <f>SUBSTITUTE(C246,",",".")</f>
        <v>3.12413393112706</v>
      </c>
      <c r="O247" s="22" t="str">
        <f>SUBSTITUTE(D246,",",".")</f>
        <v>24.25</v>
      </c>
      <c r="P247" s="22" t="str">
        <f>SUBSTITUTE(E246,",",".")</f>
        <v>36.7367384497251</v>
      </c>
      <c r="Q247" s="22" t="str">
        <f>SUBSTITUTE(F246,",",".")</f>
        <v>18.2459994459078</v>
      </c>
      <c r="R247" s="22" t="str">
        <f>SUBSTITUTE(G246,",",".")</f>
        <v>2.94</v>
      </c>
      <c r="S247" s="22" t="str">
        <f>SUBSTITUTE(H246,",",".")</f>
        <v>1.75</v>
      </c>
      <c r="T247" s="22" t="str">
        <f>SUBSTITUTE(I246,",",".")</f>
        <v>0.754214797589125</v>
      </c>
      <c r="U247" s="22" t="str">
        <f>SUBSTITUTE(J246,",",".")</f>
        <v>5.26</v>
      </c>
      <c r="X247" s="1"/>
    </row>
    <row r="248" spans="1:24" x14ac:dyDescent="0.25">
      <c r="A248" t="s">
        <v>39</v>
      </c>
      <c r="B248" s="1" t="s">
        <v>10</v>
      </c>
      <c r="C248">
        <v>4.516803160806691</v>
      </c>
      <c r="D248" s="17">
        <v>24.42</v>
      </c>
      <c r="E248">
        <v>34.384614203729093</v>
      </c>
      <c r="F248">
        <v>18.290673237996788</v>
      </c>
      <c r="G248" s="17">
        <v>2.75</v>
      </c>
      <c r="H248" s="17">
        <v>1.37</v>
      </c>
      <c r="I248">
        <v>0.59944766929315541</v>
      </c>
      <c r="J248" s="17">
        <v>5.17</v>
      </c>
      <c r="L248" s="22" t="s">
        <v>39</v>
      </c>
      <c r="M248" s="24" t="s">
        <v>9</v>
      </c>
      <c r="N248" s="22" t="str">
        <f>SUBSTITUTE(C247,",",".")</f>
        <v>5.92123060079798</v>
      </c>
      <c r="O248" s="22" t="str">
        <f>SUBSTITUTE(D247,",",".")</f>
        <v>23.26</v>
      </c>
      <c r="P248" s="22" t="str">
        <f>SUBSTITUTE(E247,",",".")</f>
        <v>34.7326774261392</v>
      </c>
      <c r="Q248" s="22" t="str">
        <f>SUBSTITUTE(F247,",",".")</f>
        <v>18.2496275599037</v>
      </c>
      <c r="R248" s="22" t="str">
        <f>SUBSTITUTE(G247,",",".")</f>
        <v>2.7</v>
      </c>
      <c r="S248" s="22" t="str">
        <f>SUBSTITUTE(H247,",",".")</f>
        <v>1.65</v>
      </c>
      <c r="T248" s="22" t="str">
        <f>SUBSTITUTE(I247,",",".")</f>
        <v>0.71151517974813</v>
      </c>
      <c r="U248" s="22" t="str">
        <f>SUBSTITUTE(J247,",",".")</f>
        <v>5.2</v>
      </c>
      <c r="X248" s="1"/>
    </row>
    <row r="249" spans="1:24" x14ac:dyDescent="0.25">
      <c r="A249" t="s">
        <v>39</v>
      </c>
      <c r="B249" s="1" t="s">
        <v>11</v>
      </c>
      <c r="C249">
        <v>9.9049648296793755</v>
      </c>
      <c r="D249" s="17">
        <v>23.68</v>
      </c>
      <c r="E249">
        <v>30.074058395657598</v>
      </c>
      <c r="F249">
        <v>18.428686918831716</v>
      </c>
      <c r="G249" s="17">
        <v>2.9</v>
      </c>
      <c r="H249" s="17">
        <v>2.46</v>
      </c>
      <c r="I249">
        <v>0.52904535884667103</v>
      </c>
      <c r="J249" s="17">
        <v>4.9000000000000004</v>
      </c>
      <c r="L249" s="22" t="s">
        <v>39</v>
      </c>
      <c r="M249" s="24" t="s">
        <v>10</v>
      </c>
      <c r="N249" s="22" t="str">
        <f>SUBSTITUTE(C248,",",".")</f>
        <v>4.51680316080669</v>
      </c>
      <c r="O249" s="22" t="str">
        <f>SUBSTITUTE(D248,",",".")</f>
        <v>24.42</v>
      </c>
      <c r="P249" s="22" t="str">
        <f>SUBSTITUTE(E248,",",".")</f>
        <v>34.3846142037291</v>
      </c>
      <c r="Q249" s="22" t="str">
        <f>SUBSTITUTE(F248,",",".")</f>
        <v>18.2906732379968</v>
      </c>
      <c r="R249" s="22" t="str">
        <f>SUBSTITUTE(G248,",",".")</f>
        <v>2.75</v>
      </c>
      <c r="S249" s="22" t="str">
        <f>SUBSTITUTE(H248,",",".")</f>
        <v>1.37</v>
      </c>
      <c r="T249" s="22" t="str">
        <f>SUBSTITUTE(I248,",",".")</f>
        <v>0.599447669293155</v>
      </c>
      <c r="U249" s="22" t="str">
        <f>SUBSTITUTE(J248,",",".")</f>
        <v>5.17</v>
      </c>
      <c r="X249" s="1"/>
    </row>
    <row r="250" spans="1:24" x14ac:dyDescent="0.25">
      <c r="A250" t="s">
        <v>39</v>
      </c>
      <c r="B250" s="1" t="s">
        <v>12</v>
      </c>
      <c r="C250">
        <v>1.2196987726355162</v>
      </c>
      <c r="D250" s="17">
        <v>24.7</v>
      </c>
      <c r="E250">
        <v>31.109590327185582</v>
      </c>
      <c r="F250">
        <v>18.413255353851714</v>
      </c>
      <c r="G250" s="17">
        <v>3.29</v>
      </c>
      <c r="H250" s="17">
        <v>1.55</v>
      </c>
      <c r="I250">
        <v>1.1665439539725835</v>
      </c>
      <c r="J250" s="17">
        <v>4.84</v>
      </c>
      <c r="L250" s="22" t="s">
        <v>39</v>
      </c>
      <c r="M250" s="24" t="s">
        <v>11</v>
      </c>
      <c r="N250" s="22" t="str">
        <f>SUBSTITUTE(C249,",",".")</f>
        <v>9.90496482967938</v>
      </c>
      <c r="O250" s="22" t="str">
        <f>SUBSTITUTE(D249,",",".")</f>
        <v>23.68</v>
      </c>
      <c r="P250" s="22" t="str">
        <f>SUBSTITUTE(E249,",",".")</f>
        <v>30.0740583956576</v>
      </c>
      <c r="Q250" s="22" t="str">
        <f>SUBSTITUTE(F249,",",".")</f>
        <v>18.4286869188317</v>
      </c>
      <c r="R250" s="22" t="str">
        <f>SUBSTITUTE(G249,",",".")</f>
        <v>2.9</v>
      </c>
      <c r="S250" s="22" t="str">
        <f>SUBSTITUTE(H249,",",".")</f>
        <v>2.46</v>
      </c>
      <c r="T250" s="22" t="str">
        <f>SUBSTITUTE(I249,",",".")</f>
        <v>0.529045358846671</v>
      </c>
      <c r="U250" s="22" t="str">
        <f>SUBSTITUTE(J249,",",".")</f>
        <v>4.9</v>
      </c>
      <c r="X250" s="1"/>
    </row>
    <row r="251" spans="1:24" x14ac:dyDescent="0.25">
      <c r="A251" t="s">
        <v>39</v>
      </c>
      <c r="B251" s="1" t="s">
        <v>13</v>
      </c>
      <c r="C251">
        <v>-6.8761205569758674</v>
      </c>
      <c r="D251" s="17">
        <v>25.34</v>
      </c>
      <c r="E251">
        <v>28.188539900477167</v>
      </c>
      <c r="F251">
        <v>18.413012608808334</v>
      </c>
      <c r="G251" s="17">
        <v>2.93</v>
      </c>
      <c r="H251" s="17">
        <v>1.56</v>
      </c>
      <c r="I251">
        <v>1.117210051190394</v>
      </c>
      <c r="J251" s="17">
        <v>4.6500000000000004</v>
      </c>
      <c r="L251" s="22" t="s">
        <v>39</v>
      </c>
      <c r="M251" s="24" t="s">
        <v>12</v>
      </c>
      <c r="N251" s="22" t="str">
        <f>SUBSTITUTE(C250,",",".")</f>
        <v>1.21969877263552</v>
      </c>
      <c r="O251" s="22" t="str">
        <f>SUBSTITUTE(D250,",",".")</f>
        <v>24.7</v>
      </c>
      <c r="P251" s="22" t="str">
        <f>SUBSTITUTE(E250,",",".")</f>
        <v>31.1095903271856</v>
      </c>
      <c r="Q251" s="22" t="str">
        <f>SUBSTITUTE(F250,",",".")</f>
        <v>18.4132553538517</v>
      </c>
      <c r="R251" s="22" t="str">
        <f>SUBSTITUTE(G250,",",".")</f>
        <v>3.29</v>
      </c>
      <c r="S251" s="22" t="str">
        <f>SUBSTITUTE(H250,",",".")</f>
        <v>1.55</v>
      </c>
      <c r="T251" s="22" t="str">
        <f>SUBSTITUTE(I250,",",".")</f>
        <v>1.16654395397258</v>
      </c>
      <c r="U251" s="22" t="str">
        <f>SUBSTITUTE(J250,",",".")</f>
        <v>4.84</v>
      </c>
      <c r="X251" s="1"/>
    </row>
    <row r="252" spans="1:24" x14ac:dyDescent="0.25">
      <c r="A252" t="s">
        <v>39</v>
      </c>
      <c r="B252" s="1" t="s">
        <v>14</v>
      </c>
      <c r="C252">
        <v>1.0771096519093635</v>
      </c>
      <c r="D252" s="17">
        <v>26.01</v>
      </c>
      <c r="E252">
        <v>33.791644833660115</v>
      </c>
      <c r="F252">
        <v>18.458208418955799</v>
      </c>
      <c r="G252" s="17">
        <v>2.92</v>
      </c>
      <c r="H252" s="17">
        <v>1.4</v>
      </c>
      <c r="I252">
        <v>0.96068675067919274</v>
      </c>
      <c r="J252" s="17">
        <v>4.57</v>
      </c>
      <c r="L252" s="22" t="s">
        <v>39</v>
      </c>
      <c r="M252" s="24" t="s">
        <v>13</v>
      </c>
      <c r="N252" s="22" t="str">
        <f>SUBSTITUTE(C251,",",".")</f>
        <v>-6.87612055697587</v>
      </c>
      <c r="O252" s="22" t="str">
        <f>SUBSTITUTE(D251,",",".")</f>
        <v>25.34</v>
      </c>
      <c r="P252" s="22" t="str">
        <f>SUBSTITUTE(E251,",",".")</f>
        <v>28.1885399004772</v>
      </c>
      <c r="Q252" s="22" t="str">
        <f>SUBSTITUTE(F251,",",".")</f>
        <v>18.4130126088083</v>
      </c>
      <c r="R252" s="22" t="str">
        <f>SUBSTITUTE(G251,",",".")</f>
        <v>2.93</v>
      </c>
      <c r="S252" s="22" t="str">
        <f>SUBSTITUTE(H251,",",".")</f>
        <v>1.56</v>
      </c>
      <c r="T252" s="22" t="str">
        <f>SUBSTITUTE(I251,",",".")</f>
        <v>1.11721005119039</v>
      </c>
      <c r="U252" s="22" t="str">
        <f>SUBSTITUTE(J251,",",".")</f>
        <v>4.65</v>
      </c>
      <c r="X252" s="1"/>
    </row>
    <row r="253" spans="1:24" x14ac:dyDescent="0.25">
      <c r="A253" t="s">
        <v>39</v>
      </c>
      <c r="B253" s="1" t="s">
        <v>15</v>
      </c>
      <c r="C253">
        <v>-4.0067075394981124</v>
      </c>
      <c r="D253" s="17">
        <v>31.04</v>
      </c>
      <c r="E253">
        <v>30.077205037210664</v>
      </c>
      <c r="F253">
        <v>18.535817196049617</v>
      </c>
      <c r="G253" s="17">
        <v>3.64</v>
      </c>
      <c r="H253" s="17">
        <v>1.39</v>
      </c>
      <c r="I253">
        <v>0.94758081647593451</v>
      </c>
      <c r="J253" s="17">
        <v>4.42</v>
      </c>
      <c r="L253" s="22" t="s">
        <v>39</v>
      </c>
      <c r="M253" s="24" t="s">
        <v>14</v>
      </c>
      <c r="N253" s="22" t="str">
        <f>SUBSTITUTE(C252,",",".")</f>
        <v>1.07710965190936</v>
      </c>
      <c r="O253" s="22" t="str">
        <f>SUBSTITUTE(D252,",",".")</f>
        <v>26.01</v>
      </c>
      <c r="P253" s="22" t="str">
        <f>SUBSTITUTE(E252,",",".")</f>
        <v>33.7916448336601</v>
      </c>
      <c r="Q253" s="22" t="str">
        <f>SUBSTITUTE(F252,",",".")</f>
        <v>18.4582084189558</v>
      </c>
      <c r="R253" s="22" t="str">
        <f>SUBSTITUTE(G252,",",".")</f>
        <v>2.92</v>
      </c>
      <c r="S253" s="22" t="str">
        <f>SUBSTITUTE(H252,",",".")</f>
        <v>1.4</v>
      </c>
      <c r="T253" s="22" t="str">
        <f>SUBSTITUTE(I252,",",".")</f>
        <v>0.960686750679193</v>
      </c>
      <c r="U253" s="22" t="str">
        <f>SUBSTITUTE(J252,",",".")</f>
        <v>4.57</v>
      </c>
      <c r="X253" s="1"/>
    </row>
    <row r="254" spans="1:24" x14ac:dyDescent="0.25">
      <c r="A254" t="s">
        <v>39</v>
      </c>
      <c r="B254" s="1" t="s">
        <v>16</v>
      </c>
      <c r="C254">
        <v>1.608127239642916</v>
      </c>
      <c r="D254" s="17">
        <v>26.6</v>
      </c>
      <c r="E254">
        <v>42.202163352035178</v>
      </c>
      <c r="F254">
        <v>18.530361659228575</v>
      </c>
      <c r="G254" s="17">
        <v>3.35</v>
      </c>
      <c r="H254" s="17">
        <v>1.3</v>
      </c>
      <c r="I254">
        <v>0.91032097856688865</v>
      </c>
      <c r="J254" s="17">
        <v>4.82</v>
      </c>
      <c r="L254" s="22" t="s">
        <v>39</v>
      </c>
      <c r="M254" s="24" t="s">
        <v>15</v>
      </c>
      <c r="N254" s="22" t="str">
        <f>SUBSTITUTE(C253,",",".")</f>
        <v>-4.00670753949811</v>
      </c>
      <c r="O254" s="22" t="str">
        <f>SUBSTITUTE(D253,",",".")</f>
        <v>31.04</v>
      </c>
      <c r="P254" s="22" t="str">
        <f>SUBSTITUTE(E253,",",".")</f>
        <v>30.0772050372107</v>
      </c>
      <c r="Q254" s="22" t="str">
        <f>SUBSTITUTE(F253,",",".")</f>
        <v>18.5358171960496</v>
      </c>
      <c r="R254" s="22" t="str">
        <f>SUBSTITUTE(G253,",",".")</f>
        <v>3.64</v>
      </c>
      <c r="S254" s="22" t="str">
        <f>SUBSTITUTE(H253,",",".")</f>
        <v>1.39</v>
      </c>
      <c r="T254" s="22" t="str">
        <f>SUBSTITUTE(I253,",",".")</f>
        <v>0.947580816475935</v>
      </c>
      <c r="U254" s="22" t="str">
        <f>SUBSTITUTE(J253,",",".")</f>
        <v>4.42</v>
      </c>
      <c r="X254" s="1"/>
    </row>
    <row r="255" spans="1:24" x14ac:dyDescent="0.25">
      <c r="A255" t="s">
        <v>39</v>
      </c>
      <c r="B255" s="1" t="s">
        <v>17</v>
      </c>
      <c r="C255">
        <v>6.4763546337777811</v>
      </c>
      <c r="D255" s="17">
        <v>27.31</v>
      </c>
      <c r="E255">
        <v>40.86980387435375</v>
      </c>
      <c r="F255">
        <v>18.567942967030632</v>
      </c>
      <c r="G255" s="17">
        <v>3.45</v>
      </c>
      <c r="H255" s="17">
        <v>1.26</v>
      </c>
      <c r="I255">
        <v>0.88780874724102099</v>
      </c>
      <c r="J255" s="17">
        <v>4.97</v>
      </c>
      <c r="L255" s="22" t="s">
        <v>39</v>
      </c>
      <c r="M255" s="24" t="s">
        <v>16</v>
      </c>
      <c r="N255" s="22" t="str">
        <f>SUBSTITUTE(C254,",",".")</f>
        <v>1.60812723964292</v>
      </c>
      <c r="O255" s="22" t="str">
        <f>SUBSTITUTE(D254,",",".")</f>
        <v>26.6</v>
      </c>
      <c r="P255" s="22" t="str">
        <f>SUBSTITUTE(E254,",",".")</f>
        <v>42.2021633520352</v>
      </c>
      <c r="Q255" s="22" t="str">
        <f>SUBSTITUTE(F254,",",".")</f>
        <v>18.5303616592286</v>
      </c>
      <c r="R255" s="22" t="str">
        <f>SUBSTITUTE(G254,",",".")</f>
        <v>3.35</v>
      </c>
      <c r="S255" s="22" t="str">
        <f>SUBSTITUTE(H254,",",".")</f>
        <v>1.3</v>
      </c>
      <c r="T255" s="22" t="str">
        <f>SUBSTITUTE(I254,",",".")</f>
        <v>0.910320978566889</v>
      </c>
      <c r="U255" s="22" t="str">
        <f>SUBSTITUTE(J254,",",".")</f>
        <v>4.82</v>
      </c>
      <c r="X255" s="1"/>
    </row>
    <row r="256" spans="1:24" x14ac:dyDescent="0.25">
      <c r="A256" t="s">
        <v>39</v>
      </c>
      <c r="B256" s="1" t="s">
        <v>18</v>
      </c>
      <c r="C256">
        <v>2.8310495476038944</v>
      </c>
      <c r="D256" s="17">
        <v>28.2</v>
      </c>
      <c r="E256">
        <v>39.555828801689429</v>
      </c>
      <c r="F256">
        <v>18.601042356309424</v>
      </c>
      <c r="G256" s="17">
        <v>3.66</v>
      </c>
      <c r="H256" s="17">
        <v>1.25</v>
      </c>
      <c r="I256">
        <v>0.91741336855092115</v>
      </c>
      <c r="J256" s="17">
        <v>4.9800000000000004</v>
      </c>
      <c r="L256" s="22" t="s">
        <v>39</v>
      </c>
      <c r="M256" s="24" t="s">
        <v>17</v>
      </c>
      <c r="N256" s="22" t="str">
        <f>SUBSTITUTE(C255,",",".")</f>
        <v>6.47635463377778</v>
      </c>
      <c r="O256" s="22" t="str">
        <f>SUBSTITUTE(D255,",",".")</f>
        <v>27.31</v>
      </c>
      <c r="P256" s="22" t="str">
        <f>SUBSTITUTE(E255,",",".")</f>
        <v>40.8698038743537</v>
      </c>
      <c r="Q256" s="22" t="str">
        <f>SUBSTITUTE(F255,",",".")</f>
        <v>18.5679429670306</v>
      </c>
      <c r="R256" s="22" t="str">
        <f>SUBSTITUTE(G255,",",".")</f>
        <v>3.45</v>
      </c>
      <c r="S256" s="22" t="str">
        <f>SUBSTITUTE(H255,",",".")</f>
        <v>1.26</v>
      </c>
      <c r="T256" s="22" t="str">
        <f>SUBSTITUTE(I255,",",".")</f>
        <v>0.887808747241021</v>
      </c>
      <c r="U256" s="22" t="str">
        <f>SUBSTITUTE(J255,",",".")</f>
        <v>4.97</v>
      </c>
      <c r="X256" s="1"/>
    </row>
    <row r="257" spans="1:24" x14ac:dyDescent="0.25">
      <c r="A257" t="s">
        <v>39</v>
      </c>
      <c r="B257" s="1" t="s">
        <v>19</v>
      </c>
      <c r="C257">
        <v>12.486429170656987</v>
      </c>
      <c r="D257" s="17">
        <v>27.3</v>
      </c>
      <c r="E257">
        <v>32.041847874226391</v>
      </c>
      <c r="F257">
        <v>18.70495243265071</v>
      </c>
      <c r="G257" s="17">
        <v>4.22</v>
      </c>
      <c r="H257" s="17">
        <v>1.1200000000000001</v>
      </c>
      <c r="I257">
        <v>0.83579532845952653</v>
      </c>
      <c r="J257" s="17">
        <v>4.75</v>
      </c>
      <c r="L257" s="22" t="s">
        <v>39</v>
      </c>
      <c r="M257" s="24" t="s">
        <v>18</v>
      </c>
      <c r="N257" s="22" t="str">
        <f>SUBSTITUTE(C256,",",".")</f>
        <v>2.83104954760389</v>
      </c>
      <c r="O257" s="22" t="str">
        <f>SUBSTITUTE(D256,",",".")</f>
        <v>28.2</v>
      </c>
      <c r="P257" s="22" t="str">
        <f>SUBSTITUTE(E256,",",".")</f>
        <v>39.5558288016894</v>
      </c>
      <c r="Q257" s="22" t="str">
        <f>SUBSTITUTE(F256,",",".")</f>
        <v>18.6010423563094</v>
      </c>
      <c r="R257" s="22" t="str">
        <f>SUBSTITUTE(G256,",",".")</f>
        <v>3.66</v>
      </c>
      <c r="S257" s="22" t="str">
        <f>SUBSTITUTE(H256,",",".")</f>
        <v>1.25</v>
      </c>
      <c r="T257" s="22" t="str">
        <f>SUBSTITUTE(I256,",",".")</f>
        <v>0.917413368550921</v>
      </c>
      <c r="U257" s="22" t="str">
        <f>SUBSTITUTE(J256,",",".")</f>
        <v>4.98</v>
      </c>
      <c r="X257" s="1"/>
    </row>
    <row r="258" spans="1:24" x14ac:dyDescent="0.25">
      <c r="A258" t="s">
        <v>39</v>
      </c>
      <c r="B258" s="1" t="s">
        <v>20</v>
      </c>
      <c r="C258">
        <v>3.0420527967448843</v>
      </c>
      <c r="D258" s="17">
        <v>22.93</v>
      </c>
      <c r="E258">
        <v>27.792541296997957</v>
      </c>
      <c r="F258">
        <v>18.544631926308146</v>
      </c>
      <c r="G258" s="17">
        <v>2.83</v>
      </c>
      <c r="H258" s="17">
        <v>1.1399999999999999</v>
      </c>
      <c r="I258">
        <v>0.82213571289811627</v>
      </c>
      <c r="J258" s="17">
        <v>4.99</v>
      </c>
      <c r="L258" s="22" t="s">
        <v>39</v>
      </c>
      <c r="M258" s="24" t="s">
        <v>19</v>
      </c>
      <c r="N258" s="22" t="str">
        <f>SUBSTITUTE(C257,",",".")</f>
        <v>12.486429170657</v>
      </c>
      <c r="O258" s="22" t="str">
        <f>SUBSTITUTE(D257,",",".")</f>
        <v>27.3</v>
      </c>
      <c r="P258" s="22" t="str">
        <f>SUBSTITUTE(E257,",",".")</f>
        <v>32.0418478742264</v>
      </c>
      <c r="Q258" s="22" t="str">
        <f>SUBSTITUTE(F257,",",".")</f>
        <v>18.7049524326507</v>
      </c>
      <c r="R258" s="22" t="str">
        <f>SUBSTITUTE(G257,",",".")</f>
        <v>4.22</v>
      </c>
      <c r="S258" s="22" t="str">
        <f>SUBSTITUTE(H257,",",".")</f>
        <v>1.12</v>
      </c>
      <c r="T258" s="22" t="str">
        <f>SUBSTITUTE(I257,",",".")</f>
        <v>0.835795328459527</v>
      </c>
      <c r="U258" s="22" t="str">
        <f>SUBSTITUTE(J257,",",".")</f>
        <v>4.75</v>
      </c>
      <c r="X258" s="1"/>
    </row>
    <row r="259" spans="1:24" x14ac:dyDescent="0.25">
      <c r="A259" t="s">
        <v>39</v>
      </c>
      <c r="B259" s="1" t="s">
        <v>21</v>
      </c>
      <c r="C259">
        <v>2.9711953251825314</v>
      </c>
      <c r="D259" s="17">
        <v>22.51</v>
      </c>
      <c r="E259">
        <v>38.997374696462735</v>
      </c>
      <c r="F259">
        <v>18.632155713385238</v>
      </c>
      <c r="G259" s="17">
        <v>3.06</v>
      </c>
      <c r="H259" s="17">
        <v>1.1599999999999999</v>
      </c>
      <c r="I259">
        <v>0.85861433962864353</v>
      </c>
      <c r="J259" s="17">
        <v>5.35</v>
      </c>
      <c r="L259" s="22" t="s">
        <v>39</v>
      </c>
      <c r="M259" s="24" t="s">
        <v>20</v>
      </c>
      <c r="N259" s="22" t="str">
        <f>SUBSTITUTE(C258,",",".")</f>
        <v>3.04205279674488</v>
      </c>
      <c r="O259" s="22" t="str">
        <f>SUBSTITUTE(D258,",",".")</f>
        <v>22.93</v>
      </c>
      <c r="P259" s="22" t="str">
        <f>SUBSTITUTE(E258,",",".")</f>
        <v>27.792541296998</v>
      </c>
      <c r="Q259" s="22" t="str">
        <f>SUBSTITUTE(F258,",",".")</f>
        <v>18.5446319263081</v>
      </c>
      <c r="R259" s="22" t="str">
        <f>SUBSTITUTE(G258,",",".")</f>
        <v>2.83</v>
      </c>
      <c r="S259" s="22" t="str">
        <f>SUBSTITUTE(H258,",",".")</f>
        <v>1.14</v>
      </c>
      <c r="T259" s="22" t="str">
        <f>SUBSTITUTE(I258,",",".")</f>
        <v>0.822135712898116</v>
      </c>
      <c r="U259" s="22" t="str">
        <f>SUBSTITUTE(J258,",",".")</f>
        <v>4.99</v>
      </c>
      <c r="X259" s="1"/>
    </row>
    <row r="260" spans="1:24" x14ac:dyDescent="0.25">
      <c r="A260" t="s">
        <v>39</v>
      </c>
      <c r="B260" s="1" t="s">
        <v>22</v>
      </c>
      <c r="C260">
        <v>6.0616432111229441</v>
      </c>
      <c r="D260" s="17">
        <v>22.59</v>
      </c>
      <c r="E260">
        <v>37.943498797034287</v>
      </c>
      <c r="F260">
        <v>18.653165902271109</v>
      </c>
      <c r="G260" s="17">
        <v>3.58</v>
      </c>
      <c r="H260" s="17">
        <v>1.27</v>
      </c>
      <c r="I260">
        <v>0.82652635553091647</v>
      </c>
      <c r="J260" s="17">
        <v>5.6</v>
      </c>
      <c r="L260" s="22" t="s">
        <v>39</v>
      </c>
      <c r="M260" s="24" t="s">
        <v>21</v>
      </c>
      <c r="N260" s="22" t="str">
        <f>SUBSTITUTE(C259,",",".")</f>
        <v>2.97119532518253</v>
      </c>
      <c r="O260" s="22" t="str">
        <f>SUBSTITUTE(D259,",",".")</f>
        <v>22.51</v>
      </c>
      <c r="P260" s="22" t="str">
        <f>SUBSTITUTE(E259,",",".")</f>
        <v>38.9973746964627</v>
      </c>
      <c r="Q260" s="22" t="str">
        <f>SUBSTITUTE(F259,",",".")</f>
        <v>18.6321557133852</v>
      </c>
      <c r="R260" s="22" t="str">
        <f>SUBSTITUTE(G259,",",".")</f>
        <v>3.06</v>
      </c>
      <c r="S260" s="22" t="str">
        <f>SUBSTITUTE(H259,",",".")</f>
        <v>1.16</v>
      </c>
      <c r="T260" s="22" t="str">
        <f>SUBSTITUTE(I259,",",".")</f>
        <v>0.858614339628644</v>
      </c>
      <c r="U260" s="22" t="str">
        <f>SUBSTITUTE(J259,",",".")</f>
        <v>5.35</v>
      </c>
      <c r="X260" s="1"/>
    </row>
    <row r="261" spans="1:24" x14ac:dyDescent="0.25">
      <c r="A261" t="s">
        <v>39</v>
      </c>
      <c r="B261" s="1" t="s">
        <v>23</v>
      </c>
      <c r="C261">
        <v>2.9375653571284475</v>
      </c>
      <c r="D261" s="19">
        <v>25.41</v>
      </c>
      <c r="E261">
        <v>40.878768574482613</v>
      </c>
      <c r="F261">
        <v>18.769578668115621</v>
      </c>
      <c r="G261" s="17">
        <v>4</v>
      </c>
      <c r="H261" s="19">
        <v>1.23</v>
      </c>
      <c r="I261">
        <v>0.81382164301204241</v>
      </c>
      <c r="J261" s="17">
        <v>5.42</v>
      </c>
      <c r="L261" s="22" t="s">
        <v>39</v>
      </c>
      <c r="M261" s="24" t="s">
        <v>22</v>
      </c>
      <c r="N261" s="22" t="str">
        <f>SUBSTITUTE(C260,",",".")</f>
        <v>6.06164321112294</v>
      </c>
      <c r="O261" s="22" t="str">
        <f>SUBSTITUTE(D260,",",".")</f>
        <v>22.59</v>
      </c>
      <c r="P261" s="22" t="str">
        <f>SUBSTITUTE(E260,",",".")</f>
        <v>37.9434987970343</v>
      </c>
      <c r="Q261" s="22" t="str">
        <f>SUBSTITUTE(F260,",",".")</f>
        <v>18.6531659022711</v>
      </c>
      <c r="R261" s="22" t="str">
        <f>SUBSTITUTE(G260,",",".")</f>
        <v>3.58</v>
      </c>
      <c r="S261" s="22" t="str">
        <f>SUBSTITUTE(H260,",",".")</f>
        <v>1.27</v>
      </c>
      <c r="T261" s="22" t="str">
        <f>SUBSTITUTE(I260,",",".")</f>
        <v>0.826526355530916</v>
      </c>
      <c r="U261" s="22" t="str">
        <f>SUBSTITUTE(J260,",",".")</f>
        <v>5.6</v>
      </c>
      <c r="X261" s="1"/>
    </row>
    <row r="262" spans="1:24" x14ac:dyDescent="0.25">
      <c r="A262" t="s">
        <v>36</v>
      </c>
      <c r="B262" s="1" t="s">
        <v>4</v>
      </c>
      <c r="C262">
        <v>-1.0924906720839085</v>
      </c>
      <c r="D262" s="16">
        <v>22.94</v>
      </c>
      <c r="E262">
        <v>21.743650230852705</v>
      </c>
      <c r="F262">
        <v>17.828521991388627</v>
      </c>
      <c r="G262" s="18" t="s">
        <v>494</v>
      </c>
      <c r="H262" s="18" t="s">
        <v>491</v>
      </c>
      <c r="I262">
        <v>4.6171202616292373</v>
      </c>
      <c r="J262" s="16">
        <v>6.57</v>
      </c>
      <c r="L262" s="22" t="s">
        <v>39</v>
      </c>
      <c r="M262" s="24" t="s">
        <v>23</v>
      </c>
      <c r="N262" s="22" t="str">
        <f>SUBSTITUTE(C261,",",".")</f>
        <v>2.93756535712845</v>
      </c>
      <c r="O262" s="22" t="str">
        <f>SUBSTITUTE(D261,",",".")</f>
        <v>25.41</v>
      </c>
      <c r="P262" s="22" t="str">
        <f>SUBSTITUTE(E261,",",".")</f>
        <v>40.8787685744826</v>
      </c>
      <c r="Q262" s="22" t="str">
        <f>SUBSTITUTE(F261,",",".")</f>
        <v>18.7695786681156</v>
      </c>
      <c r="R262" s="22" t="str">
        <f>SUBSTITUTE(G261,",",".")</f>
        <v>4</v>
      </c>
      <c r="S262" s="22" t="str">
        <f>SUBSTITUTE(H261,",",".")</f>
        <v>1.23</v>
      </c>
      <c r="T262" s="22" t="str">
        <f>SUBSTITUTE(I261,",",".")</f>
        <v>0.813821643012042</v>
      </c>
      <c r="U262" s="22" t="str">
        <f>SUBSTITUTE(J261,",",".")</f>
        <v>5.42</v>
      </c>
      <c r="X262" s="1"/>
    </row>
    <row r="263" spans="1:24" x14ac:dyDescent="0.25">
      <c r="A263" t="s">
        <v>36</v>
      </c>
      <c r="B263" s="1" t="s">
        <v>5</v>
      </c>
      <c r="C263">
        <v>2.2631696971478052</v>
      </c>
      <c r="D263" s="16">
        <v>23.08</v>
      </c>
      <c r="E263">
        <v>28.107712388019067</v>
      </c>
      <c r="F263">
        <v>17.902109080264562</v>
      </c>
      <c r="G263" s="18" t="s">
        <v>499</v>
      </c>
      <c r="H263" s="18" t="s">
        <v>498</v>
      </c>
      <c r="I263">
        <v>4.3777560608430637</v>
      </c>
      <c r="J263" s="17">
        <v>6.41</v>
      </c>
      <c r="L263" s="22" t="s">
        <v>36</v>
      </c>
      <c r="M263" s="24" t="s">
        <v>4</v>
      </c>
      <c r="N263" s="22" t="str">
        <f>SUBSTITUTE(C262,",",".")</f>
        <v>-1.09249067208391</v>
      </c>
      <c r="O263" s="22" t="str">
        <f>SUBSTITUTE(D262,",",".")</f>
        <v>22.94</v>
      </c>
      <c r="P263" s="22" t="str">
        <f>SUBSTITUTE(E262,",",".")</f>
        <v>21.7436502308527</v>
      </c>
      <c r="Q263" s="22" t="str">
        <f>SUBSTITUTE(F262,",",".")</f>
        <v>17.8285219913886</v>
      </c>
      <c r="R263" s="22" t="str">
        <f>SUBSTITUTE(G262,",",".")</f>
        <v>3.88</v>
      </c>
      <c r="S263" s="22" t="str">
        <f>SUBSTITUTE(H262,",",".")</f>
        <v>4.84</v>
      </c>
      <c r="T263" s="22" t="str">
        <f>SUBSTITUTE(I262,",",".")</f>
        <v>4.61712026162924</v>
      </c>
      <c r="U263" s="22" t="str">
        <f>SUBSTITUTE(J262,",",".")</f>
        <v>6.57</v>
      </c>
      <c r="X263" s="1"/>
    </row>
    <row r="264" spans="1:24" x14ac:dyDescent="0.25">
      <c r="A264" t="s">
        <v>36</v>
      </c>
      <c r="B264" s="1" t="s">
        <v>6</v>
      </c>
      <c r="C264">
        <v>2.973366837800651</v>
      </c>
      <c r="D264" s="16">
        <v>23.35</v>
      </c>
      <c r="E264">
        <v>27.057048346908868</v>
      </c>
      <c r="F264">
        <v>17.965407243706576</v>
      </c>
      <c r="G264" s="18" t="s">
        <v>502</v>
      </c>
      <c r="H264" s="18" t="s">
        <v>207</v>
      </c>
      <c r="I264">
        <v>3.9278966395218085</v>
      </c>
      <c r="J264" s="16">
        <v>6.38</v>
      </c>
      <c r="L264" s="22" t="s">
        <v>36</v>
      </c>
      <c r="M264" s="24" t="s">
        <v>5</v>
      </c>
      <c r="N264" s="22" t="str">
        <f>SUBSTITUTE(C263,",",".")</f>
        <v>2.26316969714781</v>
      </c>
      <c r="O264" s="22" t="str">
        <f>SUBSTITUTE(D263,",",".")</f>
        <v>23.08</v>
      </c>
      <c r="P264" s="22" t="str">
        <f>SUBSTITUTE(E263,",",".")</f>
        <v>28.1077123880191</v>
      </c>
      <c r="Q264" s="22" t="str">
        <f>SUBSTITUTE(F263,",",".")</f>
        <v>17.9021090802646</v>
      </c>
      <c r="R264" s="22" t="str">
        <f>SUBSTITUTE(G263,",",".")</f>
        <v>3.67</v>
      </c>
      <c r="S264" s="22" t="str">
        <f>SUBSTITUTE(H263,",",".")</f>
        <v>4.79</v>
      </c>
      <c r="T264" s="22" t="str">
        <f>SUBSTITUTE(I263,",",".")</f>
        <v>4.37775606084306</v>
      </c>
      <c r="U264" s="22" t="str">
        <f>SUBSTITUTE(J263,",",".")</f>
        <v>6.41</v>
      </c>
      <c r="X264" s="1"/>
    </row>
    <row r="265" spans="1:24" x14ac:dyDescent="0.25">
      <c r="A265" t="s">
        <v>36</v>
      </c>
      <c r="B265" s="1" t="s">
        <v>7</v>
      </c>
      <c r="C265">
        <v>2.4791539543726797</v>
      </c>
      <c r="D265" s="16">
        <v>24.21</v>
      </c>
      <c r="E265">
        <v>34.337359795044492</v>
      </c>
      <c r="F265">
        <v>17.953698433921637</v>
      </c>
      <c r="G265" s="18" t="s">
        <v>492</v>
      </c>
      <c r="H265" s="18" t="s">
        <v>265</v>
      </c>
      <c r="I265">
        <v>3.5362511996124772</v>
      </c>
      <c r="J265" s="16">
        <v>6.37</v>
      </c>
      <c r="L265" s="22" t="s">
        <v>36</v>
      </c>
      <c r="M265" s="24" t="s">
        <v>6</v>
      </c>
      <c r="N265" s="22" t="str">
        <f>SUBSTITUTE(C264,",",".")</f>
        <v>2.97336683780065</v>
      </c>
      <c r="O265" s="22" t="str">
        <f>SUBSTITUTE(D264,",",".")</f>
        <v>23.35</v>
      </c>
      <c r="P265" s="22" t="str">
        <f>SUBSTITUTE(E264,",",".")</f>
        <v>27.0570483469089</v>
      </c>
      <c r="Q265" s="22" t="str">
        <f>SUBSTITUTE(F264,",",".")</f>
        <v>17.9654072437066</v>
      </c>
      <c r="R265" s="22" t="str">
        <f>SUBSTITUTE(G264,",",".")</f>
        <v>3.38</v>
      </c>
      <c r="S265" s="22" t="str">
        <f>SUBSTITUTE(H264,",",".")</f>
        <v>4.25</v>
      </c>
      <c r="T265" s="22" t="str">
        <f>SUBSTITUTE(I264,",",".")</f>
        <v>3.92789663952181</v>
      </c>
      <c r="U265" s="22" t="str">
        <f>SUBSTITUTE(J264,",",".")</f>
        <v>6.38</v>
      </c>
      <c r="X265" s="1"/>
    </row>
    <row r="266" spans="1:24" x14ac:dyDescent="0.25">
      <c r="A266" t="s">
        <v>36</v>
      </c>
      <c r="B266" s="1" t="s">
        <v>8</v>
      </c>
      <c r="C266">
        <v>-0.59354614019310104</v>
      </c>
      <c r="D266" s="17">
        <v>24.14</v>
      </c>
      <c r="E266">
        <v>23.634694573366172</v>
      </c>
      <c r="F266">
        <v>17.960096120273096</v>
      </c>
      <c r="G266" s="18" t="s">
        <v>509</v>
      </c>
      <c r="H266" s="18" t="s">
        <v>508</v>
      </c>
      <c r="I266">
        <v>3.1666625361194098</v>
      </c>
      <c r="J266" s="17">
        <v>6.52</v>
      </c>
      <c r="L266" s="22" t="s">
        <v>36</v>
      </c>
      <c r="M266" s="24" t="s">
        <v>7</v>
      </c>
      <c r="N266" s="22" t="str">
        <f>SUBSTITUTE(C265,",",".")</f>
        <v>2.47915395437268</v>
      </c>
      <c r="O266" s="22" t="str">
        <f>SUBSTITUTE(D265,",",".")</f>
        <v>24.21</v>
      </c>
      <c r="P266" s="22" t="str">
        <f>SUBSTITUTE(E265,",",".")</f>
        <v>34.3373597950445</v>
      </c>
      <c r="Q266" s="22" t="str">
        <f>SUBSTITUTE(F265,",",".")</f>
        <v>17.9536984339216</v>
      </c>
      <c r="R266" s="22" t="str">
        <f>SUBSTITUTE(G265,",",".")</f>
        <v>2.96</v>
      </c>
      <c r="S266" s="22" t="str">
        <f>SUBSTITUTE(H265,",",".")</f>
        <v>3.75</v>
      </c>
      <c r="T266" s="22" t="str">
        <f>SUBSTITUTE(I265,",",".")</f>
        <v>3.53625119961248</v>
      </c>
      <c r="U266" s="22" t="str">
        <f>SUBSTITUTE(J265,",",".")</f>
        <v>6.37</v>
      </c>
      <c r="X266" s="1"/>
    </row>
    <row r="267" spans="1:24" x14ac:dyDescent="0.25">
      <c r="A267" t="s">
        <v>36</v>
      </c>
      <c r="B267" s="1" t="s">
        <v>9</v>
      </c>
      <c r="C267">
        <v>3.1961887761999748</v>
      </c>
      <c r="D267" s="17">
        <v>23.22</v>
      </c>
      <c r="E267">
        <v>23.871520695029545</v>
      </c>
      <c r="F267">
        <v>18.048917890661581</v>
      </c>
      <c r="G267" s="18" t="s">
        <v>310</v>
      </c>
      <c r="H267" s="18" t="s">
        <v>512</v>
      </c>
      <c r="I267">
        <v>2.9193308151269668</v>
      </c>
      <c r="J267" s="17">
        <v>6.3</v>
      </c>
      <c r="L267" s="22" t="s">
        <v>36</v>
      </c>
      <c r="M267" s="24" t="s">
        <v>8</v>
      </c>
      <c r="N267" s="22" t="str">
        <f>SUBSTITUTE(C266,",",".")</f>
        <v>-0.593546140193101</v>
      </c>
      <c r="O267" s="22" t="str">
        <f>SUBSTITUTE(D266,",",".")</f>
        <v>24.14</v>
      </c>
      <c r="P267" s="22" t="str">
        <f>SUBSTITUTE(E266,",",".")</f>
        <v>23.6346945733662</v>
      </c>
      <c r="Q267" s="22" t="str">
        <f>SUBSTITUTE(F266,",",".")</f>
        <v>17.9600961202731</v>
      </c>
      <c r="R267" s="22" t="str">
        <f>SUBSTITUTE(G266,",",".")</f>
        <v>3.63</v>
      </c>
      <c r="S267" s="22" t="str">
        <f>SUBSTITUTE(H266,",",".")</f>
        <v>3.46</v>
      </c>
      <c r="T267" s="22" t="str">
        <f>SUBSTITUTE(I266,",",".")</f>
        <v>3.16666253611941</v>
      </c>
      <c r="U267" s="22" t="str">
        <f>SUBSTITUTE(J266,",",".")</f>
        <v>6.52</v>
      </c>
      <c r="X267" s="1"/>
    </row>
    <row r="268" spans="1:24" x14ac:dyDescent="0.25">
      <c r="A268" t="s">
        <v>36</v>
      </c>
      <c r="B268" s="1" t="s">
        <v>10</v>
      </c>
      <c r="C268">
        <v>8.5096442579318019</v>
      </c>
      <c r="D268" s="17">
        <v>21.8</v>
      </c>
      <c r="E268">
        <v>23.916822070267106</v>
      </c>
      <c r="F268">
        <v>18.093957257472255</v>
      </c>
      <c r="G268" s="18" t="s">
        <v>245</v>
      </c>
      <c r="H268" s="18" t="s">
        <v>495</v>
      </c>
      <c r="I268">
        <v>2.7758667856210137</v>
      </c>
      <c r="J268" s="17">
        <v>6.2</v>
      </c>
      <c r="L268" s="22" t="s">
        <v>36</v>
      </c>
      <c r="M268" s="24" t="s">
        <v>9</v>
      </c>
      <c r="N268" s="22" t="str">
        <f>SUBSTITUTE(C267,",",".")</f>
        <v>3.19618877619997</v>
      </c>
      <c r="O268" s="22" t="str">
        <f>SUBSTITUTE(D267,",",".")</f>
        <v>23.22</v>
      </c>
      <c r="P268" s="22" t="str">
        <f>SUBSTITUTE(E267,",",".")</f>
        <v>23.8715206950295</v>
      </c>
      <c r="Q268" s="22" t="str">
        <f>SUBSTITUTE(F267,",",".")</f>
        <v>18.0489178906616</v>
      </c>
      <c r="R268" s="22" t="str">
        <f>SUBSTITUTE(G267,",",".")</f>
        <v>3.50</v>
      </c>
      <c r="S268" s="22" t="str">
        <f>SUBSTITUTE(H267,",",".")</f>
        <v>3.16</v>
      </c>
      <c r="T268" s="22" t="str">
        <f>SUBSTITUTE(I267,",",".")</f>
        <v>2.91933081512697</v>
      </c>
      <c r="U268" s="22" t="str">
        <f>SUBSTITUTE(J267,",",".")</f>
        <v>6.3</v>
      </c>
      <c r="X268" s="1"/>
    </row>
    <row r="269" spans="1:24" x14ac:dyDescent="0.25">
      <c r="A269" t="s">
        <v>36</v>
      </c>
      <c r="B269" s="1" t="s">
        <v>11</v>
      </c>
      <c r="C269">
        <v>1.6557118774381825</v>
      </c>
      <c r="D269" s="17">
        <v>21.77</v>
      </c>
      <c r="E269">
        <v>29.607610164805475</v>
      </c>
      <c r="F269">
        <v>18.15561159457981</v>
      </c>
      <c r="G269" s="18" t="s">
        <v>518</v>
      </c>
      <c r="H269" s="18" t="s">
        <v>517</v>
      </c>
      <c r="I269">
        <v>2.555606834531436</v>
      </c>
      <c r="J269" s="17">
        <v>6.11</v>
      </c>
      <c r="L269" s="22" t="s">
        <v>36</v>
      </c>
      <c r="M269" s="24" t="s">
        <v>10</v>
      </c>
      <c r="N269" s="22" t="str">
        <f>SUBSTITUTE(C268,",",".")</f>
        <v>8.5096442579318</v>
      </c>
      <c r="O269" s="22" t="str">
        <f>SUBSTITUTE(D268,",",".")</f>
        <v>21.8</v>
      </c>
      <c r="P269" s="22" t="str">
        <f>SUBSTITUTE(E268,",",".")</f>
        <v>23.9168220702671</v>
      </c>
      <c r="Q269" s="22" t="str">
        <f>SUBSTITUTE(F268,",",".")</f>
        <v>18.0939572574723</v>
      </c>
      <c r="R269" s="22" t="str">
        <f>SUBSTITUTE(G268,",",".")</f>
        <v>3.18</v>
      </c>
      <c r="S269" s="22" t="str">
        <f>SUBSTITUTE(H268,",",".")</f>
        <v>2.89</v>
      </c>
      <c r="T269" s="22" t="str">
        <f>SUBSTITUTE(I268,",",".")</f>
        <v>2.77586678562101</v>
      </c>
      <c r="U269" s="22" t="str">
        <f>SUBSTITUTE(J268,",",".")</f>
        <v>6.2</v>
      </c>
      <c r="X269" s="1"/>
    </row>
    <row r="270" spans="1:24" x14ac:dyDescent="0.25">
      <c r="A270" t="s">
        <v>36</v>
      </c>
      <c r="B270" s="1" t="s">
        <v>12</v>
      </c>
      <c r="C270">
        <v>0.16343478748341037</v>
      </c>
      <c r="D270" s="17">
        <v>22.91</v>
      </c>
      <c r="E270">
        <v>25.060410317703898</v>
      </c>
      <c r="F270">
        <v>18.060007904783987</v>
      </c>
      <c r="G270" s="18" t="s">
        <v>478</v>
      </c>
      <c r="H270" s="18" t="s">
        <v>520</v>
      </c>
      <c r="I270">
        <v>2.7935716016623826</v>
      </c>
      <c r="J270" s="17">
        <v>6.05</v>
      </c>
      <c r="L270" s="22" t="s">
        <v>36</v>
      </c>
      <c r="M270" s="24" t="s">
        <v>11</v>
      </c>
      <c r="N270" s="22" t="str">
        <f>SUBSTITUTE(C269,",",".")</f>
        <v>1.65571187743818</v>
      </c>
      <c r="O270" s="22" t="str">
        <f>SUBSTITUTE(D269,",",".")</f>
        <v>21.77</v>
      </c>
      <c r="P270" s="22" t="str">
        <f>SUBSTITUTE(E269,",",".")</f>
        <v>29.6076101648055</v>
      </c>
      <c r="Q270" s="22" t="str">
        <f>SUBSTITUTE(F269,",",".")</f>
        <v>18.1556115945798</v>
      </c>
      <c r="R270" s="22" t="str">
        <f>SUBSTITUTE(G269,",",".")</f>
        <v>2.73</v>
      </c>
      <c r="S270" s="22" t="str">
        <f>SUBSTITUTE(H269,",",".")</f>
        <v>2.77</v>
      </c>
      <c r="T270" s="22" t="str">
        <f>SUBSTITUTE(I269,",",".")</f>
        <v>2.55560683453144</v>
      </c>
      <c r="U270" s="22" t="str">
        <f>SUBSTITUTE(J269,",",".")</f>
        <v>6.11</v>
      </c>
      <c r="X270" s="1"/>
    </row>
    <row r="271" spans="1:24" x14ac:dyDescent="0.25">
      <c r="A271" t="s">
        <v>36</v>
      </c>
      <c r="B271" s="1" t="s">
        <v>13</v>
      </c>
      <c r="C271">
        <v>1.994576022307547</v>
      </c>
      <c r="D271" s="17">
        <v>21.09</v>
      </c>
      <c r="E271">
        <v>23.575113667382499</v>
      </c>
      <c r="F271">
        <v>18.136195449689314</v>
      </c>
      <c r="G271" s="18" t="s">
        <v>518</v>
      </c>
      <c r="H271" s="18" t="s">
        <v>523</v>
      </c>
      <c r="I271">
        <v>3.1181921266979158</v>
      </c>
      <c r="J271" s="17">
        <v>5.79</v>
      </c>
      <c r="L271" s="22" t="s">
        <v>36</v>
      </c>
      <c r="M271" s="24" t="s">
        <v>12</v>
      </c>
      <c r="N271" s="22" t="str">
        <f>SUBSTITUTE(C270,",",".")</f>
        <v>0.16343478748341</v>
      </c>
      <c r="O271" s="22" t="str">
        <f>SUBSTITUTE(D270,",",".")</f>
        <v>22.91</v>
      </c>
      <c r="P271" s="22" t="str">
        <f>SUBSTITUTE(E270,",",".")</f>
        <v>25.0604103177039</v>
      </c>
      <c r="Q271" s="22" t="str">
        <f>SUBSTITUTE(F270,",",".")</f>
        <v>18.060007904784</v>
      </c>
      <c r="R271" s="22" t="str">
        <f>SUBSTITUTE(G270,",",".")</f>
        <v>3.23</v>
      </c>
      <c r="S271" s="22" t="str">
        <f>SUBSTITUTE(H270,",",".")</f>
        <v>3.35</v>
      </c>
      <c r="T271" s="22" t="str">
        <f>SUBSTITUTE(I270,",",".")</f>
        <v>2.79357160166238</v>
      </c>
      <c r="U271" s="22" t="str">
        <f>SUBSTITUTE(J270,",",".")</f>
        <v>6.05</v>
      </c>
      <c r="X271" s="1"/>
    </row>
    <row r="272" spans="1:24" x14ac:dyDescent="0.25">
      <c r="A272" t="s">
        <v>36</v>
      </c>
      <c r="B272" s="1" t="s">
        <v>14</v>
      </c>
      <c r="C272">
        <v>3.0635638824408553</v>
      </c>
      <c r="D272" s="17">
        <v>21.32</v>
      </c>
      <c r="E272">
        <v>28.700996090726356</v>
      </c>
      <c r="F272">
        <v>18.223216842337337</v>
      </c>
      <c r="G272" s="18" t="s">
        <v>527</v>
      </c>
      <c r="H272" s="18" t="s">
        <v>526</v>
      </c>
      <c r="I272">
        <v>3.0484054371579408</v>
      </c>
      <c r="J272" s="17">
        <v>5.7</v>
      </c>
      <c r="L272" s="22" t="s">
        <v>36</v>
      </c>
      <c r="M272" s="24" t="s">
        <v>13</v>
      </c>
      <c r="N272" s="22" t="str">
        <f>SUBSTITUTE(C271,",",".")</f>
        <v>1.99457602230755</v>
      </c>
      <c r="O272" s="22" t="str">
        <f>SUBSTITUTE(D271,",",".")</f>
        <v>21.09</v>
      </c>
      <c r="P272" s="22" t="str">
        <f>SUBSTITUTE(E271,",",".")</f>
        <v>23.5751136673825</v>
      </c>
      <c r="Q272" s="22" t="str">
        <f>SUBSTITUTE(F271,",",".")</f>
        <v>18.1361954496893</v>
      </c>
      <c r="R272" s="22" t="str">
        <f>SUBSTITUTE(G271,",",".")</f>
        <v>2.73</v>
      </c>
      <c r="S272" s="22" t="str">
        <f>SUBSTITUTE(H271,",",".")</f>
        <v>4.27</v>
      </c>
      <c r="T272" s="22" t="str">
        <f>SUBSTITUTE(I271,",",".")</f>
        <v>3.11819212669792</v>
      </c>
      <c r="U272" s="22" t="str">
        <f>SUBSTITUTE(J271,",",".")</f>
        <v>5.79</v>
      </c>
      <c r="X272" s="1"/>
    </row>
    <row r="273" spans="1:24" x14ac:dyDescent="0.25">
      <c r="A273" t="s">
        <v>36</v>
      </c>
      <c r="B273" s="1" t="s">
        <v>15</v>
      </c>
      <c r="C273">
        <v>2.7221053343733463</v>
      </c>
      <c r="D273" s="17">
        <v>21.65</v>
      </c>
      <c r="E273">
        <v>30.335538434286796</v>
      </c>
      <c r="F273">
        <v>18.241786730415107</v>
      </c>
      <c r="G273" s="18" t="s">
        <v>530</v>
      </c>
      <c r="H273" s="18">
        <v>4</v>
      </c>
      <c r="I273">
        <v>3.5069771855225627</v>
      </c>
      <c r="J273" s="17">
        <v>5.55</v>
      </c>
      <c r="L273" s="22" t="s">
        <v>36</v>
      </c>
      <c r="M273" s="24" t="s">
        <v>14</v>
      </c>
      <c r="N273" s="22" t="str">
        <f>SUBSTITUTE(C272,",",".")</f>
        <v>3.06356388244086</v>
      </c>
      <c r="O273" s="22" t="str">
        <f>SUBSTITUTE(D272,",",".")</f>
        <v>21.32</v>
      </c>
      <c r="P273" s="22" t="str">
        <f>SUBSTITUTE(E272,",",".")</f>
        <v>28.7009960907264</v>
      </c>
      <c r="Q273" s="22" t="str">
        <f>SUBSTITUTE(F272,",",".")</f>
        <v>18.2232168423373</v>
      </c>
      <c r="R273" s="22" t="str">
        <f>SUBSTITUTE(G272,",",".")</f>
        <v>2.57</v>
      </c>
      <c r="S273" s="22" t="str">
        <f>SUBSTITUTE(H272,",",".")</f>
        <v>4.49</v>
      </c>
      <c r="T273" s="22" t="str">
        <f>SUBSTITUTE(I272,",",".")</f>
        <v>3.04840543715794</v>
      </c>
      <c r="U273" s="22" t="str">
        <f>SUBSTITUTE(J272,",",".")</f>
        <v>5.7</v>
      </c>
      <c r="X273" s="1"/>
    </row>
    <row r="274" spans="1:24" x14ac:dyDescent="0.25">
      <c r="A274" t="s">
        <v>36</v>
      </c>
      <c r="B274" s="1" t="s">
        <v>16</v>
      </c>
      <c r="C274">
        <v>0.60345799785857379</v>
      </c>
      <c r="D274" s="17">
        <v>23.13</v>
      </c>
      <c r="E274">
        <v>26.998953278911035</v>
      </c>
      <c r="F274">
        <v>18.311396629928545</v>
      </c>
      <c r="G274" s="18" t="s">
        <v>534</v>
      </c>
      <c r="H274" s="18" t="s">
        <v>533</v>
      </c>
      <c r="I274">
        <v>3.7290906766502716</v>
      </c>
      <c r="J274" s="17">
        <v>5.05</v>
      </c>
      <c r="L274" s="22" t="s">
        <v>36</v>
      </c>
      <c r="M274" s="24" t="s">
        <v>15</v>
      </c>
      <c r="N274" s="22" t="str">
        <f>SUBSTITUTE(C273,",",".")</f>
        <v>2.72210533437335</v>
      </c>
      <c r="O274" s="22" t="str">
        <f>SUBSTITUTE(D273,",",".")</f>
        <v>21.65</v>
      </c>
      <c r="P274" s="22" t="str">
        <f>SUBSTITUTE(E273,",",".")</f>
        <v>30.3355384342868</v>
      </c>
      <c r="Q274" s="22" t="str">
        <f>SUBSTITUTE(F273,",",".")</f>
        <v>18.2417867304151</v>
      </c>
      <c r="R274" s="22" t="str">
        <f>SUBSTITUTE(G273,",",".")</f>
        <v>1.95</v>
      </c>
      <c r="S274" s="22" t="str">
        <f>SUBSTITUTE(H273,",",".")</f>
        <v>4</v>
      </c>
      <c r="T274" s="22" t="str">
        <f>SUBSTITUTE(I273,",",".")</f>
        <v>3.50697718552256</v>
      </c>
      <c r="U274" s="22" t="str">
        <f>SUBSTITUTE(J273,",",".")</f>
        <v>5.55</v>
      </c>
      <c r="X274" s="1"/>
    </row>
    <row r="275" spans="1:24" x14ac:dyDescent="0.25">
      <c r="A275" t="s">
        <v>36</v>
      </c>
      <c r="B275" s="1" t="s">
        <v>17</v>
      </c>
      <c r="C275">
        <v>2.0750071559366359</v>
      </c>
      <c r="D275" s="17">
        <v>21.1</v>
      </c>
      <c r="E275">
        <v>44.289413518515524</v>
      </c>
      <c r="F275">
        <v>18.374415534899136</v>
      </c>
      <c r="G275" s="18" t="s">
        <v>538</v>
      </c>
      <c r="H275" s="18" t="s">
        <v>537</v>
      </c>
      <c r="I275">
        <v>3.8508150619405006</v>
      </c>
      <c r="J275" s="17">
        <v>5.0599999999999996</v>
      </c>
      <c r="L275" s="22" t="s">
        <v>36</v>
      </c>
      <c r="M275" s="24" t="s">
        <v>16</v>
      </c>
      <c r="N275" s="22" t="str">
        <f>SUBSTITUTE(C274,",",".")</f>
        <v>0.603457997858574</v>
      </c>
      <c r="O275" s="22" t="str">
        <f>SUBSTITUTE(D274,",",".")</f>
        <v>23.13</v>
      </c>
      <c r="P275" s="22" t="str">
        <f>SUBSTITUTE(E274,",",".")</f>
        <v>26.998953278911</v>
      </c>
      <c r="Q275" s="22" t="str">
        <f>SUBSTITUTE(F274,",",".")</f>
        <v>18.3113966299285</v>
      </c>
      <c r="R275" s="22" t="str">
        <f>SUBSTITUTE(G274,",",".")</f>
        <v>2.64</v>
      </c>
      <c r="S275" s="22" t="str">
        <f>SUBSTITUTE(H274,",",".")</f>
        <v>4.20</v>
      </c>
      <c r="T275" s="22" t="str">
        <f>SUBSTITUTE(I274,",",".")</f>
        <v>3.72909067665027</v>
      </c>
      <c r="U275" s="22" t="str">
        <f>SUBSTITUTE(J274,",",".")</f>
        <v>5.05</v>
      </c>
      <c r="X275" s="1"/>
    </row>
    <row r="276" spans="1:24" x14ac:dyDescent="0.25">
      <c r="A276" t="s">
        <v>36</v>
      </c>
      <c r="B276" s="1" t="s">
        <v>18</v>
      </c>
      <c r="C276">
        <v>1.029598135155408</v>
      </c>
      <c r="D276" s="17">
        <v>22.56</v>
      </c>
      <c r="E276">
        <v>47.561778099106654</v>
      </c>
      <c r="F276">
        <v>18.430658638782081</v>
      </c>
      <c r="G276" s="18" t="s">
        <v>542</v>
      </c>
      <c r="H276" s="18" t="s">
        <v>541</v>
      </c>
      <c r="I276">
        <v>4.1384309255135969</v>
      </c>
      <c r="J276" s="17">
        <v>5.09</v>
      </c>
      <c r="L276" s="22" t="s">
        <v>36</v>
      </c>
      <c r="M276" s="24" t="s">
        <v>17</v>
      </c>
      <c r="N276" s="22" t="str">
        <f>SUBSTITUTE(C275,",",".")</f>
        <v>2.07500715593664</v>
      </c>
      <c r="O276" s="22" t="str">
        <f>SUBSTITUTE(D275,",",".")</f>
        <v>21.1</v>
      </c>
      <c r="P276" s="22" t="str">
        <f>SUBSTITUTE(E275,",",".")</f>
        <v>44.2894135185155</v>
      </c>
      <c r="Q276" s="22" t="str">
        <f>SUBSTITUTE(F275,",",".")</f>
        <v>18.3744155348991</v>
      </c>
      <c r="R276" s="22" t="str">
        <f>SUBSTITUTE(G275,",",".")</f>
        <v>2.31</v>
      </c>
      <c r="S276" s="22" t="str">
        <f>SUBSTITUTE(H275,",",".")</f>
        <v>4.42</v>
      </c>
      <c r="T276" s="22" t="str">
        <f>SUBSTITUTE(I275,",",".")</f>
        <v>3.8508150619405</v>
      </c>
      <c r="U276" s="22" t="str">
        <f>SUBSTITUTE(J275,",",".")</f>
        <v>5.06</v>
      </c>
      <c r="X276" s="1"/>
    </row>
    <row r="277" spans="1:24" x14ac:dyDescent="0.25">
      <c r="A277" t="s">
        <v>36</v>
      </c>
      <c r="B277" s="1" t="s">
        <v>19</v>
      </c>
      <c r="C277">
        <v>-0.66462903514314875</v>
      </c>
      <c r="D277" s="17">
        <v>23.52</v>
      </c>
      <c r="E277">
        <v>50.875042554689166</v>
      </c>
      <c r="F277">
        <v>18.427888009107765</v>
      </c>
      <c r="G277" s="18" t="s">
        <v>344</v>
      </c>
      <c r="H277" s="18" t="s">
        <v>545</v>
      </c>
      <c r="I277">
        <v>4.2840605677359154</v>
      </c>
      <c r="J277" s="17">
        <v>5.1100000000000003</v>
      </c>
      <c r="L277" s="22" t="s">
        <v>36</v>
      </c>
      <c r="M277" s="24" t="s">
        <v>18</v>
      </c>
      <c r="N277" s="22" t="str">
        <f>SUBSTITUTE(C276,",",".")</f>
        <v>1.02959813515541</v>
      </c>
      <c r="O277" s="22" t="str">
        <f>SUBSTITUTE(D276,",",".")</f>
        <v>22.56</v>
      </c>
      <c r="P277" s="22" t="str">
        <f>SUBSTITUTE(E276,",",".")</f>
        <v>47.5617780991067</v>
      </c>
      <c r="Q277" s="22" t="str">
        <f>SUBSTITUTE(F276,",",".")</f>
        <v>18.4306586387821</v>
      </c>
      <c r="R277" s="22" t="str">
        <f>SUBSTITUTE(G276,",",".")</f>
        <v>2.22</v>
      </c>
      <c r="S277" s="22" t="str">
        <f>SUBSTITUTE(H276,",",".")</f>
        <v>4.40</v>
      </c>
      <c r="T277" s="22" t="str">
        <f>SUBSTITUTE(I276,",",".")</f>
        <v>4.1384309255136</v>
      </c>
      <c r="U277" s="22" t="str">
        <f>SUBSTITUTE(J276,",",".")</f>
        <v>5.09</v>
      </c>
      <c r="X277" s="1"/>
    </row>
    <row r="278" spans="1:24" x14ac:dyDescent="0.25">
      <c r="A278" t="s">
        <v>36</v>
      </c>
      <c r="B278" s="1" t="s">
        <v>20</v>
      </c>
      <c r="C278">
        <v>-1.0358282292455929</v>
      </c>
      <c r="D278" s="18" t="s">
        <v>548</v>
      </c>
      <c r="E278">
        <v>40.386061359474454</v>
      </c>
      <c r="F278">
        <v>18.475680483976056</v>
      </c>
      <c r="G278" s="18" t="s">
        <v>538</v>
      </c>
      <c r="H278" s="18" t="s">
        <v>484</v>
      </c>
      <c r="I278">
        <v>4.5906318441358778</v>
      </c>
      <c r="J278" s="18" t="s">
        <v>549</v>
      </c>
      <c r="L278" s="22" t="s">
        <v>36</v>
      </c>
      <c r="M278" s="24" t="s">
        <v>19</v>
      </c>
      <c r="N278" s="22" t="str">
        <f>SUBSTITUTE(C277,",",".")</f>
        <v>-0.664629035143149</v>
      </c>
      <c r="O278" s="22" t="str">
        <f>SUBSTITUTE(D277,",",".")</f>
        <v>23.52</v>
      </c>
      <c r="P278" s="22" t="str">
        <f>SUBSTITUTE(E277,",",".")</f>
        <v>50.8750425546892</v>
      </c>
      <c r="Q278" s="22" t="str">
        <f>SUBSTITUTE(F277,",",".")</f>
        <v>18.4278880091078</v>
      </c>
      <c r="R278" s="22" t="str">
        <f>SUBSTITUTE(G277,",",".")</f>
        <v>2.05</v>
      </c>
      <c r="S278" s="22" t="str">
        <f>SUBSTITUTE(H277,",",".")</f>
        <v>4.48</v>
      </c>
      <c r="T278" s="22" t="str">
        <f>SUBSTITUTE(I277,",",".")</f>
        <v>4.28406056773592</v>
      </c>
      <c r="U278" s="22" t="str">
        <f>SUBSTITUTE(J277,",",".")</f>
        <v>5.11</v>
      </c>
      <c r="X278" s="1"/>
    </row>
    <row r="279" spans="1:24" x14ac:dyDescent="0.25">
      <c r="A279" t="s">
        <v>36</v>
      </c>
      <c r="B279" s="1" t="s">
        <v>21</v>
      </c>
      <c r="C279">
        <v>2.9159178794814928</v>
      </c>
      <c r="D279" s="18" t="s">
        <v>552</v>
      </c>
      <c r="E279">
        <v>40.672059006021385</v>
      </c>
      <c r="F279">
        <v>18.506170304399713</v>
      </c>
      <c r="G279" s="18" t="s">
        <v>344</v>
      </c>
      <c r="H279" s="18" t="s">
        <v>553</v>
      </c>
      <c r="I279">
        <v>4.0981914327475852</v>
      </c>
      <c r="J279" s="18" t="s">
        <v>230</v>
      </c>
      <c r="L279" s="22" t="s">
        <v>36</v>
      </c>
      <c r="M279" s="24" t="s">
        <v>20</v>
      </c>
      <c r="N279" s="22" t="str">
        <f>SUBSTITUTE(C278,",",".")</f>
        <v>-1.03582822924559</v>
      </c>
      <c r="O279" s="22" t="str">
        <f>SUBSTITUTE(D278,",",".")</f>
        <v>23.67</v>
      </c>
      <c r="P279" s="22" t="str">
        <f>SUBSTITUTE(E278,",",".")</f>
        <v>40.3860613594745</v>
      </c>
      <c r="Q279" s="22" t="str">
        <f>SUBSTITUTE(F278,",",".")</f>
        <v>18.4756804839761</v>
      </c>
      <c r="R279" s="22" t="str">
        <f>SUBSTITUTE(G278,",",".")</f>
        <v>2.31</v>
      </c>
      <c r="S279" s="22" t="str">
        <f>SUBSTITUTE(H278,",",".")</f>
        <v>4.76</v>
      </c>
      <c r="T279" s="22" t="str">
        <f>SUBSTITUTE(I278,",",".")</f>
        <v>4.59063184413588</v>
      </c>
      <c r="U279" s="22" t="str">
        <f>SUBSTITUTE(J278,",",".")</f>
        <v>5.08</v>
      </c>
      <c r="X279" s="1"/>
    </row>
    <row r="280" spans="1:24" x14ac:dyDescent="0.25">
      <c r="A280" t="s">
        <v>36</v>
      </c>
      <c r="B280" s="1" t="s">
        <v>22</v>
      </c>
      <c r="C280">
        <v>5.5930406849715615</v>
      </c>
      <c r="D280" s="18" t="s">
        <v>556</v>
      </c>
      <c r="E280">
        <v>42.710048197142228</v>
      </c>
      <c r="F280">
        <v>18.405335688504376</v>
      </c>
      <c r="G280" s="18" t="s">
        <v>559</v>
      </c>
      <c r="H280" s="18" t="s">
        <v>558</v>
      </c>
      <c r="I280">
        <v>3.7164859244493296</v>
      </c>
      <c r="J280" s="18" t="s">
        <v>557</v>
      </c>
      <c r="L280" s="22" t="s">
        <v>36</v>
      </c>
      <c r="M280" s="24" t="s">
        <v>21</v>
      </c>
      <c r="N280" s="22" t="str">
        <f>SUBSTITUTE(C279,",",".")</f>
        <v>2.91591787948149</v>
      </c>
      <c r="O280" s="22" t="str">
        <f>SUBSTITUTE(D279,",",".")</f>
        <v>23.31</v>
      </c>
      <c r="P280" s="22" t="str">
        <f>SUBSTITUTE(E279,",",".")</f>
        <v>40.6720590060214</v>
      </c>
      <c r="Q280" s="22" t="str">
        <f>SUBSTITUTE(F279,",",".")</f>
        <v>18.5061703043997</v>
      </c>
      <c r="R280" s="22" t="str">
        <f>SUBSTITUTE(G279,",",".")</f>
        <v>2.05</v>
      </c>
      <c r="S280" s="22" t="str">
        <f>SUBSTITUTE(H279,",",".")</f>
        <v>4.12</v>
      </c>
      <c r="T280" s="22" t="str">
        <f>SUBSTITUTE(I279,",",".")</f>
        <v>4.09819143274759</v>
      </c>
      <c r="U280" s="22" t="str">
        <f>SUBSTITUTE(J279,",",".")</f>
        <v>4.92</v>
      </c>
      <c r="X280" s="1"/>
    </row>
    <row r="281" spans="1:24" x14ac:dyDescent="0.25">
      <c r="A281" t="s">
        <v>36</v>
      </c>
      <c r="B281" s="1" t="s">
        <v>23</v>
      </c>
      <c r="C281">
        <v>0.48079625178638202</v>
      </c>
      <c r="D281" s="19">
        <v>24.74</v>
      </c>
      <c r="E281">
        <v>41.57222236991187</v>
      </c>
      <c r="F281">
        <v>18.450544033813433</v>
      </c>
      <c r="G281" s="19">
        <v>1.95</v>
      </c>
      <c r="H281" s="19">
        <v>2.83</v>
      </c>
      <c r="I281">
        <v>2.8543450665705095</v>
      </c>
      <c r="J281" s="18">
        <v>5.1100000000000003</v>
      </c>
      <c r="L281" s="22" t="s">
        <v>36</v>
      </c>
      <c r="M281" s="24" t="s">
        <v>22</v>
      </c>
      <c r="N281" s="22" t="str">
        <f>SUBSTITUTE(C280,",",".")</f>
        <v>5.59304068497156</v>
      </c>
      <c r="O281" s="22" t="str">
        <f>SUBSTITUTE(D280,",",".")</f>
        <v>22.65</v>
      </c>
      <c r="P281" s="22" t="str">
        <f>SUBSTITUTE(E280,",",".")</f>
        <v>42.7100481971422</v>
      </c>
      <c r="Q281" s="22" t="str">
        <f>SUBSTITUTE(F280,",",".")</f>
        <v>18.4053356885044</v>
      </c>
      <c r="R281" s="22" t="str">
        <f>SUBSTITUTE(G280,",",".")</f>
        <v>2.02</v>
      </c>
      <c r="S281" s="22" t="str">
        <f>SUBSTITUTE(H280,",",".")</f>
        <v>3.72</v>
      </c>
      <c r="T281" s="22" t="str">
        <f>SUBSTITUTE(I280,",",".")</f>
        <v>3.71648592444933</v>
      </c>
      <c r="U281" s="22" t="str">
        <f>SUBSTITUTE(J280,",",".")</f>
        <v>5.17</v>
      </c>
      <c r="X281" s="1"/>
    </row>
    <row r="282" spans="1:24" x14ac:dyDescent="0.25">
      <c r="A282" t="s">
        <v>38</v>
      </c>
      <c r="B282" s="1" t="s">
        <v>4</v>
      </c>
      <c r="C282">
        <v>5.213333616899102</v>
      </c>
      <c r="D282" s="18">
        <v>24.48</v>
      </c>
      <c r="E282">
        <v>19.502075292392085</v>
      </c>
      <c r="F282">
        <v>17.154307043251329</v>
      </c>
      <c r="G282" s="18">
        <v>2.79</v>
      </c>
      <c r="H282" s="18">
        <v>1.63</v>
      </c>
      <c r="I282">
        <v>0.88311827969486922</v>
      </c>
      <c r="J282" s="18">
        <v>5.07</v>
      </c>
      <c r="L282" s="22" t="s">
        <v>36</v>
      </c>
      <c r="M282" s="24" t="s">
        <v>23</v>
      </c>
      <c r="N282" s="22" t="str">
        <f>SUBSTITUTE(C281,",",".")</f>
        <v>0.480796251786382</v>
      </c>
      <c r="O282" s="22" t="str">
        <f>SUBSTITUTE(D281,",",".")</f>
        <v>24.74</v>
      </c>
      <c r="P282" s="22" t="str">
        <f>SUBSTITUTE(E281,",",".")</f>
        <v>41.5722223699119</v>
      </c>
      <c r="Q282" s="22" t="str">
        <f>SUBSTITUTE(F281,",",".")</f>
        <v>18.4505440338134</v>
      </c>
      <c r="R282" s="22" t="str">
        <f>SUBSTITUTE(G281,",",".")</f>
        <v>1.95</v>
      </c>
      <c r="S282" s="22" t="str">
        <f>SUBSTITUTE(H281,",",".")</f>
        <v>2.83</v>
      </c>
      <c r="T282" s="22" t="str">
        <f>SUBSTITUTE(I281,",",".")</f>
        <v>2.85434506657051</v>
      </c>
      <c r="U282" s="22" t="str">
        <f>SUBSTITUTE(J281,",",".")</f>
        <v>5.11</v>
      </c>
      <c r="X282" s="1"/>
    </row>
    <row r="283" spans="1:24" x14ac:dyDescent="0.25">
      <c r="A283" t="s">
        <v>38</v>
      </c>
      <c r="B283" s="1" t="s">
        <v>5</v>
      </c>
      <c r="C283">
        <v>6.791779258684369</v>
      </c>
      <c r="D283" s="18">
        <v>23.14</v>
      </c>
      <c r="E283">
        <v>13.965187703643581</v>
      </c>
      <c r="F283">
        <v>17.146351424514272</v>
      </c>
      <c r="G283" s="18">
        <v>2.89</v>
      </c>
      <c r="H283" s="18">
        <v>1.76</v>
      </c>
      <c r="I283">
        <v>0.93225504503012846</v>
      </c>
      <c r="J283" s="18">
        <v>5.12</v>
      </c>
      <c r="L283" s="22" t="s">
        <v>38</v>
      </c>
      <c r="M283" s="24" t="s">
        <v>4</v>
      </c>
      <c r="N283" s="22" t="str">
        <f>SUBSTITUTE(C282,",",".")</f>
        <v>5.2133336168991</v>
      </c>
      <c r="O283" s="22" t="str">
        <f>SUBSTITUTE(D282,",",".")</f>
        <v>24.48</v>
      </c>
      <c r="P283" s="22" t="str">
        <f>SUBSTITUTE(E282,",",".")</f>
        <v>19.5020752923921</v>
      </c>
      <c r="Q283" s="22" t="str">
        <f>SUBSTITUTE(F282,",",".")</f>
        <v>17.1543070432513</v>
      </c>
      <c r="R283" s="22" t="str">
        <f>SUBSTITUTE(G282,",",".")</f>
        <v>2.79</v>
      </c>
      <c r="S283" s="22" t="str">
        <f>SUBSTITUTE(H282,",",".")</f>
        <v>1.63</v>
      </c>
      <c r="T283" s="22" t="str">
        <f>SUBSTITUTE(I282,",",".")</f>
        <v>0.883118279694869</v>
      </c>
      <c r="U283" s="22" t="str">
        <f>SUBSTITUTE(J282,",",".")</f>
        <v>5.07</v>
      </c>
      <c r="X283" s="1"/>
    </row>
    <row r="284" spans="1:24" x14ac:dyDescent="0.25">
      <c r="A284" t="s">
        <v>38</v>
      </c>
      <c r="B284" s="1" t="s">
        <v>6</v>
      </c>
      <c r="C284">
        <v>4.7286307822845899</v>
      </c>
      <c r="D284" s="18">
        <v>23.02</v>
      </c>
      <c r="E284">
        <v>13.994121860145453</v>
      </c>
      <c r="F284">
        <v>17.178632309282182</v>
      </c>
      <c r="G284" s="18">
        <v>2.56</v>
      </c>
      <c r="H284" s="18">
        <v>2.57</v>
      </c>
      <c r="I284">
        <v>1.2320896074370074</v>
      </c>
      <c r="J284" s="18">
        <v>5.14</v>
      </c>
      <c r="L284" s="22" t="s">
        <v>38</v>
      </c>
      <c r="M284" s="24" t="s">
        <v>5</v>
      </c>
      <c r="N284" s="22" t="str">
        <f>SUBSTITUTE(C283,",",".")</f>
        <v>6.79177925868437</v>
      </c>
      <c r="O284" s="22" t="str">
        <f>SUBSTITUTE(D283,",",".")</f>
        <v>23.14</v>
      </c>
      <c r="P284" s="22" t="str">
        <f>SUBSTITUTE(E283,",",".")</f>
        <v>13.9651877036436</v>
      </c>
      <c r="Q284" s="22" t="str">
        <f>SUBSTITUTE(F283,",",".")</f>
        <v>17.1463514245143</v>
      </c>
      <c r="R284" s="22" t="str">
        <f>SUBSTITUTE(G283,",",".")</f>
        <v>2.89</v>
      </c>
      <c r="S284" s="22" t="str">
        <f>SUBSTITUTE(H283,",",".")</f>
        <v>1.76</v>
      </c>
      <c r="T284" s="22" t="str">
        <f>SUBSTITUTE(I283,",",".")</f>
        <v>0.932255045030128</v>
      </c>
      <c r="U284" s="22" t="str">
        <f>SUBSTITUTE(J283,",",".")</f>
        <v>5.12</v>
      </c>
      <c r="X284" s="1"/>
    </row>
    <row r="285" spans="1:24" x14ac:dyDescent="0.25">
      <c r="A285" t="s">
        <v>38</v>
      </c>
      <c r="B285" s="1" t="s">
        <v>7</v>
      </c>
      <c r="C285">
        <v>1.7940202457871579</v>
      </c>
      <c r="D285" s="16">
        <v>23.04</v>
      </c>
      <c r="E285">
        <v>14.095168305098193</v>
      </c>
      <c r="F285">
        <v>17.204355055953208</v>
      </c>
      <c r="G285" s="18">
        <v>2.59</v>
      </c>
      <c r="H285" s="18">
        <v>1.72</v>
      </c>
      <c r="I285">
        <v>1.0404029230993488</v>
      </c>
      <c r="J285" s="18">
        <v>5.04</v>
      </c>
      <c r="L285" s="22" t="s">
        <v>38</v>
      </c>
      <c r="M285" s="24" t="s">
        <v>6</v>
      </c>
      <c r="N285" s="22" t="str">
        <f>SUBSTITUTE(C284,",",".")</f>
        <v>4.72863078228459</v>
      </c>
      <c r="O285" s="22" t="str">
        <f>SUBSTITUTE(D284,",",".")</f>
        <v>23.02</v>
      </c>
      <c r="P285" s="22" t="str">
        <f>SUBSTITUTE(E284,",",".")</f>
        <v>13.9941218601455</v>
      </c>
      <c r="Q285" s="22" t="str">
        <f>SUBSTITUTE(F284,",",".")</f>
        <v>17.1786323092822</v>
      </c>
      <c r="R285" s="22" t="str">
        <f>SUBSTITUTE(G284,",",".")</f>
        <v>2.56</v>
      </c>
      <c r="S285" s="22" t="str">
        <f>SUBSTITUTE(H284,",",".")</f>
        <v>2.57</v>
      </c>
      <c r="T285" s="22" t="str">
        <f>SUBSTITUTE(I284,",",".")</f>
        <v>1.23208960743701</v>
      </c>
      <c r="U285" s="22" t="str">
        <f>SUBSTITUTE(J284,",",".")</f>
        <v>5.14</v>
      </c>
      <c r="X285" s="1"/>
    </row>
    <row r="286" spans="1:24" x14ac:dyDescent="0.25">
      <c r="A286" t="s">
        <v>38</v>
      </c>
      <c r="B286" s="1" t="s">
        <v>8</v>
      </c>
      <c r="C286">
        <v>4.4515007436649112</v>
      </c>
      <c r="D286" s="18">
        <v>21.43</v>
      </c>
      <c r="E286">
        <v>14.664424715232546</v>
      </c>
      <c r="F286">
        <v>17.271275604075178</v>
      </c>
      <c r="G286" s="18">
        <v>2.56</v>
      </c>
      <c r="H286" s="18">
        <v>1.71</v>
      </c>
      <c r="I286">
        <v>1.1150338811145291</v>
      </c>
      <c r="J286" s="18">
        <v>4.46</v>
      </c>
      <c r="L286" s="22" t="s">
        <v>38</v>
      </c>
      <c r="M286" s="24" t="s">
        <v>7</v>
      </c>
      <c r="N286" s="22" t="str">
        <f>SUBSTITUTE(C285,",",".")</f>
        <v>1.79402024578716</v>
      </c>
      <c r="O286" s="22" t="str">
        <f>SUBSTITUTE(D285,",",".")</f>
        <v>23.04</v>
      </c>
      <c r="P286" s="22" t="str">
        <f>SUBSTITUTE(E285,",",".")</f>
        <v>14.0951683050982</v>
      </c>
      <c r="Q286" s="22" t="str">
        <f>SUBSTITUTE(F285,",",".")</f>
        <v>17.2043550559532</v>
      </c>
      <c r="R286" s="22" t="str">
        <f>SUBSTITUTE(G285,",",".")</f>
        <v>2.59</v>
      </c>
      <c r="S286" s="22" t="str">
        <f>SUBSTITUTE(H285,",",".")</f>
        <v>1.72</v>
      </c>
      <c r="T286" s="22" t="str">
        <f>SUBSTITUTE(I285,",",".")</f>
        <v>1.04040292309935</v>
      </c>
      <c r="U286" s="22" t="str">
        <f>SUBSTITUTE(J285,",",".")</f>
        <v>5.04</v>
      </c>
      <c r="X286" s="1"/>
    </row>
    <row r="287" spans="1:24" x14ac:dyDescent="0.25">
      <c r="A287" t="s">
        <v>38</v>
      </c>
      <c r="B287" s="1" t="s">
        <v>9</v>
      </c>
      <c r="C287">
        <v>7.4846290181885893</v>
      </c>
      <c r="D287" s="18">
        <v>20.68</v>
      </c>
      <c r="E287">
        <v>21.712879864760943</v>
      </c>
      <c r="F287">
        <v>17.429524268272672</v>
      </c>
      <c r="G287" s="18">
        <v>2.4900000000000002</v>
      </c>
      <c r="H287" s="18">
        <v>1.88</v>
      </c>
      <c r="I287">
        <v>1.0425249372240157</v>
      </c>
      <c r="J287" s="18">
        <v>4.03</v>
      </c>
      <c r="L287" s="22" t="s">
        <v>38</v>
      </c>
      <c r="M287" s="24" t="s">
        <v>8</v>
      </c>
      <c r="N287" s="22" t="str">
        <f>SUBSTITUTE(C286,",",".")</f>
        <v>4.45150074366491</v>
      </c>
      <c r="O287" s="22" t="str">
        <f>SUBSTITUTE(D286,",",".")</f>
        <v>21.43</v>
      </c>
      <c r="P287" s="22" t="str">
        <f>SUBSTITUTE(E286,",",".")</f>
        <v>14.6644247152325</v>
      </c>
      <c r="Q287" s="22" t="str">
        <f>SUBSTITUTE(F286,",",".")</f>
        <v>17.2712756040752</v>
      </c>
      <c r="R287" s="22" t="str">
        <f>SUBSTITUTE(G286,",",".")</f>
        <v>2.56</v>
      </c>
      <c r="S287" s="22" t="str">
        <f>SUBSTITUTE(H286,",",".")</f>
        <v>1.71</v>
      </c>
      <c r="T287" s="22" t="str">
        <f>SUBSTITUTE(I286,",",".")</f>
        <v>1.11503388111453</v>
      </c>
      <c r="U287" s="22" t="str">
        <f>SUBSTITUTE(J286,",",".")</f>
        <v>4.46</v>
      </c>
      <c r="X287" s="1"/>
    </row>
    <row r="288" spans="1:24" x14ac:dyDescent="0.25">
      <c r="A288" t="s">
        <v>38</v>
      </c>
      <c r="B288" s="1" t="s">
        <v>10</v>
      </c>
      <c r="C288">
        <v>3.9995394793649748</v>
      </c>
      <c r="D288" s="18">
        <v>20.36</v>
      </c>
      <c r="E288">
        <v>22.964129029100448</v>
      </c>
      <c r="F288">
        <v>17.480758550642751</v>
      </c>
      <c r="G288" s="18">
        <v>2.2000000000000002</v>
      </c>
      <c r="H288" s="18">
        <v>1.91</v>
      </c>
      <c r="I288">
        <v>1.0380152307266528</v>
      </c>
      <c r="J288" s="18">
        <v>3.62</v>
      </c>
      <c r="L288" s="22" t="s">
        <v>38</v>
      </c>
      <c r="M288" s="24" t="s">
        <v>9</v>
      </c>
      <c r="N288" s="22" t="str">
        <f>SUBSTITUTE(C287,",",".")</f>
        <v>7.48462901818859</v>
      </c>
      <c r="O288" s="22" t="str">
        <f>SUBSTITUTE(D287,",",".")</f>
        <v>20.68</v>
      </c>
      <c r="P288" s="22" t="str">
        <f>SUBSTITUTE(E287,",",".")</f>
        <v>21.7128798647609</v>
      </c>
      <c r="Q288" s="22" t="str">
        <f>SUBSTITUTE(F287,",",".")</f>
        <v>17.4295242682727</v>
      </c>
      <c r="R288" s="22" t="str">
        <f>SUBSTITUTE(G287,",",".")</f>
        <v>2.49</v>
      </c>
      <c r="S288" s="22" t="str">
        <f>SUBSTITUTE(H287,",",".")</f>
        <v>1.88</v>
      </c>
      <c r="T288" s="22" t="str">
        <f>SUBSTITUTE(I287,",",".")</f>
        <v>1.04252493722402</v>
      </c>
      <c r="U288" s="22" t="str">
        <f>SUBSTITUTE(J287,",",".")</f>
        <v>4.03</v>
      </c>
      <c r="X288" s="1"/>
    </row>
    <row r="289" spans="1:24" x14ac:dyDescent="0.25">
      <c r="A289" t="s">
        <v>38</v>
      </c>
      <c r="B289" s="1" t="s">
        <v>11</v>
      </c>
      <c r="C289">
        <v>1.4055652369612754</v>
      </c>
      <c r="D289" s="18">
        <v>20.02</v>
      </c>
      <c r="E289">
        <v>17.739112311906386</v>
      </c>
      <c r="F289">
        <v>17.424704336494464</v>
      </c>
      <c r="G289" s="18">
        <v>1.88</v>
      </c>
      <c r="H289" s="18">
        <v>1.64</v>
      </c>
      <c r="I289">
        <v>0.91751844930260984</v>
      </c>
      <c r="J289" s="18">
        <v>3.4</v>
      </c>
      <c r="L289" s="22" t="s">
        <v>38</v>
      </c>
      <c r="M289" s="24" t="s">
        <v>10</v>
      </c>
      <c r="N289" s="22" t="str">
        <f>SUBSTITUTE(C288,",",".")</f>
        <v>3.99953947936497</v>
      </c>
      <c r="O289" s="22" t="str">
        <f>SUBSTITUTE(D288,",",".")</f>
        <v>20.36</v>
      </c>
      <c r="P289" s="22" t="str">
        <f>SUBSTITUTE(E288,",",".")</f>
        <v>22.9641290291004</v>
      </c>
      <c r="Q289" s="22" t="str">
        <f>SUBSTITUTE(F288,",",".")</f>
        <v>17.4807585506428</v>
      </c>
      <c r="R289" s="22" t="str">
        <f>SUBSTITUTE(G288,",",".")</f>
        <v>2.2</v>
      </c>
      <c r="S289" s="22" t="str">
        <f>SUBSTITUTE(H288,",",".")</f>
        <v>1.91</v>
      </c>
      <c r="T289" s="22" t="str">
        <f>SUBSTITUTE(I288,",",".")</f>
        <v>1.03801523072665</v>
      </c>
      <c r="U289" s="22" t="str">
        <f>SUBSTITUTE(J288,",",".")</f>
        <v>3.62</v>
      </c>
      <c r="X289" s="1"/>
    </row>
    <row r="290" spans="1:24" x14ac:dyDescent="0.25">
      <c r="A290" t="s">
        <v>38</v>
      </c>
      <c r="B290" s="1" t="s">
        <v>12</v>
      </c>
      <c r="C290">
        <v>9.9294605886906773</v>
      </c>
      <c r="D290" s="18">
        <v>17.96</v>
      </c>
      <c r="E290">
        <v>14.325321325157239</v>
      </c>
      <c r="F290">
        <v>17.459919547059759</v>
      </c>
      <c r="G290" s="18">
        <v>1.83</v>
      </c>
      <c r="H290" s="18">
        <v>1.72</v>
      </c>
      <c r="I290">
        <v>1.2276473422180529</v>
      </c>
      <c r="J290" s="18">
        <v>3.02</v>
      </c>
      <c r="L290" s="22" t="s">
        <v>38</v>
      </c>
      <c r="M290" s="24" t="s">
        <v>11</v>
      </c>
      <c r="N290" s="22" t="str">
        <f>SUBSTITUTE(C289,",",".")</f>
        <v>1.40556523696128</v>
      </c>
      <c r="O290" s="22" t="str">
        <f>SUBSTITUTE(D289,",",".")</f>
        <v>20.02</v>
      </c>
      <c r="P290" s="22" t="str">
        <f>SUBSTITUTE(E289,",",".")</f>
        <v>17.7391123119064</v>
      </c>
      <c r="Q290" s="22" t="str">
        <f>SUBSTITUTE(F289,",",".")</f>
        <v>17.4247043364945</v>
      </c>
      <c r="R290" s="22" t="str">
        <f>SUBSTITUTE(G289,",",".")</f>
        <v>1.88</v>
      </c>
      <c r="S290" s="22" t="str">
        <f>SUBSTITUTE(H289,",",".")</f>
        <v>1.64</v>
      </c>
      <c r="T290" s="22" t="str">
        <f>SUBSTITUTE(I289,",",".")</f>
        <v>0.91751844930261</v>
      </c>
      <c r="U290" s="22" t="str">
        <f>SUBSTITUTE(J289,",",".")</f>
        <v>3.4</v>
      </c>
      <c r="X290" s="1"/>
    </row>
    <row r="291" spans="1:24" x14ac:dyDescent="0.25">
      <c r="A291" t="s">
        <v>38</v>
      </c>
      <c r="B291" s="1" t="s">
        <v>13</v>
      </c>
      <c r="C291">
        <v>-5.4294878106081557</v>
      </c>
      <c r="D291" s="18">
        <v>19.14</v>
      </c>
      <c r="E291">
        <v>13.290921184301979</v>
      </c>
      <c r="F291">
        <v>17.402326721261893</v>
      </c>
      <c r="G291" s="18">
        <v>1.79</v>
      </c>
      <c r="H291" s="18">
        <v>1.42</v>
      </c>
      <c r="I291">
        <v>1.3174865112982279</v>
      </c>
      <c r="J291" s="18">
        <v>3.28</v>
      </c>
      <c r="L291" s="22" t="s">
        <v>38</v>
      </c>
      <c r="M291" s="24" t="s">
        <v>12</v>
      </c>
      <c r="N291" s="22" t="str">
        <f>SUBSTITUTE(C290,",",".")</f>
        <v>9.92946058869068</v>
      </c>
      <c r="O291" s="22" t="str">
        <f>SUBSTITUTE(D290,",",".")</f>
        <v>17.96</v>
      </c>
      <c r="P291" s="22" t="str">
        <f>SUBSTITUTE(E290,",",".")</f>
        <v>14.3253213251572</v>
      </c>
      <c r="Q291" s="22" t="str">
        <f>SUBSTITUTE(F290,",",".")</f>
        <v>17.4599195470598</v>
      </c>
      <c r="R291" s="22" t="str">
        <f>SUBSTITUTE(G290,",",".")</f>
        <v>1.83</v>
      </c>
      <c r="S291" s="22" t="str">
        <f>SUBSTITUTE(H290,",",".")</f>
        <v>1.72</v>
      </c>
      <c r="T291" s="22" t="str">
        <f>SUBSTITUTE(I290,",",".")</f>
        <v>1.22764734221805</v>
      </c>
      <c r="U291" s="22" t="str">
        <f>SUBSTITUTE(J290,",",".")</f>
        <v>3.02</v>
      </c>
      <c r="X291" s="1"/>
    </row>
    <row r="292" spans="1:24" x14ac:dyDescent="0.25">
      <c r="A292" t="s">
        <v>38</v>
      </c>
      <c r="B292" s="1" t="s">
        <v>14</v>
      </c>
      <c r="C292">
        <v>7.5044248336499821</v>
      </c>
      <c r="D292" s="18">
        <v>19.059999999999999</v>
      </c>
      <c r="E292">
        <v>13.942198684277566</v>
      </c>
      <c r="F292">
        <v>17.489564454596451</v>
      </c>
      <c r="G292" s="18">
        <v>1.94</v>
      </c>
      <c r="H292" s="18">
        <v>1.32</v>
      </c>
      <c r="I292">
        <v>1.2502265443988279</v>
      </c>
      <c r="J292" s="18">
        <v>3.4</v>
      </c>
      <c r="L292" s="22" t="s">
        <v>38</v>
      </c>
      <c r="M292" s="24" t="s">
        <v>13</v>
      </c>
      <c r="N292" s="22" t="str">
        <f>SUBSTITUTE(C291,",",".")</f>
        <v>-5.42948781060816</v>
      </c>
      <c r="O292" s="22" t="str">
        <f>SUBSTITUTE(D291,",",".")</f>
        <v>19.14</v>
      </c>
      <c r="P292" s="22" t="str">
        <f>SUBSTITUTE(E291,",",".")</f>
        <v>13.290921184302</v>
      </c>
      <c r="Q292" s="22" t="str">
        <f>SUBSTITUTE(F291,",",".")</f>
        <v>17.4023267212619</v>
      </c>
      <c r="R292" s="22" t="str">
        <f>SUBSTITUTE(G291,",",".")</f>
        <v>1.79</v>
      </c>
      <c r="S292" s="22" t="str">
        <f>SUBSTITUTE(H291,",",".")</f>
        <v>1.42</v>
      </c>
      <c r="T292" s="22" t="str">
        <f>SUBSTITUTE(I291,",",".")</f>
        <v>1.31748651129823</v>
      </c>
      <c r="U292" s="22" t="str">
        <f>SUBSTITUTE(J291,",",".")</f>
        <v>3.28</v>
      </c>
      <c r="X292" s="1"/>
    </row>
    <row r="293" spans="1:24" x14ac:dyDescent="0.25">
      <c r="A293" t="s">
        <v>38</v>
      </c>
      <c r="B293" s="1" t="s">
        <v>15</v>
      </c>
      <c r="C293">
        <v>0.67042047479009903</v>
      </c>
      <c r="D293" s="18">
        <v>19.989999999999998</v>
      </c>
      <c r="E293">
        <v>11.540781625786492</v>
      </c>
      <c r="F293">
        <v>17.454515158595967</v>
      </c>
      <c r="G293" s="18">
        <v>1.84</v>
      </c>
      <c r="H293" s="18">
        <v>1.1200000000000001</v>
      </c>
      <c r="I293">
        <v>1.4422077800264781</v>
      </c>
      <c r="J293" s="18">
        <v>3.82</v>
      </c>
      <c r="L293" s="22" t="s">
        <v>38</v>
      </c>
      <c r="M293" s="24" t="s">
        <v>14</v>
      </c>
      <c r="N293" s="22" t="str">
        <f>SUBSTITUTE(C292,",",".")</f>
        <v>7.50442483364998</v>
      </c>
      <c r="O293" s="22" t="str">
        <f>SUBSTITUTE(D292,",",".")</f>
        <v>19.06</v>
      </c>
      <c r="P293" s="22" t="str">
        <f>SUBSTITUTE(E292,",",".")</f>
        <v>13.9421986842776</v>
      </c>
      <c r="Q293" s="22" t="str">
        <f>SUBSTITUTE(F292,",",".")</f>
        <v>17.4895644545965</v>
      </c>
      <c r="R293" s="22" t="str">
        <f>SUBSTITUTE(G292,",",".")</f>
        <v>1.94</v>
      </c>
      <c r="S293" s="22" t="str">
        <f>SUBSTITUTE(H292,",",".")</f>
        <v>1.32</v>
      </c>
      <c r="T293" s="22" t="str">
        <f>SUBSTITUTE(I292,",",".")</f>
        <v>1.25022654439883</v>
      </c>
      <c r="U293" s="22" t="str">
        <f>SUBSTITUTE(J292,",",".")</f>
        <v>3.4</v>
      </c>
      <c r="X293" s="1"/>
    </row>
    <row r="294" spans="1:24" x14ac:dyDescent="0.25">
      <c r="A294" t="s">
        <v>38</v>
      </c>
      <c r="B294" s="1" t="s">
        <v>16</v>
      </c>
      <c r="C294">
        <v>2.8870345209365764</v>
      </c>
      <c r="D294" s="18">
        <v>19.93</v>
      </c>
      <c r="E294">
        <v>10.246929047390257</v>
      </c>
      <c r="F294">
        <v>17.505715233584166</v>
      </c>
      <c r="G294" s="18">
        <v>2.13</v>
      </c>
      <c r="H294" s="18">
        <v>1.06</v>
      </c>
      <c r="I294">
        <v>1.4344254132433276</v>
      </c>
      <c r="J294" s="18">
        <v>4.0999999999999996</v>
      </c>
      <c r="L294" s="22" t="s">
        <v>38</v>
      </c>
      <c r="M294" s="24" t="s">
        <v>15</v>
      </c>
      <c r="N294" s="22" t="str">
        <f>SUBSTITUTE(C293,",",".")</f>
        <v>0.670420474790099</v>
      </c>
      <c r="O294" s="22" t="str">
        <f>SUBSTITUTE(D293,",",".")</f>
        <v>19.99</v>
      </c>
      <c r="P294" s="22" t="str">
        <f>SUBSTITUTE(E293,",",".")</f>
        <v>11.5407816257865</v>
      </c>
      <c r="Q294" s="22" t="str">
        <f>SUBSTITUTE(F293,",",".")</f>
        <v>17.454515158596</v>
      </c>
      <c r="R294" s="22" t="str">
        <f>SUBSTITUTE(G293,",",".")</f>
        <v>1.84</v>
      </c>
      <c r="S294" s="22" t="str">
        <f>SUBSTITUTE(H293,",",".")</f>
        <v>1.12</v>
      </c>
      <c r="T294" s="22" t="str">
        <f>SUBSTITUTE(I293,",",".")</f>
        <v>1.44220778002648</v>
      </c>
      <c r="U294" s="22" t="str">
        <f>SUBSTITUTE(J293,",",".")</f>
        <v>3.82</v>
      </c>
      <c r="X294" s="1"/>
    </row>
    <row r="295" spans="1:24" x14ac:dyDescent="0.25">
      <c r="A295" t="s">
        <v>38</v>
      </c>
      <c r="B295" s="1" t="s">
        <v>17</v>
      </c>
      <c r="C295">
        <v>1.8151548672100657</v>
      </c>
      <c r="D295" s="18">
        <v>19.96</v>
      </c>
      <c r="E295">
        <v>12.253497852525845</v>
      </c>
      <c r="F295">
        <v>17.520912264824247</v>
      </c>
      <c r="G295" s="18">
        <v>2.0299999999999998</v>
      </c>
      <c r="H295" s="18">
        <v>0.98</v>
      </c>
      <c r="I295">
        <v>1.5030735700962572</v>
      </c>
      <c r="J295" s="18">
        <v>4.12</v>
      </c>
      <c r="L295" s="22" t="s">
        <v>38</v>
      </c>
      <c r="M295" s="24" t="s">
        <v>16</v>
      </c>
      <c r="N295" s="22" t="str">
        <f>SUBSTITUTE(C294,",",".")</f>
        <v>2.88703452093658</v>
      </c>
      <c r="O295" s="22" t="str">
        <f>SUBSTITUTE(D294,",",".")</f>
        <v>19.93</v>
      </c>
      <c r="P295" s="22" t="str">
        <f>SUBSTITUTE(E294,",",".")</f>
        <v>10.2469290473903</v>
      </c>
      <c r="Q295" s="22" t="str">
        <f>SUBSTITUTE(F294,",",".")</f>
        <v>17.5057152335842</v>
      </c>
      <c r="R295" s="22" t="str">
        <f>SUBSTITUTE(G294,",",".")</f>
        <v>2.13</v>
      </c>
      <c r="S295" s="22" t="str">
        <f>SUBSTITUTE(H294,",",".")</f>
        <v>1.06</v>
      </c>
      <c r="T295" s="22" t="str">
        <f>SUBSTITUTE(I294,",",".")</f>
        <v>1.43442541324333</v>
      </c>
      <c r="U295" s="22" t="str">
        <f>SUBSTITUTE(J294,",",".")</f>
        <v>4.1</v>
      </c>
      <c r="X295" s="1"/>
    </row>
    <row r="296" spans="1:24" x14ac:dyDescent="0.25">
      <c r="A296" t="s">
        <v>38</v>
      </c>
      <c r="B296" s="1" t="s">
        <v>18</v>
      </c>
      <c r="C296">
        <v>3.2364800146773827</v>
      </c>
      <c r="D296" s="18">
        <v>24.77</v>
      </c>
      <c r="E296">
        <v>12.057787596043497</v>
      </c>
      <c r="F296">
        <v>17.535570047953701</v>
      </c>
      <c r="G296" s="18">
        <v>1.9</v>
      </c>
      <c r="H296" s="18">
        <v>1</v>
      </c>
      <c r="I296">
        <v>1.6778838316398952</v>
      </c>
      <c r="J296" s="18">
        <v>4.0999999999999996</v>
      </c>
      <c r="L296" s="22" t="s">
        <v>38</v>
      </c>
      <c r="M296" s="24" t="s">
        <v>17</v>
      </c>
      <c r="N296" s="22" t="str">
        <f>SUBSTITUTE(C295,",",".")</f>
        <v>1.81515486721007</v>
      </c>
      <c r="O296" s="22" t="str">
        <f>SUBSTITUTE(D295,",",".")</f>
        <v>19.96</v>
      </c>
      <c r="P296" s="22" t="str">
        <f>SUBSTITUTE(E295,",",".")</f>
        <v>12.2534978525258</v>
      </c>
      <c r="Q296" s="22" t="str">
        <f>SUBSTITUTE(F295,",",".")</f>
        <v>17.5209122648242</v>
      </c>
      <c r="R296" s="22" t="str">
        <f>SUBSTITUTE(G295,",",".")</f>
        <v>2.03</v>
      </c>
      <c r="S296" s="22" t="str">
        <f>SUBSTITUTE(H295,",",".")</f>
        <v>0.98</v>
      </c>
      <c r="T296" s="22" t="str">
        <f>SUBSTITUTE(I295,",",".")</f>
        <v>1.50307357009626</v>
      </c>
      <c r="U296" s="22" t="str">
        <f>SUBSTITUTE(J295,",",".")</f>
        <v>4.12</v>
      </c>
      <c r="X296" s="1"/>
    </row>
    <row r="297" spans="1:24" x14ac:dyDescent="0.25">
      <c r="A297" t="s">
        <v>38</v>
      </c>
      <c r="B297" s="1" t="s">
        <v>19</v>
      </c>
      <c r="C297">
        <v>4.5772571100781825</v>
      </c>
      <c r="D297" s="18">
        <v>24.48</v>
      </c>
      <c r="E297">
        <v>14.450846979894855</v>
      </c>
      <c r="F297">
        <v>17.595180242283355</v>
      </c>
      <c r="G297" s="18">
        <v>2</v>
      </c>
      <c r="H297" s="18">
        <v>0.93</v>
      </c>
      <c r="I297">
        <v>1.1453430664160036</v>
      </c>
      <c r="J297" s="18">
        <v>4.16</v>
      </c>
      <c r="L297" s="22" t="s">
        <v>38</v>
      </c>
      <c r="M297" s="24" t="s">
        <v>18</v>
      </c>
      <c r="N297" s="22" t="str">
        <f>SUBSTITUTE(C296,",",".")</f>
        <v>3.23648001467738</v>
      </c>
      <c r="O297" s="22" t="str">
        <f>SUBSTITUTE(D296,",",".")</f>
        <v>24.77</v>
      </c>
      <c r="P297" s="22" t="str">
        <f>SUBSTITUTE(E296,",",".")</f>
        <v>12.0577875960435</v>
      </c>
      <c r="Q297" s="22" t="str">
        <f>SUBSTITUTE(F296,",",".")</f>
        <v>17.5355700479537</v>
      </c>
      <c r="R297" s="22" t="str">
        <f>SUBSTITUTE(G296,",",".")</f>
        <v>1.9</v>
      </c>
      <c r="S297" s="22" t="str">
        <f>SUBSTITUTE(H296,",",".")</f>
        <v>1</v>
      </c>
      <c r="T297" s="22" t="str">
        <f>SUBSTITUTE(I296,",",".")</f>
        <v>1.6778838316399</v>
      </c>
      <c r="U297" s="22" t="str">
        <f>SUBSTITUTE(J296,",",".")</f>
        <v>4.1</v>
      </c>
      <c r="X297" s="1"/>
    </row>
    <row r="298" spans="1:24" x14ac:dyDescent="0.25">
      <c r="A298" t="s">
        <v>38</v>
      </c>
      <c r="B298" s="1" t="s">
        <v>20</v>
      </c>
      <c r="C298">
        <v>4.724525417941269</v>
      </c>
      <c r="D298" s="18" t="s">
        <v>605</v>
      </c>
      <c r="E298">
        <v>14.560226109110857</v>
      </c>
      <c r="F298">
        <v>17.643192059118604</v>
      </c>
      <c r="G298" s="18" t="s">
        <v>608</v>
      </c>
      <c r="H298" s="18" t="s">
        <v>607</v>
      </c>
      <c r="I298">
        <v>1.1207782956451362</v>
      </c>
      <c r="J298" s="18" t="s">
        <v>606</v>
      </c>
      <c r="L298" s="22" t="s">
        <v>38</v>
      </c>
      <c r="M298" s="24" t="s">
        <v>19</v>
      </c>
      <c r="N298" s="22" t="str">
        <f>SUBSTITUTE(C297,",",".")</f>
        <v>4.57725711007818</v>
      </c>
      <c r="O298" s="22" t="str">
        <f>SUBSTITUTE(D297,",",".")</f>
        <v>24.48</v>
      </c>
      <c r="P298" s="22" t="str">
        <f>SUBSTITUTE(E297,",",".")</f>
        <v>14.4508469798949</v>
      </c>
      <c r="Q298" s="22" t="str">
        <f>SUBSTITUTE(F297,",",".")</f>
        <v>17.5951802422834</v>
      </c>
      <c r="R298" s="22" t="str">
        <f>SUBSTITUTE(G297,",",".")</f>
        <v>2</v>
      </c>
      <c r="S298" s="22" t="str">
        <f>SUBSTITUTE(H297,",",".")</f>
        <v>0.93</v>
      </c>
      <c r="T298" s="22" t="str">
        <f>SUBSTITUTE(I297,",",".")</f>
        <v>1.145343066416</v>
      </c>
      <c r="U298" s="22" t="str">
        <f>SUBSTITUTE(J297,",",".")</f>
        <v>4.16</v>
      </c>
      <c r="X298" s="1"/>
    </row>
    <row r="299" spans="1:24" x14ac:dyDescent="0.25">
      <c r="A299" t="s">
        <v>38</v>
      </c>
      <c r="B299" s="1" t="s">
        <v>21</v>
      </c>
      <c r="C299">
        <v>6.5487744224195383</v>
      </c>
      <c r="D299" s="18">
        <v>22.68</v>
      </c>
      <c r="E299">
        <v>14.040114043477351</v>
      </c>
      <c r="F299">
        <v>17.682125527374208</v>
      </c>
      <c r="G299" s="18">
        <v>2.48</v>
      </c>
      <c r="H299" s="18">
        <v>1.07</v>
      </c>
      <c r="I299">
        <v>1.1209856551963193</v>
      </c>
      <c r="J299" s="18">
        <v>4.34</v>
      </c>
      <c r="L299" s="22" t="s">
        <v>38</v>
      </c>
      <c r="M299" s="24" t="s">
        <v>20</v>
      </c>
      <c r="N299" s="22" t="str">
        <f>SUBSTITUTE(C298,",",".")</f>
        <v>4.72452541794127</v>
      </c>
      <c r="O299" s="22" t="str">
        <f>SUBSTITUTE(D298,",",".")</f>
        <v>23.33</v>
      </c>
      <c r="P299" s="22" t="str">
        <f>SUBSTITUTE(E298,",",".")</f>
        <v>14.5602261091109</v>
      </c>
      <c r="Q299" s="22" t="str">
        <f>SUBSTITUTE(F298,",",".")</f>
        <v>17.6431920591186</v>
      </c>
      <c r="R299" s="22" t="str">
        <f>SUBSTITUTE(G298,",",".")</f>
        <v>2.58</v>
      </c>
      <c r="S299" s="22" t="str">
        <f>SUBSTITUTE(H298,",",".")</f>
        <v>1.08</v>
      </c>
      <c r="T299" s="22" t="str">
        <f>SUBSTITUTE(I298,",",".")</f>
        <v>1.12077829564514</v>
      </c>
      <c r="U299" s="22" t="str">
        <f>SUBSTITUTE(J298,",",".")</f>
        <v>4.30</v>
      </c>
      <c r="X299" s="1"/>
    </row>
    <row r="300" spans="1:24" x14ac:dyDescent="0.25">
      <c r="A300" t="s">
        <v>38</v>
      </c>
      <c r="B300" s="1" t="s">
        <v>22</v>
      </c>
      <c r="C300">
        <v>3.2014635298061442</v>
      </c>
      <c r="D300" s="18">
        <v>22.86</v>
      </c>
      <c r="E300">
        <v>14.02938693884574</v>
      </c>
      <c r="F300">
        <v>17.707212787880636</v>
      </c>
      <c r="G300" s="18">
        <v>2.33</v>
      </c>
      <c r="H300" s="18">
        <v>1.07</v>
      </c>
      <c r="I300">
        <v>1.4635212911224076</v>
      </c>
      <c r="J300" s="16">
        <v>4.49</v>
      </c>
      <c r="L300" s="22" t="s">
        <v>38</v>
      </c>
      <c r="M300" s="24" t="s">
        <v>21</v>
      </c>
      <c r="N300" s="22" t="str">
        <f>SUBSTITUTE(C299,",",".")</f>
        <v>6.54877442241954</v>
      </c>
      <c r="O300" s="22" t="str">
        <f>SUBSTITUTE(D299,",",".")</f>
        <v>22.68</v>
      </c>
      <c r="P300" s="22" t="str">
        <f>SUBSTITUTE(E299,",",".")</f>
        <v>14.0401140434774</v>
      </c>
      <c r="Q300" s="22" t="str">
        <f>SUBSTITUTE(F299,",",".")</f>
        <v>17.6821255273742</v>
      </c>
      <c r="R300" s="22" t="str">
        <f>SUBSTITUTE(G299,",",".")</f>
        <v>2.48</v>
      </c>
      <c r="S300" s="22" t="str">
        <f>SUBSTITUTE(H299,",",".")</f>
        <v>1.07</v>
      </c>
      <c r="T300" s="22" t="str">
        <f>SUBSTITUTE(I299,",",".")</f>
        <v>1.12098565519632</v>
      </c>
      <c r="U300" s="22" t="str">
        <f>SUBSTITUTE(J299,",",".")</f>
        <v>4.34</v>
      </c>
      <c r="X300" s="1"/>
    </row>
    <row r="301" spans="1:24" x14ac:dyDescent="0.25">
      <c r="A301" t="s">
        <v>38</v>
      </c>
      <c r="B301" s="1" t="s">
        <v>23</v>
      </c>
      <c r="C301">
        <v>3.0818709207123147</v>
      </c>
      <c r="D301" s="19">
        <v>23.66</v>
      </c>
      <c r="E301">
        <v>13.73835171438034</v>
      </c>
      <c r="F301">
        <v>17.757081181105399</v>
      </c>
      <c r="G301" s="18">
        <v>2.33</v>
      </c>
      <c r="H301" s="19">
        <v>1.05</v>
      </c>
      <c r="I301">
        <v>1.5273348687842705</v>
      </c>
      <c r="J301" s="18">
        <v>4.41</v>
      </c>
      <c r="L301" s="22" t="s">
        <v>38</v>
      </c>
      <c r="M301" s="24" t="s">
        <v>22</v>
      </c>
      <c r="N301" s="22" t="str">
        <f>SUBSTITUTE(C300,",",".")</f>
        <v>3.20146352980614</v>
      </c>
      <c r="O301" s="22" t="str">
        <f>SUBSTITUTE(D300,",",".")</f>
        <v>22.86</v>
      </c>
      <c r="P301" s="22" t="str">
        <f>SUBSTITUTE(E300,",",".")</f>
        <v>14.0293869388457</v>
      </c>
      <c r="Q301" s="22" t="str">
        <f>SUBSTITUTE(F300,",",".")</f>
        <v>17.7072127878806</v>
      </c>
      <c r="R301" s="22" t="str">
        <f>SUBSTITUTE(G300,",",".")</f>
        <v>2.33</v>
      </c>
      <c r="S301" s="22" t="str">
        <f>SUBSTITUTE(H300,",",".")</f>
        <v>1.07</v>
      </c>
      <c r="T301" s="22" t="str">
        <f>SUBSTITUTE(I300,",",".")</f>
        <v>1.46352129112241</v>
      </c>
      <c r="U301" s="22" t="str">
        <f>SUBSTITUTE(J300,",",".")</f>
        <v>4.49</v>
      </c>
      <c r="X301" s="1"/>
    </row>
    <row r="302" spans="1:24" x14ac:dyDescent="0.25">
      <c r="A302" t="s">
        <v>41</v>
      </c>
      <c r="B302" s="1" t="s">
        <v>4</v>
      </c>
      <c r="C302">
        <v>13.885242645827489</v>
      </c>
      <c r="D302" s="16">
        <v>25.53</v>
      </c>
      <c r="E302">
        <v>15.710011249213682</v>
      </c>
      <c r="F302">
        <v>16.693979591994463</v>
      </c>
      <c r="G302" s="17">
        <v>2.13</v>
      </c>
      <c r="H302" s="17">
        <v>2.2400000000000002</v>
      </c>
      <c r="I302">
        <v>2.8389835387313807</v>
      </c>
      <c r="J302" s="16">
        <v>3.47</v>
      </c>
      <c r="L302" s="22" t="s">
        <v>38</v>
      </c>
      <c r="M302" s="24" t="s">
        <v>23</v>
      </c>
      <c r="N302" s="22" t="str">
        <f>SUBSTITUTE(C301,",",".")</f>
        <v>3.08187092071231</v>
      </c>
      <c r="O302" s="22" t="str">
        <f>SUBSTITUTE(D301,",",".")</f>
        <v>23.66</v>
      </c>
      <c r="P302" s="22" t="str">
        <f>SUBSTITUTE(E301,",",".")</f>
        <v>13.7383517143803</v>
      </c>
      <c r="Q302" s="22" t="str">
        <f>SUBSTITUTE(F301,",",".")</f>
        <v>17.7570811811054</v>
      </c>
      <c r="R302" s="22" t="str">
        <f>SUBSTITUTE(G301,",",".")</f>
        <v>2.33</v>
      </c>
      <c r="S302" s="22" t="str">
        <f>SUBSTITUTE(H301,",",".")</f>
        <v>1.05</v>
      </c>
      <c r="T302" s="22" t="str">
        <f>SUBSTITUTE(I301,",",".")</f>
        <v>1.52733486878427</v>
      </c>
      <c r="U302" s="22" t="str">
        <f>SUBSTITUTE(J301,",",".")</f>
        <v>4.41</v>
      </c>
      <c r="X302" s="1"/>
    </row>
    <row r="303" spans="1:24" x14ac:dyDescent="0.25">
      <c r="A303" t="s">
        <v>41</v>
      </c>
      <c r="B303" s="1" t="s">
        <v>5</v>
      </c>
      <c r="C303">
        <v>5.2516829718557982</v>
      </c>
      <c r="D303" s="16">
        <v>24.11</v>
      </c>
      <c r="E303">
        <v>26.973383342166329</v>
      </c>
      <c r="F303">
        <v>16.74789916958537</v>
      </c>
      <c r="G303" s="17">
        <v>1.98</v>
      </c>
      <c r="H303" s="17">
        <v>2.2000000000000002</v>
      </c>
      <c r="I303">
        <v>2.8686387180913644</v>
      </c>
      <c r="J303" s="16">
        <v>3.55</v>
      </c>
      <c r="L303" s="22" t="s">
        <v>41</v>
      </c>
      <c r="M303" s="24" t="s">
        <v>4</v>
      </c>
      <c r="N303" s="22" t="str">
        <f>SUBSTITUTE(C302,",",".")</f>
        <v>13.8852426458275</v>
      </c>
      <c r="O303" s="22" t="str">
        <f>SUBSTITUTE(D302,",",".")</f>
        <v>25.53</v>
      </c>
      <c r="P303" s="22" t="str">
        <f>SUBSTITUTE(E302,",",".")</f>
        <v>15.7100112492137</v>
      </c>
      <c r="Q303" s="22" t="str">
        <f>SUBSTITUTE(F302,",",".")</f>
        <v>16.6939795919945</v>
      </c>
      <c r="R303" s="22" t="str">
        <f>SUBSTITUTE(G302,",",".")</f>
        <v>2.13</v>
      </c>
      <c r="S303" s="22" t="str">
        <f>SUBSTITUTE(H302,",",".")</f>
        <v>2.24</v>
      </c>
      <c r="T303" s="22" t="str">
        <f>SUBSTITUTE(I302,",",".")</f>
        <v>2.83898353873138</v>
      </c>
      <c r="U303" s="22" t="str">
        <f>SUBSTITUTE(J302,",",".")</f>
        <v>3.47</v>
      </c>
      <c r="X303" s="1"/>
    </row>
    <row r="304" spans="1:24" x14ac:dyDescent="0.25">
      <c r="A304" t="s">
        <v>41</v>
      </c>
      <c r="B304" s="1" t="s">
        <v>6</v>
      </c>
      <c r="C304">
        <v>3.7875685231766902</v>
      </c>
      <c r="D304" s="17">
        <v>31.9</v>
      </c>
      <c r="E304">
        <v>24.57909462275757</v>
      </c>
      <c r="F304">
        <v>16.855538481904226</v>
      </c>
      <c r="G304" s="17">
        <v>1.65</v>
      </c>
      <c r="H304" s="17">
        <v>2.96</v>
      </c>
      <c r="I304">
        <v>2.8993367937815577</v>
      </c>
      <c r="J304" s="16">
        <v>3.55</v>
      </c>
      <c r="L304" s="22" t="s">
        <v>41</v>
      </c>
      <c r="M304" s="24" t="s">
        <v>5</v>
      </c>
      <c r="N304" s="22" t="str">
        <f>SUBSTITUTE(C303,",",".")</f>
        <v>5.2516829718558</v>
      </c>
      <c r="O304" s="22" t="str">
        <f>SUBSTITUTE(D303,",",".")</f>
        <v>24.11</v>
      </c>
      <c r="P304" s="22" t="str">
        <f>SUBSTITUTE(E303,",",".")</f>
        <v>26.9733833421663</v>
      </c>
      <c r="Q304" s="22" t="str">
        <f>SUBSTITUTE(F303,",",".")</f>
        <v>16.7478991695854</v>
      </c>
      <c r="R304" s="22" t="str">
        <f>SUBSTITUTE(G303,",",".")</f>
        <v>1.98</v>
      </c>
      <c r="S304" s="22" t="str">
        <f>SUBSTITUTE(H303,",",".")</f>
        <v>2.2</v>
      </c>
      <c r="T304" s="22" t="str">
        <f>SUBSTITUTE(I303,",",".")</f>
        <v>2.86863871809136</v>
      </c>
      <c r="U304" s="22" t="str">
        <f>SUBSTITUTE(J303,",",".")</f>
        <v>3.55</v>
      </c>
      <c r="X304" s="1"/>
    </row>
    <row r="305" spans="1:24" x14ac:dyDescent="0.25">
      <c r="A305" t="s">
        <v>41</v>
      </c>
      <c r="B305" s="1" t="s">
        <v>7</v>
      </c>
      <c r="C305">
        <v>14.705353183698739</v>
      </c>
      <c r="D305" s="17">
        <v>28.34</v>
      </c>
      <c r="E305">
        <v>23.135451298081712</v>
      </c>
      <c r="F305">
        <v>16.9645504846698</v>
      </c>
      <c r="G305" s="17">
        <v>1.54</v>
      </c>
      <c r="H305" s="17">
        <v>2.86</v>
      </c>
      <c r="I305">
        <v>2.878679319643016</v>
      </c>
      <c r="J305" s="16">
        <v>3.5</v>
      </c>
      <c r="L305" s="22" t="s">
        <v>41</v>
      </c>
      <c r="M305" s="24" t="s">
        <v>6</v>
      </c>
      <c r="N305" s="22" t="str">
        <f>SUBSTITUTE(C304,",",".")</f>
        <v>3.78756852317669</v>
      </c>
      <c r="O305" s="22" t="str">
        <f>SUBSTITUTE(D304,",",".")</f>
        <v>31.9</v>
      </c>
      <c r="P305" s="22" t="str">
        <f>SUBSTITUTE(E304,",",".")</f>
        <v>24.5790946227576</v>
      </c>
      <c r="Q305" s="22" t="str">
        <f>SUBSTITUTE(F304,",",".")</f>
        <v>16.8555384819042</v>
      </c>
      <c r="R305" s="22" t="str">
        <f>SUBSTITUTE(G304,",",".")</f>
        <v>1.65</v>
      </c>
      <c r="S305" s="22" t="str">
        <f>SUBSTITUTE(H304,",",".")</f>
        <v>2.96</v>
      </c>
      <c r="T305" s="22" t="str">
        <f>SUBSTITUTE(I304,",",".")</f>
        <v>2.89933679378156</v>
      </c>
      <c r="U305" s="22" t="str">
        <f>SUBSTITUTE(J304,",",".")</f>
        <v>3.55</v>
      </c>
      <c r="X305" s="1"/>
    </row>
    <row r="306" spans="1:24" x14ac:dyDescent="0.25">
      <c r="A306" t="s">
        <v>41</v>
      </c>
      <c r="B306" s="1" t="s">
        <v>8</v>
      </c>
      <c r="C306">
        <v>4.072783117067428</v>
      </c>
      <c r="D306" s="16">
        <v>28.05</v>
      </c>
      <c r="E306">
        <v>16.293597096179585</v>
      </c>
      <c r="F306">
        <v>16.950000051938012</v>
      </c>
      <c r="G306" s="17">
        <v>1.46</v>
      </c>
      <c r="H306" s="17">
        <v>2.87</v>
      </c>
      <c r="I306">
        <v>2.8761662758105597</v>
      </c>
      <c r="J306" s="16">
        <v>3.06</v>
      </c>
      <c r="L306" s="22" t="s">
        <v>41</v>
      </c>
      <c r="M306" s="24" t="s">
        <v>7</v>
      </c>
      <c r="N306" s="22" t="str">
        <f>SUBSTITUTE(C305,",",".")</f>
        <v>14.7053531836987</v>
      </c>
      <c r="O306" s="22" t="str">
        <f>SUBSTITUTE(D305,",",".")</f>
        <v>28.34</v>
      </c>
      <c r="P306" s="22" t="str">
        <f>SUBSTITUTE(E305,",",".")</f>
        <v>23.1354512980817</v>
      </c>
      <c r="Q306" s="22" t="str">
        <f>SUBSTITUTE(F305,",",".")</f>
        <v>16.9645504846698</v>
      </c>
      <c r="R306" s="22" t="str">
        <f>SUBSTITUTE(G305,",",".")</f>
        <v>1.54</v>
      </c>
      <c r="S306" s="22" t="str">
        <f>SUBSTITUTE(H305,",",".")</f>
        <v>2.86</v>
      </c>
      <c r="T306" s="22" t="str">
        <f>SUBSTITUTE(I305,",",".")</f>
        <v>2.87867931964302</v>
      </c>
      <c r="U306" s="22" t="str">
        <f>SUBSTITUTE(J305,",",".")</f>
        <v>3.5</v>
      </c>
      <c r="X306" s="1"/>
    </row>
    <row r="307" spans="1:24" x14ac:dyDescent="0.25">
      <c r="A307" t="s">
        <v>41</v>
      </c>
      <c r="B307" s="1" t="s">
        <v>9</v>
      </c>
      <c r="C307">
        <v>7.797114869387717</v>
      </c>
      <c r="D307" s="17">
        <v>25.41</v>
      </c>
      <c r="E307">
        <v>17.288000317831603</v>
      </c>
      <c r="F307">
        <v>17.027086765332498</v>
      </c>
      <c r="G307" s="17">
        <v>2.64</v>
      </c>
      <c r="H307" s="17">
        <v>4.45</v>
      </c>
      <c r="I307">
        <v>3.1429052800376409</v>
      </c>
      <c r="J307" s="16">
        <v>3.06</v>
      </c>
      <c r="L307" s="22" t="s">
        <v>41</v>
      </c>
      <c r="M307" s="24" t="s">
        <v>8</v>
      </c>
      <c r="N307" s="22" t="str">
        <f>SUBSTITUTE(C306,",",".")</f>
        <v>4.07278311706743</v>
      </c>
      <c r="O307" s="22" t="str">
        <f>SUBSTITUTE(D306,",",".")</f>
        <v>28.05</v>
      </c>
      <c r="P307" s="22" t="str">
        <f>SUBSTITUTE(E306,",",".")</f>
        <v>16.2935970961796</v>
      </c>
      <c r="Q307" s="22" t="str">
        <f>SUBSTITUTE(F306,",",".")</f>
        <v>16.950000051938</v>
      </c>
      <c r="R307" s="22" t="str">
        <f>SUBSTITUTE(G306,",",".")</f>
        <v>1.46</v>
      </c>
      <c r="S307" s="22" t="str">
        <f>SUBSTITUTE(H306,",",".")</f>
        <v>2.87</v>
      </c>
      <c r="T307" s="22" t="str">
        <f>SUBSTITUTE(I306,",",".")</f>
        <v>2.87616627581056</v>
      </c>
      <c r="U307" s="22" t="str">
        <f>SUBSTITUTE(J306,",",".")</f>
        <v>3.06</v>
      </c>
      <c r="X307" s="1"/>
    </row>
    <row r="308" spans="1:24" x14ac:dyDescent="0.25">
      <c r="A308" t="s">
        <v>41</v>
      </c>
      <c r="B308" s="1" t="s">
        <v>10</v>
      </c>
      <c r="C308">
        <v>4.6034266651832221</v>
      </c>
      <c r="D308" s="17">
        <v>24.4</v>
      </c>
      <c r="E308">
        <v>21.556646794652774</v>
      </c>
      <c r="F308">
        <v>17.031348332627811</v>
      </c>
      <c r="G308" s="17">
        <v>0.14000000000000001</v>
      </c>
      <c r="H308" s="17">
        <v>7.51</v>
      </c>
      <c r="I308">
        <v>4.0548943304747365</v>
      </c>
      <c r="J308" s="16">
        <v>3.06</v>
      </c>
      <c r="L308" s="22" t="s">
        <v>41</v>
      </c>
      <c r="M308" s="24" t="s">
        <v>9</v>
      </c>
      <c r="N308" s="22" t="str">
        <f>SUBSTITUTE(C307,",",".")</f>
        <v>7.79711486938772</v>
      </c>
      <c r="O308" s="22" t="str">
        <f>SUBSTITUTE(D307,",",".")</f>
        <v>25.41</v>
      </c>
      <c r="P308" s="22" t="str">
        <f>SUBSTITUTE(E307,",",".")</f>
        <v>17.2880003178316</v>
      </c>
      <c r="Q308" s="22" t="str">
        <f>SUBSTITUTE(F307,",",".")</f>
        <v>17.0270867653325</v>
      </c>
      <c r="R308" s="22" t="str">
        <f>SUBSTITUTE(G307,",",".")</f>
        <v>2.64</v>
      </c>
      <c r="S308" s="22" t="str">
        <f>SUBSTITUTE(H307,",",".")</f>
        <v>4.45</v>
      </c>
      <c r="T308" s="22" t="str">
        <f>SUBSTITUTE(I307,",",".")</f>
        <v>3.14290528003764</v>
      </c>
      <c r="U308" s="22" t="str">
        <f>SUBSTITUTE(J307,",",".")</f>
        <v>3.06</v>
      </c>
      <c r="X308" s="1"/>
    </row>
    <row r="309" spans="1:24" x14ac:dyDescent="0.25">
      <c r="A309" t="s">
        <v>41</v>
      </c>
      <c r="B309" s="1" t="s">
        <v>11</v>
      </c>
      <c r="C309">
        <v>5.3084327300732577</v>
      </c>
      <c r="D309" s="17">
        <v>24.28</v>
      </c>
      <c r="E309">
        <v>20.423277397382872</v>
      </c>
      <c r="F309">
        <v>17.113859931642754</v>
      </c>
      <c r="G309" s="17">
        <v>0.31</v>
      </c>
      <c r="H309" s="17">
        <v>7.66</v>
      </c>
      <c r="I309">
        <v>4.3050162796143496</v>
      </c>
      <c r="J309" s="16">
        <v>3.01</v>
      </c>
      <c r="L309" s="22" t="s">
        <v>41</v>
      </c>
      <c r="M309" s="24" t="s">
        <v>10</v>
      </c>
      <c r="N309" s="22" t="str">
        <f>SUBSTITUTE(C308,",",".")</f>
        <v>4.60342666518322</v>
      </c>
      <c r="O309" s="22" t="str">
        <f>SUBSTITUTE(D308,",",".")</f>
        <v>24.4</v>
      </c>
      <c r="P309" s="22" t="str">
        <f>SUBSTITUTE(E308,",",".")</f>
        <v>21.5566467946528</v>
      </c>
      <c r="Q309" s="22" t="str">
        <f>SUBSTITUTE(F308,",",".")</f>
        <v>17.0313483326278</v>
      </c>
      <c r="R309" s="22" t="str">
        <f>SUBSTITUTE(G308,",",".")</f>
        <v>0.14</v>
      </c>
      <c r="S309" s="22" t="str">
        <f>SUBSTITUTE(H308,",",".")</f>
        <v>7.51</v>
      </c>
      <c r="T309" s="22" t="str">
        <f>SUBSTITUTE(I308,",",".")</f>
        <v>4.05489433047474</v>
      </c>
      <c r="U309" s="22" t="str">
        <f>SUBSTITUTE(J308,",",".")</f>
        <v>3.06</v>
      </c>
      <c r="X309" s="1"/>
    </row>
    <row r="310" spans="1:24" x14ac:dyDescent="0.25">
      <c r="A310" t="s">
        <v>41</v>
      </c>
      <c r="B310" s="1" t="s">
        <v>12</v>
      </c>
      <c r="C310">
        <v>-2.3341747458012643</v>
      </c>
      <c r="D310" s="17">
        <v>22.39</v>
      </c>
      <c r="E310">
        <v>19.310192021745738</v>
      </c>
      <c r="F310">
        <v>17.096469065866721</v>
      </c>
      <c r="G310" s="17">
        <v>0.34</v>
      </c>
      <c r="H310" s="17">
        <v>8.34</v>
      </c>
      <c r="I310">
        <v>6.505042797732477</v>
      </c>
      <c r="J310" s="16">
        <v>2.95</v>
      </c>
      <c r="L310" s="22" t="s">
        <v>41</v>
      </c>
      <c r="M310" s="24" t="s">
        <v>11</v>
      </c>
      <c r="N310" s="22" t="str">
        <f>SUBSTITUTE(C309,",",".")</f>
        <v>5.30843273007326</v>
      </c>
      <c r="O310" s="22" t="str">
        <f>SUBSTITUTE(D309,",",".")</f>
        <v>24.28</v>
      </c>
      <c r="P310" s="22" t="str">
        <f>SUBSTITUTE(E309,",",".")</f>
        <v>20.4232773973829</v>
      </c>
      <c r="Q310" s="22" t="str">
        <f>SUBSTITUTE(F309,",",".")</f>
        <v>17.1138599316428</v>
      </c>
      <c r="R310" s="22" t="str">
        <f>SUBSTITUTE(G309,",",".")</f>
        <v>0.31</v>
      </c>
      <c r="S310" s="22" t="str">
        <f>SUBSTITUTE(H309,",",".")</f>
        <v>7.66</v>
      </c>
      <c r="T310" s="22" t="str">
        <f>SUBSTITUTE(I309,",",".")</f>
        <v>4.30501627961435</v>
      </c>
      <c r="U310" s="22" t="str">
        <f>SUBSTITUTE(J309,",",".")</f>
        <v>3.01</v>
      </c>
      <c r="X310" s="1"/>
    </row>
    <row r="311" spans="1:24" x14ac:dyDescent="0.25">
      <c r="A311" t="s">
        <v>41</v>
      </c>
      <c r="B311" s="1" t="s">
        <v>13</v>
      </c>
      <c r="C311">
        <v>1.4757904417119769</v>
      </c>
      <c r="D311" s="16">
        <v>23.21</v>
      </c>
      <c r="E311">
        <v>24.350608219920154</v>
      </c>
      <c r="F311">
        <v>17.080641488836456</v>
      </c>
      <c r="G311" s="17">
        <v>0.24</v>
      </c>
      <c r="H311" s="17">
        <v>8.33</v>
      </c>
      <c r="I311">
        <v>6.7033731549651838</v>
      </c>
      <c r="J311" s="16">
        <v>2.5499999999999998</v>
      </c>
      <c r="L311" s="22" t="s">
        <v>41</v>
      </c>
      <c r="M311" s="24" t="s">
        <v>12</v>
      </c>
      <c r="N311" s="22" t="str">
        <f>SUBSTITUTE(C310,",",".")</f>
        <v>-2.33417474580126</v>
      </c>
      <c r="O311" s="22" t="str">
        <f>SUBSTITUTE(D310,",",".")</f>
        <v>22.39</v>
      </c>
      <c r="P311" s="22" t="str">
        <f>SUBSTITUTE(E310,",",".")</f>
        <v>19.3101920217457</v>
      </c>
      <c r="Q311" s="22" t="str">
        <f>SUBSTITUTE(F310,",",".")</f>
        <v>17.0964690658667</v>
      </c>
      <c r="R311" s="22" t="str">
        <f>SUBSTITUTE(G310,",",".")</f>
        <v>0.34</v>
      </c>
      <c r="S311" s="22" t="str">
        <f>SUBSTITUTE(H310,",",".")</f>
        <v>8.34</v>
      </c>
      <c r="T311" s="22" t="str">
        <f>SUBSTITUTE(I310,",",".")</f>
        <v>6.50504279773248</v>
      </c>
      <c r="U311" s="22" t="str">
        <f>SUBSTITUTE(J310,",",".")</f>
        <v>2.95</v>
      </c>
      <c r="X311" s="1"/>
    </row>
    <row r="312" spans="1:24" x14ac:dyDescent="0.25">
      <c r="A312" t="s">
        <v>41</v>
      </c>
      <c r="B312" s="1" t="s">
        <v>14</v>
      </c>
      <c r="C312">
        <v>3.8048412321421754</v>
      </c>
      <c r="D312" s="17">
        <v>22.6</v>
      </c>
      <c r="E312">
        <v>28.087148868219391</v>
      </c>
      <c r="F312">
        <v>17.145394377418611</v>
      </c>
      <c r="G312" s="17">
        <v>0.2</v>
      </c>
      <c r="H312" s="17">
        <v>7.24</v>
      </c>
      <c r="I312">
        <v>5.9503966474353822</v>
      </c>
      <c r="J312" s="16">
        <v>2.39</v>
      </c>
      <c r="L312" s="22" t="s">
        <v>41</v>
      </c>
      <c r="M312" s="24" t="s">
        <v>13</v>
      </c>
      <c r="N312" s="22" t="str">
        <f>SUBSTITUTE(C311,",",".")</f>
        <v>1.47579044171198</v>
      </c>
      <c r="O312" s="22" t="str">
        <f>SUBSTITUTE(D311,",",".")</f>
        <v>23.21</v>
      </c>
      <c r="P312" s="22" t="str">
        <f>SUBSTITUTE(E311,",",".")</f>
        <v>24.3506082199202</v>
      </c>
      <c r="Q312" s="22" t="str">
        <f>SUBSTITUTE(F311,",",".")</f>
        <v>17.0806414888365</v>
      </c>
      <c r="R312" s="22" t="str">
        <f>SUBSTITUTE(G311,",",".")</f>
        <v>0.24</v>
      </c>
      <c r="S312" s="22" t="str">
        <f>SUBSTITUTE(H311,",",".")</f>
        <v>8.33</v>
      </c>
      <c r="T312" s="22" t="str">
        <f>SUBSTITUTE(I311,",",".")</f>
        <v>6.70337315496518</v>
      </c>
      <c r="U312" s="22" t="str">
        <f>SUBSTITUTE(J311,",",".")</f>
        <v>2.55</v>
      </c>
      <c r="X312" s="1"/>
    </row>
    <row r="313" spans="1:24" x14ac:dyDescent="0.25">
      <c r="A313" t="s">
        <v>41</v>
      </c>
      <c r="B313" s="1" t="s">
        <v>15</v>
      </c>
      <c r="C313">
        <v>-2.1666702721037594</v>
      </c>
      <c r="D313" s="17">
        <v>24.33</v>
      </c>
      <c r="E313">
        <v>20.266543953609666</v>
      </c>
      <c r="F313">
        <v>17.148268200847657</v>
      </c>
      <c r="G313" s="17">
        <v>0.24</v>
      </c>
      <c r="H313" s="17">
        <v>4.97</v>
      </c>
      <c r="I313">
        <v>5.1629817749228986</v>
      </c>
      <c r="J313" s="16">
        <v>2.4</v>
      </c>
      <c r="L313" s="22" t="s">
        <v>41</v>
      </c>
      <c r="M313" s="24" t="s">
        <v>14</v>
      </c>
      <c r="N313" s="22" t="str">
        <f>SUBSTITUTE(C312,",",".")</f>
        <v>3.80484123214218</v>
      </c>
      <c r="O313" s="22" t="str">
        <f>SUBSTITUTE(D312,",",".")</f>
        <v>22.6</v>
      </c>
      <c r="P313" s="22" t="str">
        <f>SUBSTITUTE(E312,",",".")</f>
        <v>28.0871488682194</v>
      </c>
      <c r="Q313" s="22" t="str">
        <f>SUBSTITUTE(F312,",",".")</f>
        <v>17.1453943774186</v>
      </c>
      <c r="R313" s="22" t="str">
        <f>SUBSTITUTE(G312,",",".")</f>
        <v>0.2</v>
      </c>
      <c r="S313" s="22" t="str">
        <f>SUBSTITUTE(H312,",",".")</f>
        <v>7.24</v>
      </c>
      <c r="T313" s="22" t="str">
        <f>SUBSTITUTE(I312,",",".")</f>
        <v>5.95039664743538</v>
      </c>
      <c r="U313" s="22" t="str">
        <f>SUBSTITUTE(J312,",",".")</f>
        <v>2.39</v>
      </c>
      <c r="X313" s="1"/>
    </row>
    <row r="314" spans="1:24" x14ac:dyDescent="0.25">
      <c r="A314" t="s">
        <v>41</v>
      </c>
      <c r="B314" s="1" t="s">
        <v>16</v>
      </c>
      <c r="C314">
        <v>-5.1474625350157659</v>
      </c>
      <c r="D314" s="17">
        <v>24.1</v>
      </c>
      <c r="E314">
        <v>22.774579404373757</v>
      </c>
      <c r="F314">
        <v>17.030733398803317</v>
      </c>
      <c r="G314" s="17">
        <v>0.47</v>
      </c>
      <c r="H314" s="17">
        <v>4.76</v>
      </c>
      <c r="I314">
        <v>5.5764326914204503</v>
      </c>
      <c r="J314" s="16">
        <v>3.39</v>
      </c>
      <c r="L314" s="22" t="s">
        <v>41</v>
      </c>
      <c r="M314" s="24" t="s">
        <v>15</v>
      </c>
      <c r="N314" s="22" t="str">
        <f>SUBSTITUTE(C313,",",".")</f>
        <v>-2.16667027210376</v>
      </c>
      <c r="O314" s="22" t="str">
        <f>SUBSTITUTE(D313,",",".")</f>
        <v>24.33</v>
      </c>
      <c r="P314" s="22" t="str">
        <f>SUBSTITUTE(E313,",",".")</f>
        <v>20.2665439536097</v>
      </c>
      <c r="Q314" s="22" t="str">
        <f>SUBSTITUTE(F313,",",".")</f>
        <v>17.1482682008477</v>
      </c>
      <c r="R314" s="22" t="str">
        <f>SUBSTITUTE(G313,",",".")</f>
        <v>0.24</v>
      </c>
      <c r="S314" s="22" t="str">
        <f>SUBSTITUTE(H313,",",".")</f>
        <v>4.97</v>
      </c>
      <c r="T314" s="22" t="str">
        <f>SUBSTITUTE(I313,",",".")</f>
        <v>5.1629817749229</v>
      </c>
      <c r="U314" s="22" t="str">
        <f>SUBSTITUTE(J313,",",".")</f>
        <v>2.4</v>
      </c>
      <c r="X314" s="1"/>
    </row>
    <row r="315" spans="1:24" x14ac:dyDescent="0.25">
      <c r="A315" t="s">
        <v>41</v>
      </c>
      <c r="B315" s="1" t="s">
        <v>17</v>
      </c>
      <c r="C315">
        <v>-0.64425126107480102</v>
      </c>
      <c r="D315" s="17">
        <v>24.9</v>
      </c>
      <c r="E315">
        <v>23.617633129512154</v>
      </c>
      <c r="F315">
        <v>17.050396612383995</v>
      </c>
      <c r="G315" s="17">
        <v>0.33</v>
      </c>
      <c r="H315" s="17">
        <v>4.59</v>
      </c>
      <c r="I315">
        <v>5.8969548459207966</v>
      </c>
      <c r="J315" s="16">
        <v>3.48</v>
      </c>
      <c r="L315" s="22" t="s">
        <v>41</v>
      </c>
      <c r="M315" s="24" t="s">
        <v>16</v>
      </c>
      <c r="N315" s="22" t="str">
        <f>SUBSTITUTE(C314,",",".")</f>
        <v>-5.14746253501577</v>
      </c>
      <c r="O315" s="22" t="str">
        <f>SUBSTITUTE(D314,",",".")</f>
        <v>24.1</v>
      </c>
      <c r="P315" s="22" t="str">
        <f>SUBSTITUTE(E314,",",".")</f>
        <v>22.7745794043738</v>
      </c>
      <c r="Q315" s="22" t="str">
        <f>SUBSTITUTE(F314,",",".")</f>
        <v>17.0307333988033</v>
      </c>
      <c r="R315" s="22" t="str">
        <f>SUBSTITUTE(G314,",",".")</f>
        <v>0.47</v>
      </c>
      <c r="S315" s="22" t="str">
        <f>SUBSTITUTE(H314,",",".")</f>
        <v>4.76</v>
      </c>
      <c r="T315" s="22" t="str">
        <f>SUBSTITUTE(I314,",",".")</f>
        <v>5.57643269142045</v>
      </c>
      <c r="U315" s="22" t="str">
        <f>SUBSTITUTE(J314,",",".")</f>
        <v>3.39</v>
      </c>
      <c r="X315" s="1"/>
    </row>
    <row r="316" spans="1:24" x14ac:dyDescent="0.25">
      <c r="A316" t="s">
        <v>41</v>
      </c>
      <c r="B316" s="1" t="s">
        <v>18</v>
      </c>
      <c r="C316">
        <v>-22.040181755815532</v>
      </c>
      <c r="D316" s="17">
        <v>17.47</v>
      </c>
      <c r="E316">
        <v>28.759139095210216</v>
      </c>
      <c r="F316">
        <v>16.837620949674996</v>
      </c>
      <c r="G316" s="16">
        <v>-10.36</v>
      </c>
      <c r="H316" s="17">
        <v>4.6100000000000003</v>
      </c>
      <c r="I316">
        <v>7.7356147492733296</v>
      </c>
      <c r="J316" s="16">
        <v>3.62</v>
      </c>
      <c r="L316" s="22" t="s">
        <v>41</v>
      </c>
      <c r="M316" s="24" t="s">
        <v>17</v>
      </c>
      <c r="N316" s="22" t="str">
        <f>SUBSTITUTE(C315,",",".")</f>
        <v>-0.644251261074801</v>
      </c>
      <c r="O316" s="22" t="str">
        <f>SUBSTITUTE(D315,",",".")</f>
        <v>24.9</v>
      </c>
      <c r="P316" s="22" t="str">
        <f>SUBSTITUTE(E315,",",".")</f>
        <v>23.6176331295122</v>
      </c>
      <c r="Q316" s="22" t="str">
        <f>SUBSTITUTE(F315,",",".")</f>
        <v>17.050396612384</v>
      </c>
      <c r="R316" s="22" t="str">
        <f>SUBSTITUTE(G315,",",".")</f>
        <v>0.33</v>
      </c>
      <c r="S316" s="22" t="str">
        <f>SUBSTITUTE(H315,",",".")</f>
        <v>4.59</v>
      </c>
      <c r="T316" s="22" t="str">
        <f>SUBSTITUTE(I315,",",".")</f>
        <v>5.8969548459208</v>
      </c>
      <c r="U316" s="22" t="str">
        <f>SUBSTITUTE(J315,",",".")</f>
        <v>3.48</v>
      </c>
      <c r="X316" s="1"/>
    </row>
    <row r="317" spans="1:24" x14ac:dyDescent="0.25">
      <c r="A317" t="s">
        <v>41</v>
      </c>
      <c r="B317" s="1" t="s">
        <v>19</v>
      </c>
      <c r="C317">
        <v>-18.9408716571558</v>
      </c>
      <c r="D317" s="17">
        <v>20.239999999999998</v>
      </c>
      <c r="E317">
        <v>32.270901358863355</v>
      </c>
      <c r="F317">
        <v>16.640841327766747</v>
      </c>
      <c r="G317" s="17">
        <v>-14.75</v>
      </c>
      <c r="H317" s="17">
        <v>3.98</v>
      </c>
      <c r="I317">
        <v>16.155661362744176</v>
      </c>
      <c r="J317" s="16">
        <v>3.87</v>
      </c>
      <c r="L317" s="22" t="s">
        <v>41</v>
      </c>
      <c r="M317" s="24" t="s">
        <v>18</v>
      </c>
      <c r="N317" s="22" t="str">
        <f>SUBSTITUTE(C316,",",".")</f>
        <v>-22.0401817558155</v>
      </c>
      <c r="O317" s="22" t="str">
        <f>SUBSTITUTE(D316,",",".")</f>
        <v>17.47</v>
      </c>
      <c r="P317" s="22" t="str">
        <f>SUBSTITUTE(E316,",",".")</f>
        <v>28.7591390952102</v>
      </c>
      <c r="Q317" s="22" t="str">
        <f>SUBSTITUTE(F316,",",".")</f>
        <v>16.837620949675</v>
      </c>
      <c r="R317" s="22" t="str">
        <f>SUBSTITUTE(G316,",",".")</f>
        <v>-10.36</v>
      </c>
      <c r="S317" s="22" t="str">
        <f>SUBSTITUTE(H316,",",".")</f>
        <v>4.61</v>
      </c>
      <c r="T317" s="22" t="str">
        <f>SUBSTITUTE(I316,",",".")</f>
        <v>7.73561474927333</v>
      </c>
      <c r="U317" s="22" t="str">
        <f>SUBSTITUTE(J316,",",".")</f>
        <v>3.62</v>
      </c>
      <c r="X317" s="1"/>
    </row>
    <row r="318" spans="1:24" x14ac:dyDescent="0.25">
      <c r="A318" t="s">
        <v>41</v>
      </c>
      <c r="B318" s="1" t="s">
        <v>20</v>
      </c>
      <c r="C318">
        <v>-17.928612796658815</v>
      </c>
      <c r="D318" s="17">
        <v>25.87</v>
      </c>
      <c r="E318">
        <v>30.279474705583226</v>
      </c>
      <c r="F318">
        <v>16.395218697589733</v>
      </c>
      <c r="G318" s="17">
        <v>3.45</v>
      </c>
      <c r="H318" s="17">
        <v>1.4</v>
      </c>
      <c r="I318">
        <v>15.790582983411033</v>
      </c>
      <c r="J318" s="16">
        <v>4.8099999999999996</v>
      </c>
      <c r="L318" s="22" t="s">
        <v>41</v>
      </c>
      <c r="M318" s="24" t="s">
        <v>19</v>
      </c>
      <c r="N318" s="22" t="str">
        <f>SUBSTITUTE(C317,",",".")</f>
        <v>-18.9408716571558</v>
      </c>
      <c r="O318" s="22" t="str">
        <f>SUBSTITUTE(D317,",",".")</f>
        <v>20.24</v>
      </c>
      <c r="P318" s="22" t="str">
        <f>SUBSTITUTE(E317,",",".")</f>
        <v>32.2709013588634</v>
      </c>
      <c r="Q318" s="22" t="str">
        <f>SUBSTITUTE(F317,",",".")</f>
        <v>16.6408413277667</v>
      </c>
      <c r="R318" s="22" t="str">
        <f>SUBSTITUTE(G317,",",".")</f>
        <v>-14.75</v>
      </c>
      <c r="S318" s="22" t="str">
        <f>SUBSTITUTE(H317,",",".")</f>
        <v>3.98</v>
      </c>
      <c r="T318" s="22" t="str">
        <f>SUBSTITUTE(I317,",",".")</f>
        <v>16.1556613627442</v>
      </c>
      <c r="U318" s="22" t="str">
        <f>SUBSTITUTE(J317,",",".")</f>
        <v>3.87</v>
      </c>
      <c r="X318" s="1"/>
    </row>
    <row r="319" spans="1:24" x14ac:dyDescent="0.25">
      <c r="A319" t="s">
        <v>41</v>
      </c>
      <c r="B319" s="1" t="s">
        <v>21</v>
      </c>
      <c r="C319">
        <v>-2.7261033376840733</v>
      </c>
      <c r="D319" s="17">
        <v>25.14</v>
      </c>
      <c r="E319">
        <v>38.634978121020012</v>
      </c>
      <c r="F319">
        <v>16.489705826993749</v>
      </c>
      <c r="G319" s="17">
        <v>1.58</v>
      </c>
      <c r="H319" s="17">
        <v>3.5</v>
      </c>
      <c r="I319">
        <v>15.999542913672837</v>
      </c>
      <c r="J319" s="16">
        <v>4.76</v>
      </c>
      <c r="L319" s="22" t="s">
        <v>41</v>
      </c>
      <c r="M319" s="24" t="s">
        <v>20</v>
      </c>
      <c r="N319" s="22" t="str">
        <f>SUBSTITUTE(C318,",",".")</f>
        <v>-17.9286127966588</v>
      </c>
      <c r="O319" s="22" t="str">
        <f>SUBSTITUTE(D318,",",".")</f>
        <v>25.87</v>
      </c>
      <c r="P319" s="22" t="str">
        <f>SUBSTITUTE(E318,",",".")</f>
        <v>30.2794747055832</v>
      </c>
      <c r="Q319" s="22" t="str">
        <f>SUBSTITUTE(F318,",",".")</f>
        <v>16.3952186975897</v>
      </c>
      <c r="R319" s="22" t="str">
        <f>SUBSTITUTE(G318,",",".")</f>
        <v>3.45</v>
      </c>
      <c r="S319" s="22" t="str">
        <f>SUBSTITUTE(H318,",",".")</f>
        <v>1.4</v>
      </c>
      <c r="T319" s="22" t="str">
        <f>SUBSTITUTE(I318,",",".")</f>
        <v>15.790582983411</v>
      </c>
      <c r="U319" s="22" t="str">
        <f>SUBSTITUTE(J318,",",".")</f>
        <v>4.81</v>
      </c>
      <c r="X319" s="1"/>
    </row>
    <row r="320" spans="1:24" x14ac:dyDescent="0.25">
      <c r="A320" t="s">
        <v>41</v>
      </c>
      <c r="B320" s="1" t="s">
        <v>22</v>
      </c>
      <c r="C320">
        <v>-9.6357811838406384</v>
      </c>
      <c r="D320" s="17">
        <v>27.33</v>
      </c>
      <c r="E320">
        <v>37.884802493454387</v>
      </c>
      <c r="F320">
        <v>16.379308329528303</v>
      </c>
      <c r="G320" s="17">
        <v>1.06</v>
      </c>
      <c r="H320" s="17">
        <v>2.0499999999999998</v>
      </c>
      <c r="I320">
        <v>17.334582376549513</v>
      </c>
      <c r="J320" s="16">
        <v>4.71</v>
      </c>
      <c r="L320" s="22" t="s">
        <v>41</v>
      </c>
      <c r="M320" s="24" t="s">
        <v>21</v>
      </c>
      <c r="N320" s="22" t="str">
        <f>SUBSTITUTE(C319,",",".")</f>
        <v>-2.72610333768407</v>
      </c>
      <c r="O320" s="22" t="str">
        <f>SUBSTITUTE(D319,",",".")</f>
        <v>25.14</v>
      </c>
      <c r="P320" s="22" t="str">
        <f>SUBSTITUTE(E319,",",".")</f>
        <v>38.63497812102</v>
      </c>
      <c r="Q320" s="22" t="str">
        <f>SUBSTITUTE(F319,",",".")</f>
        <v>16.4897058269937</v>
      </c>
      <c r="R320" s="22" t="str">
        <f>SUBSTITUTE(G319,",",".")</f>
        <v>1.58</v>
      </c>
      <c r="S320" s="22" t="str">
        <f>SUBSTITUTE(H319,",",".")</f>
        <v>3.5</v>
      </c>
      <c r="T320" s="22" t="str">
        <f>SUBSTITUTE(I319,",",".")</f>
        <v>15.9995429136728</v>
      </c>
      <c r="U320" s="22" t="str">
        <f>SUBSTITUTE(J319,",",".")</f>
        <v>4.76</v>
      </c>
      <c r="X320" s="1"/>
    </row>
    <row r="321" spans="1:24" x14ac:dyDescent="0.25">
      <c r="A321" t="s">
        <v>41</v>
      </c>
      <c r="B321" s="1" t="s">
        <v>23</v>
      </c>
      <c r="C321">
        <v>-7.2574187315882552</v>
      </c>
      <c r="D321" s="19">
        <v>43.74</v>
      </c>
      <c r="E321">
        <v>45.333462841149668</v>
      </c>
      <c r="F321">
        <v>16.447311264720884</v>
      </c>
      <c r="G321" s="16">
        <v>0.85</v>
      </c>
      <c r="H321" s="19">
        <v>2.9</v>
      </c>
      <c r="I321">
        <v>17.015586139908049</v>
      </c>
      <c r="J321" s="19">
        <v>4.5599999999999996</v>
      </c>
      <c r="L321" s="22" t="s">
        <v>41</v>
      </c>
      <c r="M321" s="24" t="s">
        <v>22</v>
      </c>
      <c r="N321" s="22" t="str">
        <f>SUBSTITUTE(C320,",",".")</f>
        <v>-9.63578118384064</v>
      </c>
      <c r="O321" s="22" t="str">
        <f>SUBSTITUTE(D320,",",".")</f>
        <v>27.33</v>
      </c>
      <c r="P321" s="22" t="str">
        <f>SUBSTITUTE(E320,",",".")</f>
        <v>37.8848024934544</v>
      </c>
      <c r="Q321" s="22" t="str">
        <f>SUBSTITUTE(F320,",",".")</f>
        <v>16.3793083295283</v>
      </c>
      <c r="R321" s="22" t="str">
        <f>SUBSTITUTE(G320,",",".")</f>
        <v>1.06</v>
      </c>
      <c r="S321" s="22" t="str">
        <f>SUBSTITUTE(H320,",",".")</f>
        <v>2.05</v>
      </c>
      <c r="T321" s="22" t="str">
        <f>SUBSTITUTE(I320,",",".")</f>
        <v>17.3345823765495</v>
      </c>
      <c r="U321" s="22" t="str">
        <f>SUBSTITUTE(J320,",",".")</f>
        <v>4.71</v>
      </c>
      <c r="X321" s="1"/>
    </row>
    <row r="322" spans="1:24" x14ac:dyDescent="0.25">
      <c r="A322" t="s">
        <v>37</v>
      </c>
      <c r="B322" s="1" t="s">
        <v>4</v>
      </c>
      <c r="C322">
        <v>-8.5738967620438373</v>
      </c>
      <c r="D322" s="17">
        <v>22.4</v>
      </c>
      <c r="E322">
        <v>21.77326658817179</v>
      </c>
      <c r="F322">
        <v>16.926114299338359</v>
      </c>
      <c r="G322" s="17">
        <v>-0.84</v>
      </c>
      <c r="H322" s="17">
        <v>2.63</v>
      </c>
      <c r="I322">
        <v>3.585862639776948</v>
      </c>
      <c r="J322" s="17">
        <v>1.84</v>
      </c>
      <c r="L322" s="22" t="s">
        <v>41</v>
      </c>
      <c r="M322" s="24" t="s">
        <v>23</v>
      </c>
      <c r="N322" s="22" t="str">
        <f>SUBSTITUTE(C321,",",".")</f>
        <v>-7.25741873158826</v>
      </c>
      <c r="O322" s="22" t="str">
        <f>SUBSTITUTE(D321,",",".")</f>
        <v>43.74</v>
      </c>
      <c r="P322" s="22" t="str">
        <f>SUBSTITUTE(E321,",",".")</f>
        <v>45.3334628411497</v>
      </c>
      <c r="Q322" s="22" t="str">
        <f>SUBSTITUTE(F321,",",".")</f>
        <v>16.4473112647209</v>
      </c>
      <c r="R322" s="22" t="str">
        <f>SUBSTITUTE(G321,",",".")</f>
        <v>0.85</v>
      </c>
      <c r="S322" s="22" t="str">
        <f>SUBSTITUTE(H321,",",".")</f>
        <v>2.9</v>
      </c>
      <c r="T322" s="22" t="str">
        <f>SUBSTITUTE(I321,",",".")</f>
        <v>17.015586139908</v>
      </c>
      <c r="U322" s="22" t="str">
        <f>SUBSTITUTE(J321,",",".")</f>
        <v>4.56</v>
      </c>
    </row>
    <row r="323" spans="1:24" x14ac:dyDescent="0.25">
      <c r="A323" t="s">
        <v>37</v>
      </c>
      <c r="B323" s="1" t="s">
        <v>5</v>
      </c>
      <c r="C323">
        <v>-2.7132003356417482</v>
      </c>
      <c r="D323" s="17">
        <v>21.55</v>
      </c>
      <c r="E323">
        <v>26.719143137598479</v>
      </c>
      <c r="F323">
        <v>16.839522417853662</v>
      </c>
      <c r="G323" s="17">
        <v>-0.85</v>
      </c>
      <c r="H323" s="17">
        <v>2.69</v>
      </c>
      <c r="I323">
        <v>3.6662393292258804</v>
      </c>
      <c r="J323" s="17">
        <v>1.82</v>
      </c>
      <c r="L323" s="22" t="s">
        <v>634</v>
      </c>
      <c r="M323" s="24" t="s">
        <v>1</v>
      </c>
      <c r="N323" s="22" t="s">
        <v>49</v>
      </c>
      <c r="O323" s="22" t="s">
        <v>51</v>
      </c>
      <c r="P323" s="22" t="s">
        <v>52</v>
      </c>
      <c r="Q323" s="22" t="s">
        <v>53</v>
      </c>
      <c r="R323" s="22" t="s">
        <v>54</v>
      </c>
      <c r="S323" s="22" t="s">
        <v>55</v>
      </c>
      <c r="T323" s="22" t="s">
        <v>56</v>
      </c>
      <c r="U323" s="22" t="s">
        <v>57</v>
      </c>
    </row>
    <row r="324" spans="1:24" x14ac:dyDescent="0.25">
      <c r="A324" t="s">
        <v>37</v>
      </c>
      <c r="B324" s="1" t="s">
        <v>6</v>
      </c>
      <c r="C324">
        <v>-2.45233265866456</v>
      </c>
      <c r="D324" s="17">
        <v>21.5</v>
      </c>
      <c r="E324">
        <v>27.181817070003984</v>
      </c>
      <c r="F324">
        <v>16.864581777133875</v>
      </c>
      <c r="G324" s="17">
        <v>-0.97</v>
      </c>
      <c r="H324" s="17">
        <v>4.16</v>
      </c>
      <c r="I324">
        <v>3.699111347581681</v>
      </c>
      <c r="J324" s="17">
        <v>1.57</v>
      </c>
      <c r="L324" s="22" t="s">
        <v>37</v>
      </c>
      <c r="M324" s="24" t="s">
        <v>4</v>
      </c>
      <c r="N324" s="22" t="str">
        <f>SUBSTITUTE(C322,",",".")</f>
        <v>-8.57389676204384</v>
      </c>
      <c r="O324" s="22" t="str">
        <f>SUBSTITUTE(D322,",",".")</f>
        <v>22.4</v>
      </c>
      <c r="P324" s="22" t="str">
        <f>SUBSTITUTE(E322,",",".")</f>
        <v>21.7732665881718</v>
      </c>
      <c r="Q324" s="22" t="str">
        <f>SUBSTITUTE(F322,",",".")</f>
        <v>16.9261142993384</v>
      </c>
      <c r="R324" s="22" t="str">
        <f>SUBSTITUTE(G322,",",".")</f>
        <v>-0.84</v>
      </c>
      <c r="S324" s="22" t="str">
        <f>SUBSTITUTE(H322,",",".")</f>
        <v>2.63</v>
      </c>
      <c r="T324" s="22" t="str">
        <f>SUBSTITUTE(I322,",",".")</f>
        <v>3.58586263977695</v>
      </c>
      <c r="U324" s="22" t="str">
        <f>SUBSTITUTE(J322,",",".")</f>
        <v>1.84</v>
      </c>
    </row>
    <row r="325" spans="1:24" x14ac:dyDescent="0.25">
      <c r="A325" t="s">
        <v>37</v>
      </c>
      <c r="B325" s="1" t="s">
        <v>7</v>
      </c>
      <c r="C325">
        <v>-7.7856482876921485</v>
      </c>
      <c r="D325" s="17">
        <v>26.5</v>
      </c>
      <c r="E325">
        <v>33.37270315712567</v>
      </c>
      <c r="F325">
        <v>16.835297484558147</v>
      </c>
      <c r="G325" s="17">
        <v>0.12</v>
      </c>
      <c r="H325" s="17">
        <v>2.4900000000000002</v>
      </c>
      <c r="I325">
        <v>1.5477123968612905</v>
      </c>
      <c r="J325" s="17">
        <v>1.73</v>
      </c>
      <c r="L325" s="22" t="s">
        <v>37</v>
      </c>
      <c r="M325" s="24" t="s">
        <v>5</v>
      </c>
      <c r="N325" s="22" t="str">
        <f>SUBSTITUTE(C323,",",".")</f>
        <v>-2.71320033564175</v>
      </c>
      <c r="O325" s="22" t="str">
        <f>SUBSTITUTE(D323,",",".")</f>
        <v>21.55</v>
      </c>
      <c r="P325" s="22" t="str">
        <f>SUBSTITUTE(E323,",",".")</f>
        <v>26.7191431375985</v>
      </c>
      <c r="Q325" s="22" t="str">
        <f>SUBSTITUTE(F323,",",".")</f>
        <v>16.8395224178537</v>
      </c>
      <c r="R325" s="22" t="str">
        <f>SUBSTITUTE(G323,",",".")</f>
        <v>-0.85</v>
      </c>
      <c r="S325" s="22" t="str">
        <f>SUBSTITUTE(H323,",",".")</f>
        <v>2.69</v>
      </c>
      <c r="T325" s="22" t="str">
        <f>SUBSTITUTE(I323,",",".")</f>
        <v>3.66623932922588</v>
      </c>
      <c r="U325" s="22" t="str">
        <f>SUBSTITUTE(J323,",",".")</f>
        <v>1.82</v>
      </c>
    </row>
    <row r="326" spans="1:24" x14ac:dyDescent="0.25">
      <c r="A326" t="s">
        <v>37</v>
      </c>
      <c r="B326" s="1" t="s">
        <v>8</v>
      </c>
      <c r="C326">
        <v>-5.5140451909486181</v>
      </c>
      <c r="D326" s="17">
        <v>27.55</v>
      </c>
      <c r="E326">
        <v>30.114070145303586</v>
      </c>
      <c r="F326">
        <v>16.74860298675339</v>
      </c>
      <c r="G326" s="17">
        <v>-1.02</v>
      </c>
      <c r="H326" s="17">
        <v>3.7</v>
      </c>
      <c r="I326">
        <v>1.9192946812798015</v>
      </c>
      <c r="J326" s="17">
        <v>2.17</v>
      </c>
      <c r="L326" s="22" t="s">
        <v>37</v>
      </c>
      <c r="M326" s="24" t="s">
        <v>6</v>
      </c>
      <c r="N326" s="22" t="str">
        <f>SUBSTITUTE(C324,",",".")</f>
        <v>-2.45233265866456</v>
      </c>
      <c r="O326" s="22" t="str">
        <f>SUBSTITUTE(D324,",",".")</f>
        <v>21.5</v>
      </c>
      <c r="P326" s="22" t="str">
        <f>SUBSTITUTE(E324,",",".")</f>
        <v>27.181817070004</v>
      </c>
      <c r="Q326" s="22" t="str">
        <f>SUBSTITUTE(F324,",",".")</f>
        <v>16.8645817771339</v>
      </c>
      <c r="R326" s="22" t="str">
        <f>SUBSTITUTE(G324,",",".")</f>
        <v>-0.97</v>
      </c>
      <c r="S326" s="22" t="str">
        <f>SUBSTITUTE(H324,",",".")</f>
        <v>4.16</v>
      </c>
      <c r="T326" s="22" t="str">
        <f>SUBSTITUTE(I324,",",".")</f>
        <v>3.69911134758168</v>
      </c>
      <c r="U326" s="22" t="str">
        <f>SUBSTITUTE(J324,",",".")</f>
        <v>1.57</v>
      </c>
    </row>
    <row r="327" spans="1:24" x14ac:dyDescent="0.25">
      <c r="A327" t="s">
        <v>37</v>
      </c>
      <c r="B327" s="1" t="s">
        <v>9</v>
      </c>
      <c r="C327">
        <v>20.867065579486468</v>
      </c>
      <c r="D327" s="17">
        <v>21.88</v>
      </c>
      <c r="E327">
        <v>29.172202256135822</v>
      </c>
      <c r="F327">
        <v>16.870396159748211</v>
      </c>
      <c r="G327" s="17">
        <v>-0.52</v>
      </c>
      <c r="H327" s="17">
        <v>4.68</v>
      </c>
      <c r="I327">
        <v>1.5621893801343623</v>
      </c>
      <c r="J327" s="17">
        <v>2.1800000000000002</v>
      </c>
      <c r="L327" s="22" t="s">
        <v>37</v>
      </c>
      <c r="M327" s="24" t="s">
        <v>7</v>
      </c>
      <c r="N327" s="22" t="str">
        <f>SUBSTITUTE(C325,",",".")</f>
        <v>-7.78564828769215</v>
      </c>
      <c r="O327" s="22" t="str">
        <f>SUBSTITUTE(D325,",",".")</f>
        <v>26.5</v>
      </c>
      <c r="P327" s="22" t="str">
        <f>SUBSTITUTE(E325,",",".")</f>
        <v>33.3727031571257</v>
      </c>
      <c r="Q327" s="22" t="str">
        <f>SUBSTITUTE(F325,",",".")</f>
        <v>16.8352974845581</v>
      </c>
      <c r="R327" s="22" t="str">
        <f>SUBSTITUTE(G325,",",".")</f>
        <v>0.12</v>
      </c>
      <c r="S327" s="22" t="str">
        <f>SUBSTITUTE(H325,",",".")</f>
        <v>2.49</v>
      </c>
      <c r="T327" s="22" t="str">
        <f>SUBSTITUTE(I325,",",".")</f>
        <v>1.54771239686129</v>
      </c>
      <c r="U327" s="22" t="str">
        <f>SUBSTITUTE(J325,",",".")</f>
        <v>1.73</v>
      </c>
    </row>
    <row r="328" spans="1:24" x14ac:dyDescent="0.25">
      <c r="A328" t="s">
        <v>37</v>
      </c>
      <c r="B328" s="1" t="s">
        <v>10</v>
      </c>
      <c r="C328">
        <v>1.5033855150641782</v>
      </c>
      <c r="D328" s="17">
        <v>22.28</v>
      </c>
      <c r="E328">
        <v>29.595221313848235</v>
      </c>
      <c r="F328">
        <v>16.889183624022717</v>
      </c>
      <c r="G328" s="17">
        <v>-0.22</v>
      </c>
      <c r="H328" s="17">
        <v>4.6500000000000004</v>
      </c>
      <c r="I328">
        <v>1.5276556210686323</v>
      </c>
      <c r="J328" s="17">
        <v>2.5099999999999998</v>
      </c>
      <c r="L328" s="22" t="s">
        <v>37</v>
      </c>
      <c r="M328" s="24" t="s">
        <v>8</v>
      </c>
      <c r="N328" s="22" t="str">
        <f>SUBSTITUTE(C326,",",".")</f>
        <v>-5.51404519094862</v>
      </c>
      <c r="O328" s="22" t="str">
        <f>SUBSTITUTE(D326,",",".")</f>
        <v>27.55</v>
      </c>
      <c r="P328" s="22" t="str">
        <f>SUBSTITUTE(E326,",",".")</f>
        <v>30.1140701453036</v>
      </c>
      <c r="Q328" s="22" t="str">
        <f>SUBSTITUTE(F326,",",".")</f>
        <v>16.7486029867534</v>
      </c>
      <c r="R328" s="22" t="str">
        <f>SUBSTITUTE(G326,",",".")</f>
        <v>-1.02</v>
      </c>
      <c r="S328" s="22" t="str">
        <f>SUBSTITUTE(H326,",",".")</f>
        <v>3.7</v>
      </c>
      <c r="T328" s="22" t="str">
        <f>SUBSTITUTE(I326,",",".")</f>
        <v>1.9192946812798</v>
      </c>
      <c r="U328" s="22" t="str">
        <f>SUBSTITUTE(J326,",",".")</f>
        <v>2.17</v>
      </c>
    </row>
    <row r="329" spans="1:24" x14ac:dyDescent="0.25">
      <c r="A329" t="s">
        <v>37</v>
      </c>
      <c r="B329" s="1" t="s">
        <v>11</v>
      </c>
      <c r="C329">
        <v>8.0391178634059788</v>
      </c>
      <c r="D329" s="17">
        <v>21.08</v>
      </c>
      <c r="E329">
        <v>28.034741876010049</v>
      </c>
      <c r="F329">
        <v>16.951951499520305</v>
      </c>
      <c r="G329" s="17">
        <v>0.02</v>
      </c>
      <c r="H329" s="17">
        <v>5.63</v>
      </c>
      <c r="I329">
        <v>1.2365908120198765</v>
      </c>
      <c r="J329" s="17">
        <v>2.56</v>
      </c>
      <c r="L329" s="22" t="s">
        <v>37</v>
      </c>
      <c r="M329" s="24" t="s">
        <v>9</v>
      </c>
      <c r="N329" s="22" t="str">
        <f>SUBSTITUTE(C327,",",".")</f>
        <v>20.8670655794865</v>
      </c>
      <c r="O329" s="22" t="str">
        <f>SUBSTITUTE(D327,",",".")</f>
        <v>21.88</v>
      </c>
      <c r="P329" s="22" t="str">
        <f>SUBSTITUTE(E327,",",".")</f>
        <v>29.1722022561358</v>
      </c>
      <c r="Q329" s="22" t="str">
        <f>SUBSTITUTE(F327,",",".")</f>
        <v>16.8703961597482</v>
      </c>
      <c r="R329" s="22" t="str">
        <f>SUBSTITUTE(G327,",",".")</f>
        <v>-0.52</v>
      </c>
      <c r="S329" s="22" t="str">
        <f>SUBSTITUTE(H327,",",".")</f>
        <v>4.68</v>
      </c>
      <c r="T329" s="22" t="str">
        <f>SUBSTITUTE(I327,",",".")</f>
        <v>1.56218938013436</v>
      </c>
      <c r="U329" s="22" t="str">
        <f>SUBSTITUTE(J327,",",".")</f>
        <v>2.18</v>
      </c>
    </row>
    <row r="330" spans="1:24" x14ac:dyDescent="0.25">
      <c r="A330" t="s">
        <v>37</v>
      </c>
      <c r="B330" s="1" t="s">
        <v>12</v>
      </c>
      <c r="C330">
        <v>1.2795369391140785</v>
      </c>
      <c r="D330" s="17">
        <v>20.36</v>
      </c>
      <c r="E330">
        <v>19.991536467400838</v>
      </c>
      <c r="F330">
        <v>16.875363874899122</v>
      </c>
      <c r="G330" s="17">
        <v>-0.34</v>
      </c>
      <c r="H330" s="17">
        <v>8.41</v>
      </c>
      <c r="I330">
        <v>4.9255239200620551</v>
      </c>
      <c r="J330" s="17">
        <v>1.82</v>
      </c>
      <c r="L330" s="22" t="s">
        <v>37</v>
      </c>
      <c r="M330" s="24" t="s">
        <v>10</v>
      </c>
      <c r="N330" s="22" t="str">
        <f>SUBSTITUTE(C328,",",".")</f>
        <v>1.50338551506418</v>
      </c>
      <c r="O330" s="22" t="str">
        <f>SUBSTITUTE(D328,",",".")</f>
        <v>22.28</v>
      </c>
      <c r="P330" s="22" t="str">
        <f>SUBSTITUTE(E328,",",".")</f>
        <v>29.5952213138482</v>
      </c>
      <c r="Q330" s="22" t="str">
        <f>SUBSTITUTE(F328,",",".")</f>
        <v>16.8891836240227</v>
      </c>
      <c r="R330" s="22" t="str">
        <f>SUBSTITUTE(G328,",",".")</f>
        <v>-0.22</v>
      </c>
      <c r="S330" s="22" t="str">
        <f>SUBSTITUTE(H328,",",".")</f>
        <v>4.65</v>
      </c>
      <c r="T330" s="22" t="str">
        <f>SUBSTITUTE(I328,",",".")</f>
        <v>1.52765562106863</v>
      </c>
      <c r="U330" s="22" t="str">
        <f>SUBSTITUTE(J328,",",".")</f>
        <v>2.51</v>
      </c>
    </row>
    <row r="331" spans="1:24" x14ac:dyDescent="0.25">
      <c r="A331" t="s">
        <v>37</v>
      </c>
      <c r="B331" s="1" t="s">
        <v>13</v>
      </c>
      <c r="C331">
        <v>-7.6224365840525801</v>
      </c>
      <c r="D331" s="17">
        <v>18.489999999999998</v>
      </c>
      <c r="E331">
        <v>15.810149793424644</v>
      </c>
      <c r="F331">
        <v>16.878627143299791</v>
      </c>
      <c r="G331" s="17">
        <v>-4.83</v>
      </c>
      <c r="H331" s="17">
        <v>9.56</v>
      </c>
      <c r="I331">
        <v>6.6606467573507429</v>
      </c>
      <c r="J331" s="17">
        <v>1.7</v>
      </c>
      <c r="L331" s="22" t="s">
        <v>37</v>
      </c>
      <c r="M331" s="24" t="s">
        <v>11</v>
      </c>
      <c r="N331" s="22" t="str">
        <f>SUBSTITUTE(C329,",",".")</f>
        <v>8.03911786340598</v>
      </c>
      <c r="O331" s="22" t="str">
        <f>SUBSTITUTE(D329,",",".")</f>
        <v>21.08</v>
      </c>
      <c r="P331" s="22" t="str">
        <f>SUBSTITUTE(E329,",",".")</f>
        <v>28.03474187601</v>
      </c>
      <c r="Q331" s="22" t="str">
        <f>SUBSTITUTE(F329,",",".")</f>
        <v>16.9519514995203</v>
      </c>
      <c r="R331" s="22" t="str">
        <f>SUBSTITUTE(G329,",",".")</f>
        <v>0.02</v>
      </c>
      <c r="S331" s="22" t="str">
        <f>SUBSTITUTE(H329,",",".")</f>
        <v>5.63</v>
      </c>
      <c r="T331" s="22" t="str">
        <f>SUBSTITUTE(I329,",",".")</f>
        <v>1.23659081201988</v>
      </c>
      <c r="U331" s="22" t="str">
        <f>SUBSTITUTE(J329,",",".")</f>
        <v>2.56</v>
      </c>
    </row>
    <row r="332" spans="1:24" x14ac:dyDescent="0.25">
      <c r="A332" t="s">
        <v>37</v>
      </c>
      <c r="B332" s="1" t="s">
        <v>14</v>
      </c>
      <c r="C332">
        <v>-3.6732071688143337</v>
      </c>
      <c r="D332" s="17">
        <v>18.25</v>
      </c>
      <c r="E332">
        <v>13.173541111032328</v>
      </c>
      <c r="F332">
        <v>16.8586940520836</v>
      </c>
      <c r="G332" s="17">
        <v>-3.82</v>
      </c>
      <c r="H332" s="17">
        <v>7.02</v>
      </c>
      <c r="I332">
        <v>4.2256387544336915</v>
      </c>
      <c r="J332" s="17">
        <v>1.63</v>
      </c>
      <c r="L332" s="22" t="s">
        <v>37</v>
      </c>
      <c r="M332" s="24" t="s">
        <v>12</v>
      </c>
      <c r="N332" s="22" t="str">
        <f>SUBSTITUTE(C330,",",".")</f>
        <v>1.27953693911408</v>
      </c>
      <c r="O332" s="22" t="str">
        <f>SUBSTITUTE(D330,",",".")</f>
        <v>20.36</v>
      </c>
      <c r="P332" s="22" t="str">
        <f>SUBSTITUTE(E330,",",".")</f>
        <v>19.9915364674008</v>
      </c>
      <c r="Q332" s="22" t="str">
        <f>SUBSTITUTE(F330,",",".")</f>
        <v>16.8753638748991</v>
      </c>
      <c r="R332" s="22" t="str">
        <f>SUBSTITUTE(G330,",",".")</f>
        <v>-0.34</v>
      </c>
      <c r="S332" s="22" t="str">
        <f>SUBSTITUTE(H330,",",".")</f>
        <v>8.41</v>
      </c>
      <c r="T332" s="22" t="str">
        <f>SUBSTITUTE(I330,",",".")</f>
        <v>4.92552392006206</v>
      </c>
      <c r="U332" s="22" t="str">
        <f>SUBSTITUTE(J330,",",".")</f>
        <v>1.82</v>
      </c>
    </row>
    <row r="333" spans="1:24" x14ac:dyDescent="0.25">
      <c r="A333" t="s">
        <v>37</v>
      </c>
      <c r="B333" s="1" t="s">
        <v>15</v>
      </c>
      <c r="C333">
        <v>-5.8283264561576198</v>
      </c>
      <c r="D333" s="18">
        <v>24.53</v>
      </c>
      <c r="E333">
        <v>19.301245511730983</v>
      </c>
      <c r="F333">
        <v>16.722285926852763</v>
      </c>
      <c r="G333" s="17">
        <v>-1.24</v>
      </c>
      <c r="H333" s="18">
        <v>4.66</v>
      </c>
      <c r="I333">
        <v>5.5095891536772053</v>
      </c>
      <c r="J333" s="18">
        <v>1.61</v>
      </c>
      <c r="L333" s="22" t="s">
        <v>37</v>
      </c>
      <c r="M333" s="24" t="s">
        <v>13</v>
      </c>
      <c r="N333" s="22" t="str">
        <f>SUBSTITUTE(C331,",",".")</f>
        <v>-7.62243658405258</v>
      </c>
      <c r="O333" s="22" t="str">
        <f>SUBSTITUTE(D331,",",".")</f>
        <v>18.49</v>
      </c>
      <c r="P333" s="22" t="str">
        <f>SUBSTITUTE(E331,",",".")</f>
        <v>15.8101497934246</v>
      </c>
      <c r="Q333" s="22" t="str">
        <f>SUBSTITUTE(F331,",",".")</f>
        <v>16.8786271432998</v>
      </c>
      <c r="R333" s="22" t="str">
        <f>SUBSTITUTE(G331,",",".")</f>
        <v>-4.83</v>
      </c>
      <c r="S333" s="22" t="str">
        <f>SUBSTITUTE(H331,",",".")</f>
        <v>9.56</v>
      </c>
      <c r="T333" s="22" t="str">
        <f>SUBSTITUTE(I331,",",".")</f>
        <v>6.66064675735074</v>
      </c>
      <c r="U333" s="22" t="str">
        <f>SUBSTITUTE(J331,",",".")</f>
        <v>1.7</v>
      </c>
    </row>
    <row r="334" spans="1:24" x14ac:dyDescent="0.25">
      <c r="A334" t="s">
        <v>37</v>
      </c>
      <c r="B334" s="1" t="s">
        <v>16</v>
      </c>
      <c r="C334">
        <v>-4.9006952964549191</v>
      </c>
      <c r="D334" s="18">
        <v>23.69</v>
      </c>
      <c r="E334">
        <v>21.332914721121398</v>
      </c>
      <c r="F334">
        <v>16.729962491627166</v>
      </c>
      <c r="G334" s="17">
        <v>-2.89</v>
      </c>
      <c r="H334" s="16">
        <v>3.22</v>
      </c>
      <c r="I334">
        <v>4.0521846897949398</v>
      </c>
      <c r="J334" s="18">
        <v>2.42</v>
      </c>
      <c r="L334" s="22" t="s">
        <v>37</v>
      </c>
      <c r="M334" s="24" t="s">
        <v>14</v>
      </c>
      <c r="N334" s="22" t="str">
        <f>SUBSTITUTE(C332,",",".")</f>
        <v>-3.67320716881433</v>
      </c>
      <c r="O334" s="22" t="str">
        <f>SUBSTITUTE(D332,",",".")</f>
        <v>18.25</v>
      </c>
      <c r="P334" s="22" t="str">
        <f>SUBSTITUTE(E332,",",".")</f>
        <v>13.1735411110323</v>
      </c>
      <c r="Q334" s="22" t="str">
        <f>SUBSTITUTE(F332,",",".")</f>
        <v>16.8586940520836</v>
      </c>
      <c r="R334" s="22" t="str">
        <f>SUBSTITUTE(G332,",",".")</f>
        <v>-3.82</v>
      </c>
      <c r="S334" s="22" t="str">
        <f>SUBSTITUTE(H332,",",".")</f>
        <v>7.02</v>
      </c>
      <c r="T334" s="22" t="str">
        <f>SUBSTITUTE(I332,",",".")</f>
        <v>4.22563875443369</v>
      </c>
      <c r="U334" s="22" t="str">
        <f>SUBSTITUTE(J332,",",".")</f>
        <v>1.63</v>
      </c>
    </row>
    <row r="335" spans="1:24" x14ac:dyDescent="0.25">
      <c r="A335" t="s">
        <v>37</v>
      </c>
      <c r="B335" s="1" t="s">
        <v>17</v>
      </c>
      <c r="C335">
        <v>0.94841010575720652</v>
      </c>
      <c r="D335" s="18">
        <v>21.61</v>
      </c>
      <c r="E335">
        <v>18.156519835126542</v>
      </c>
      <c r="F335">
        <v>16.650246624442968</v>
      </c>
      <c r="G335" s="17">
        <v>-6.13</v>
      </c>
      <c r="H335" s="18">
        <v>7.56</v>
      </c>
      <c r="I335">
        <v>7.3627607439510578</v>
      </c>
      <c r="J335" s="18">
        <v>2.2400000000000002</v>
      </c>
      <c r="L335" s="22" t="s">
        <v>37</v>
      </c>
      <c r="M335" s="24" t="s">
        <v>15</v>
      </c>
      <c r="N335" s="22" t="str">
        <f>SUBSTITUTE(C333,",",".")</f>
        <v>-5.82832645615762</v>
      </c>
      <c r="O335" s="22" t="str">
        <f>SUBSTITUTE(D333,",",".")</f>
        <v>24.53</v>
      </c>
      <c r="P335" s="22" t="str">
        <f>SUBSTITUTE(E333,",",".")</f>
        <v>19.301245511731</v>
      </c>
      <c r="Q335" s="22" t="str">
        <f>SUBSTITUTE(F333,",",".")</f>
        <v>16.7222859268528</v>
      </c>
      <c r="R335" s="22" t="str">
        <f>SUBSTITUTE(G333,",",".")</f>
        <v>-1.24</v>
      </c>
      <c r="S335" s="22" t="str">
        <f>SUBSTITUTE(H333,",",".")</f>
        <v>4.66</v>
      </c>
      <c r="T335" s="22" t="str">
        <f>SUBSTITUTE(I333,",",".")</f>
        <v>5.50958915367721</v>
      </c>
      <c r="U335" s="22" t="str">
        <f>SUBSTITUTE(J333,",",".")</f>
        <v>1.61</v>
      </c>
    </row>
    <row r="336" spans="1:24" x14ac:dyDescent="0.25">
      <c r="A336" t="s">
        <v>37</v>
      </c>
      <c r="B336" s="1" t="s">
        <v>18</v>
      </c>
      <c r="C336">
        <v>-5.3156557704199692</v>
      </c>
      <c r="D336" s="18">
        <v>20.59</v>
      </c>
      <c r="E336">
        <v>20.081401504422946</v>
      </c>
      <c r="F336">
        <v>16.63996666914279</v>
      </c>
      <c r="G336" s="17">
        <v>-4.1100000000000003</v>
      </c>
      <c r="H336" s="18">
        <v>7.77</v>
      </c>
      <c r="I336">
        <v>7.6020472979823808</v>
      </c>
      <c r="J336" s="18">
        <v>2.37</v>
      </c>
      <c r="L336" s="22" t="s">
        <v>37</v>
      </c>
      <c r="M336" s="24" t="s">
        <v>16</v>
      </c>
      <c r="N336" s="22" t="str">
        <f>SUBSTITUTE(C334,",",".")</f>
        <v>-4.90069529645492</v>
      </c>
      <c r="O336" s="22" t="str">
        <f>SUBSTITUTE(D334,",",".")</f>
        <v>23.69</v>
      </c>
      <c r="P336" s="22" t="str">
        <f>SUBSTITUTE(E334,",",".")</f>
        <v>21.3329147211214</v>
      </c>
      <c r="Q336" s="22" t="str">
        <f>SUBSTITUTE(F334,",",".")</f>
        <v>16.7299624916272</v>
      </c>
      <c r="R336" s="22" t="str">
        <f>SUBSTITUTE(G334,",",".")</f>
        <v>-2.89</v>
      </c>
      <c r="S336" s="22" t="str">
        <f>SUBSTITUTE(H334,",",".")</f>
        <v>3.22</v>
      </c>
      <c r="T336" s="22" t="str">
        <f>SUBSTITUTE(I334,",",".")</f>
        <v>4.05218468979494</v>
      </c>
      <c r="U336" s="22" t="str">
        <f>SUBSTITUTE(J334,",",".")</f>
        <v>2.42</v>
      </c>
    </row>
    <row r="337" spans="1:21" x14ac:dyDescent="0.25">
      <c r="A337" t="s">
        <v>37</v>
      </c>
      <c r="B337" s="1" t="s">
        <v>19</v>
      </c>
      <c r="C337">
        <v>-9.9667895769995702</v>
      </c>
      <c r="D337" s="18">
        <v>29.92</v>
      </c>
      <c r="E337">
        <v>20.462415474100059</v>
      </c>
      <c r="F337">
        <v>16.689161465009352</v>
      </c>
      <c r="G337" s="17">
        <v>-8.5</v>
      </c>
      <c r="H337" s="18">
        <v>0.08</v>
      </c>
      <c r="I337">
        <v>3.2911455963667513</v>
      </c>
      <c r="J337" s="18">
        <v>2.34</v>
      </c>
      <c r="L337" s="22" t="s">
        <v>37</v>
      </c>
      <c r="M337" s="24" t="s">
        <v>17</v>
      </c>
      <c r="N337" s="22" t="str">
        <f>SUBSTITUTE(C335,",",".")</f>
        <v>0.948410105757207</v>
      </c>
      <c r="O337" s="22" t="str">
        <f>SUBSTITUTE(D335,",",".")</f>
        <v>21.61</v>
      </c>
      <c r="P337" s="22" t="str">
        <f>SUBSTITUTE(E335,",",".")</f>
        <v>18.1565198351265</v>
      </c>
      <c r="Q337" s="22" t="str">
        <f>SUBSTITUTE(F335,",",".")</f>
        <v>16.650246624443</v>
      </c>
      <c r="R337" s="22" t="str">
        <f>SUBSTITUTE(G335,",",".")</f>
        <v>-6.13</v>
      </c>
      <c r="S337" s="22" t="str">
        <f>SUBSTITUTE(H335,",",".")</f>
        <v>7.56</v>
      </c>
      <c r="T337" s="22" t="str">
        <f>SUBSTITUTE(I335,",",".")</f>
        <v>7.36276074395106</v>
      </c>
      <c r="U337" s="22" t="str">
        <f>SUBSTITUTE(J335,",",".")</f>
        <v>2.24</v>
      </c>
    </row>
    <row r="338" spans="1:21" x14ac:dyDescent="0.25">
      <c r="A338" t="s">
        <v>37</v>
      </c>
      <c r="B338" s="1" t="s">
        <v>20</v>
      </c>
      <c r="C338">
        <v>3.4709225352401325</v>
      </c>
      <c r="D338" s="18" t="s">
        <v>579</v>
      </c>
      <c r="E338">
        <v>21.074367262345934</v>
      </c>
      <c r="F338">
        <v>16.676906543623865</v>
      </c>
      <c r="G338" s="17" t="s">
        <v>561</v>
      </c>
      <c r="H338" s="18" t="s">
        <v>580</v>
      </c>
      <c r="I338">
        <v>3.0442648110483814</v>
      </c>
      <c r="J338" s="18" t="s">
        <v>267</v>
      </c>
      <c r="L338" s="22" t="s">
        <v>37</v>
      </c>
      <c r="M338" s="24" t="s">
        <v>18</v>
      </c>
      <c r="N338" s="22" t="str">
        <f>SUBSTITUTE(C336,",",".")</f>
        <v>-5.31565577041997</v>
      </c>
      <c r="O338" s="22" t="str">
        <f>SUBSTITUTE(D336,",",".")</f>
        <v>20.59</v>
      </c>
      <c r="P338" s="22" t="str">
        <f>SUBSTITUTE(E336,",",".")</f>
        <v>20.0814015044229</v>
      </c>
      <c r="Q338" s="22" t="str">
        <f>SUBSTITUTE(F336,",",".")</f>
        <v>16.6399666691428</v>
      </c>
      <c r="R338" s="22" t="str">
        <f>SUBSTITUTE(G336,",",".")</f>
        <v>-4.11</v>
      </c>
      <c r="S338" s="22" t="str">
        <f>SUBSTITUTE(H336,",",".")</f>
        <v>7.77</v>
      </c>
      <c r="T338" s="22" t="str">
        <f>SUBSTITUTE(I336,",",".")</f>
        <v>7.60204729798238</v>
      </c>
      <c r="U338" s="22" t="str">
        <f>SUBSTITUTE(J336,",",".")</f>
        <v>2.37</v>
      </c>
    </row>
    <row r="339" spans="1:21" x14ac:dyDescent="0.25">
      <c r="A339" t="s">
        <v>37</v>
      </c>
      <c r="B339" s="1" t="s">
        <v>21</v>
      </c>
      <c r="C339">
        <v>-2.9103898111597952</v>
      </c>
      <c r="D339" s="18" t="s">
        <v>582</v>
      </c>
      <c r="E339">
        <v>16.958003339493029</v>
      </c>
      <c r="F339">
        <v>16.575179490493657</v>
      </c>
      <c r="G339" s="17" t="s">
        <v>505</v>
      </c>
      <c r="H339" s="18" t="s">
        <v>580</v>
      </c>
      <c r="I339">
        <v>4.5298243921137971</v>
      </c>
      <c r="J339" s="18" t="s">
        <v>583</v>
      </c>
      <c r="L339" s="22" t="s">
        <v>37</v>
      </c>
      <c r="M339" s="24" t="s">
        <v>19</v>
      </c>
      <c r="N339" s="22" t="str">
        <f>SUBSTITUTE(C337,",",".")</f>
        <v>-9.96678957699957</v>
      </c>
      <c r="O339" s="22" t="str">
        <f>SUBSTITUTE(D337,",",".")</f>
        <v>29.92</v>
      </c>
      <c r="P339" s="22" t="str">
        <f>SUBSTITUTE(E337,",",".")</f>
        <v>20.4624154741001</v>
      </c>
      <c r="Q339" s="22" t="str">
        <f>SUBSTITUTE(F337,",",".")</f>
        <v>16.6891614650094</v>
      </c>
      <c r="R339" s="22" t="str">
        <f>SUBSTITUTE(G337,",",".")</f>
        <v>-8.5</v>
      </c>
      <c r="S339" s="22" t="str">
        <f>SUBSTITUTE(H337,",",".")</f>
        <v>0.08</v>
      </c>
      <c r="T339" s="22" t="str">
        <f>SUBSTITUTE(I337,",",".")</f>
        <v>3.29114559636675</v>
      </c>
      <c r="U339" s="22" t="str">
        <f>SUBSTITUTE(J337,",",".")</f>
        <v>2.34</v>
      </c>
    </row>
    <row r="340" spans="1:21" x14ac:dyDescent="0.25">
      <c r="A340" t="s">
        <v>37</v>
      </c>
      <c r="B340" s="1" t="s">
        <v>22</v>
      </c>
      <c r="C340">
        <v>-3.4902678127623079</v>
      </c>
      <c r="D340" s="18" t="s">
        <v>585</v>
      </c>
      <c r="E340">
        <v>19.266008564838717</v>
      </c>
      <c r="F340">
        <v>16.586087445320718</v>
      </c>
      <c r="G340" s="17">
        <v>-2.8</v>
      </c>
      <c r="H340" s="18" t="s">
        <v>587</v>
      </c>
      <c r="I340">
        <v>9.1392940454778984</v>
      </c>
      <c r="J340" s="18" t="s">
        <v>586</v>
      </c>
      <c r="L340" s="22" t="s">
        <v>37</v>
      </c>
      <c r="M340" s="24" t="s">
        <v>20</v>
      </c>
      <c r="N340" s="22" t="str">
        <f>SUBSTITUTE(C338,",",".")</f>
        <v>3.47092253524013</v>
      </c>
      <c r="O340" s="22" t="str">
        <f>SUBSTITUTE(D338,",",".")</f>
        <v>30.74</v>
      </c>
      <c r="P340" s="22" t="str">
        <f>SUBSTITUTE(E338,",",".")</f>
        <v>21.0743672623459</v>
      </c>
      <c r="Q340" s="22" t="str">
        <f>SUBSTITUTE(F338,",",".")</f>
        <v>16.6769065436239</v>
      </c>
      <c r="R340" s="22" t="str">
        <f>SUBSTITUTE(G338,",",".")</f>
        <v>0.83</v>
      </c>
      <c r="S340" s="22" t="str">
        <f>SUBSTITUTE(H338,",",".")</f>
        <v>0.07</v>
      </c>
      <c r="T340" s="22" t="str">
        <f>SUBSTITUTE(I338,",",".")</f>
        <v>3.04426481104838</v>
      </c>
      <c r="U340" s="22" t="str">
        <f>SUBSTITUTE(J338,",",".")</f>
        <v>3.03</v>
      </c>
    </row>
    <row r="341" spans="1:21" x14ac:dyDescent="0.25">
      <c r="A341" t="s">
        <v>37</v>
      </c>
      <c r="B341" s="1" t="s">
        <v>23</v>
      </c>
      <c r="C341">
        <v>2.122501342555899</v>
      </c>
      <c r="D341" s="16">
        <v>38.590000000000003</v>
      </c>
      <c r="E341">
        <v>57.798646379001319</v>
      </c>
      <c r="F341">
        <v>16.631941927954291</v>
      </c>
      <c r="G341" s="17">
        <v>-2.42</v>
      </c>
      <c r="H341" s="18" t="s">
        <v>416</v>
      </c>
      <c r="I341">
        <v>4.2032342363321176</v>
      </c>
      <c r="J341" s="18" t="s">
        <v>303</v>
      </c>
      <c r="L341" s="22" t="s">
        <v>37</v>
      </c>
      <c r="M341" s="24" t="s">
        <v>21</v>
      </c>
      <c r="N341" s="22" t="str">
        <f>SUBSTITUTE(C339,",",".")</f>
        <v>-2.9103898111598</v>
      </c>
      <c r="O341" s="22" t="str">
        <f>SUBSTITUTE(D339,",",".")</f>
        <v>31.36</v>
      </c>
      <c r="P341" s="22" t="str">
        <f>SUBSTITUTE(E339,",",".")</f>
        <v>16.958003339493</v>
      </c>
      <c r="Q341" s="22" t="str">
        <f>SUBSTITUTE(F339,",",".")</f>
        <v>16.5751794904937</v>
      </c>
      <c r="R341" s="22" t="str">
        <f>SUBSTITUTE(G339,",",".")</f>
        <v>0.61</v>
      </c>
      <c r="S341" s="22" t="str">
        <f>SUBSTITUTE(H339,",",".")</f>
        <v>0.07</v>
      </c>
      <c r="T341" s="22" t="str">
        <f>SUBSTITUTE(I339,",",".")</f>
        <v>4.5298243921138</v>
      </c>
      <c r="U341" s="22" t="str">
        <f>SUBSTITUTE(J339,",",".")</f>
        <v>3.10</v>
      </c>
    </row>
    <row r="342" spans="1:21" x14ac:dyDescent="0.25">
      <c r="A342" t="s">
        <v>42</v>
      </c>
      <c r="B342" s="1" t="s">
        <v>4</v>
      </c>
      <c r="C342">
        <v>3.2508607645945702</v>
      </c>
      <c r="D342" s="17">
        <v>15.58</v>
      </c>
      <c r="E342">
        <v>19.309474313654171</v>
      </c>
      <c r="F342">
        <v>16.587310531723741</v>
      </c>
      <c r="G342" s="17">
        <v>0.46</v>
      </c>
      <c r="H342" s="17">
        <v>3.1</v>
      </c>
      <c r="I342">
        <v>1.072704814052045</v>
      </c>
      <c r="J342" s="16">
        <v>4.24</v>
      </c>
      <c r="L342" s="22" t="s">
        <v>37</v>
      </c>
      <c r="M342" s="24" t="s">
        <v>22</v>
      </c>
      <c r="N342" s="22" t="str">
        <f>SUBSTITUTE(C340,",",".")</f>
        <v>-3.49026781276231</v>
      </c>
      <c r="O342" s="22" t="str">
        <f>SUBSTITUTE(D340,",",".")</f>
        <v>29.93</v>
      </c>
      <c r="P342" s="22" t="str">
        <f>SUBSTITUTE(E340,",",".")</f>
        <v>19.2660085648387</v>
      </c>
      <c r="Q342" s="22" t="str">
        <f>SUBSTITUTE(F340,",",".")</f>
        <v>16.5860874453207</v>
      </c>
      <c r="R342" s="22" t="str">
        <f>SUBSTITUTE(G340,",",".")</f>
        <v>-2.8</v>
      </c>
      <c r="S342" s="22" t="str">
        <f>SUBSTITUTE(H340,",",".")</f>
        <v>5.80</v>
      </c>
      <c r="T342" s="22" t="str">
        <f>SUBSTITUTE(I340,",",".")</f>
        <v>9.1392940454779</v>
      </c>
      <c r="U342" s="22" t="str">
        <f>SUBSTITUTE(J340,",",".")</f>
        <v>3.15</v>
      </c>
    </row>
    <row r="343" spans="1:21" x14ac:dyDescent="0.25">
      <c r="A343" t="s">
        <v>42</v>
      </c>
      <c r="B343" s="1" t="s">
        <v>5</v>
      </c>
      <c r="C343">
        <v>4.176703964893262</v>
      </c>
      <c r="D343" s="17">
        <v>15.73</v>
      </c>
      <c r="E343">
        <v>20.197238388369701</v>
      </c>
      <c r="F343">
        <v>16.563386161153428</v>
      </c>
      <c r="G343" s="17">
        <v>0.66</v>
      </c>
      <c r="H343" s="17">
        <v>3.22</v>
      </c>
      <c r="I343">
        <v>1.1121191728874582</v>
      </c>
      <c r="J343" s="16">
        <v>4.37</v>
      </c>
      <c r="L343" s="22" t="s">
        <v>37</v>
      </c>
      <c r="M343" s="24" t="s">
        <v>23</v>
      </c>
      <c r="N343" s="22" t="str">
        <f>SUBSTITUTE(C341,",",".")</f>
        <v>2.1225013425559</v>
      </c>
      <c r="O343" s="22" t="str">
        <f>SUBSTITUTE(D341,",",".")</f>
        <v>38.59</v>
      </c>
      <c r="P343" s="22" t="str">
        <f>SUBSTITUTE(E341,",",".")</f>
        <v>57.7986463790013</v>
      </c>
      <c r="Q343" s="22" t="str">
        <f>SUBSTITUTE(F341,",",".")</f>
        <v>16.6319419279543</v>
      </c>
      <c r="R343" s="22" t="str">
        <f>SUBSTITUTE(G341,",",".")</f>
        <v>-2.42</v>
      </c>
      <c r="S343" s="22" t="str">
        <f>SUBSTITUTE(H341,",",".")</f>
        <v>0.38</v>
      </c>
      <c r="T343" s="22" t="str">
        <f>SUBSTITUTE(I341,",",".")</f>
        <v>4.20323423633212</v>
      </c>
      <c r="U343" s="22" t="str">
        <f>SUBSTITUTE(J341,",",".")</f>
        <v>3.19</v>
      </c>
    </row>
    <row r="344" spans="1:21" x14ac:dyDescent="0.25">
      <c r="A344" t="s">
        <v>42</v>
      </c>
      <c r="B344" s="1" t="s">
        <v>6</v>
      </c>
      <c r="C344">
        <v>1.6281127483481161</v>
      </c>
      <c r="D344" s="17">
        <v>15.94</v>
      </c>
      <c r="E344">
        <v>19.612918543160649</v>
      </c>
      <c r="F344">
        <v>16.562312580255828</v>
      </c>
      <c r="G344" s="17">
        <v>0.76</v>
      </c>
      <c r="H344" s="17">
        <v>3.21</v>
      </c>
      <c r="I344">
        <v>1.1142454977576106</v>
      </c>
      <c r="J344" s="16">
        <v>4.43</v>
      </c>
      <c r="L344" s="22" t="s">
        <v>42</v>
      </c>
      <c r="M344" s="24" t="s">
        <v>4</v>
      </c>
      <c r="N344" s="22" t="str">
        <f>SUBSTITUTE(C342,",",".")</f>
        <v>3.25086076459457</v>
      </c>
      <c r="O344" s="22" t="str">
        <f>SUBSTITUTE(D342,",",".")</f>
        <v>15.58</v>
      </c>
      <c r="P344" s="22" t="str">
        <f>SUBSTITUTE(E342,",",".")</f>
        <v>19.3094743136542</v>
      </c>
      <c r="Q344" s="22" t="str">
        <f>SUBSTITUTE(F342,",",".")</f>
        <v>16.5873105317237</v>
      </c>
      <c r="R344" s="22" t="str">
        <f>SUBSTITUTE(G342,",",".")</f>
        <v>0.46</v>
      </c>
      <c r="S344" s="22" t="str">
        <f>SUBSTITUTE(H342,",",".")</f>
        <v>3.1</v>
      </c>
      <c r="T344" s="22" t="str">
        <f>SUBSTITUTE(I342,",",".")</f>
        <v>1.07270481405204</v>
      </c>
      <c r="U344" s="22" t="str">
        <f>SUBSTITUTE(J342,",",".")</f>
        <v>4.24</v>
      </c>
    </row>
    <row r="345" spans="1:21" x14ac:dyDescent="0.25">
      <c r="A345" t="s">
        <v>42</v>
      </c>
      <c r="B345" s="1" t="s">
        <v>7</v>
      </c>
      <c r="C345">
        <v>4.5156341106684605</v>
      </c>
      <c r="D345" s="17">
        <v>15.69</v>
      </c>
      <c r="E345">
        <v>18.087481768769376</v>
      </c>
      <c r="F345">
        <v>16.587628857072442</v>
      </c>
      <c r="G345" s="17">
        <v>0.86</v>
      </c>
      <c r="H345" s="17">
        <v>2.54</v>
      </c>
      <c r="I345">
        <v>1.0833585699995862</v>
      </c>
      <c r="J345" s="16">
        <v>4.26</v>
      </c>
      <c r="L345" s="22" t="s">
        <v>42</v>
      </c>
      <c r="M345" s="24" t="s">
        <v>5</v>
      </c>
      <c r="N345" s="22" t="str">
        <f>SUBSTITUTE(C343,",",".")</f>
        <v>4.17670396489326</v>
      </c>
      <c r="O345" s="22" t="str">
        <f>SUBSTITUTE(D343,",",".")</f>
        <v>15.73</v>
      </c>
      <c r="P345" s="22" t="str">
        <f>SUBSTITUTE(E343,",",".")</f>
        <v>20.1972383883697</v>
      </c>
      <c r="Q345" s="22" t="str">
        <f>SUBSTITUTE(F343,",",".")</f>
        <v>16.5633861611534</v>
      </c>
      <c r="R345" s="22" t="str">
        <f>SUBSTITUTE(G343,",",".")</f>
        <v>0.66</v>
      </c>
      <c r="S345" s="22" t="str">
        <f>SUBSTITUTE(H343,",",".")</f>
        <v>3.22</v>
      </c>
      <c r="T345" s="22" t="str">
        <f>SUBSTITUTE(I343,",",".")</f>
        <v>1.11211917288746</v>
      </c>
      <c r="U345" s="22" t="str">
        <f>SUBSTITUTE(J343,",",".")</f>
        <v>4.37</v>
      </c>
    </row>
    <row r="346" spans="1:21" x14ac:dyDescent="0.25">
      <c r="A346" t="s">
        <v>42</v>
      </c>
      <c r="B346" s="1" t="s">
        <v>8</v>
      </c>
      <c r="C346">
        <v>-1.9572744538967231</v>
      </c>
      <c r="D346" s="17">
        <v>15.17</v>
      </c>
      <c r="E346">
        <v>17.534087312234991</v>
      </c>
      <c r="F346">
        <v>16.560193189606924</v>
      </c>
      <c r="G346" s="17">
        <v>0.4</v>
      </c>
      <c r="H346" s="17">
        <v>2.82</v>
      </c>
      <c r="I346">
        <v>1.1860488198410255</v>
      </c>
      <c r="J346" s="16">
        <v>4.04</v>
      </c>
      <c r="L346" s="22" t="s">
        <v>42</v>
      </c>
      <c r="M346" s="24" t="s">
        <v>6</v>
      </c>
      <c r="N346" s="22" t="str">
        <f>SUBSTITUTE(C344,",",".")</f>
        <v>1.62811274834812</v>
      </c>
      <c r="O346" s="22" t="str">
        <f>SUBSTITUTE(D344,",",".")</f>
        <v>15.94</v>
      </c>
      <c r="P346" s="22" t="str">
        <f>SUBSTITUTE(E344,",",".")</f>
        <v>19.6129185431606</v>
      </c>
      <c r="Q346" s="22" t="str">
        <f>SUBSTITUTE(F344,",",".")</f>
        <v>16.5623125802558</v>
      </c>
      <c r="R346" s="22" t="str">
        <f>SUBSTITUTE(G344,",",".")</f>
        <v>0.76</v>
      </c>
      <c r="S346" s="22" t="str">
        <f>SUBSTITUTE(H344,",",".")</f>
        <v>3.21</v>
      </c>
      <c r="T346" s="22" t="str">
        <f>SUBSTITUTE(I344,",",".")</f>
        <v>1.11424549775761</v>
      </c>
      <c r="U346" s="22" t="str">
        <f>SUBSTITUTE(J344,",",".")</f>
        <v>4.43</v>
      </c>
    </row>
    <row r="347" spans="1:21" x14ac:dyDescent="0.25">
      <c r="A347" t="s">
        <v>42</v>
      </c>
      <c r="B347" s="1" t="s">
        <v>9</v>
      </c>
      <c r="C347">
        <v>7.2857473869220355</v>
      </c>
      <c r="D347" s="17">
        <v>17.48</v>
      </c>
      <c r="E347">
        <v>16.470136175463104</v>
      </c>
      <c r="F347">
        <v>16.599418537511092</v>
      </c>
      <c r="G347" s="17">
        <v>0.39</v>
      </c>
      <c r="H347" s="17">
        <v>2.6</v>
      </c>
      <c r="I347">
        <v>1.116393748102827</v>
      </c>
      <c r="J347" s="16">
        <v>3.99</v>
      </c>
      <c r="L347" s="22" t="s">
        <v>42</v>
      </c>
      <c r="M347" s="24" t="s">
        <v>7</v>
      </c>
      <c r="N347" s="22" t="str">
        <f>SUBSTITUTE(C345,",",".")</f>
        <v>4.51563411066846</v>
      </c>
      <c r="O347" s="22" t="str">
        <f>SUBSTITUTE(D345,",",".")</f>
        <v>15.69</v>
      </c>
      <c r="P347" s="22" t="str">
        <f>SUBSTITUTE(E345,",",".")</f>
        <v>18.0874817687694</v>
      </c>
      <c r="Q347" s="22" t="str">
        <f>SUBSTITUTE(F345,",",".")</f>
        <v>16.5876288570724</v>
      </c>
      <c r="R347" s="22" t="str">
        <f>SUBSTITUTE(G345,",",".")</f>
        <v>0.86</v>
      </c>
      <c r="S347" s="22" t="str">
        <f>SUBSTITUTE(H345,",",".")</f>
        <v>2.54</v>
      </c>
      <c r="T347" s="22" t="str">
        <f>SUBSTITUTE(I345,",",".")</f>
        <v>1.08335856999959</v>
      </c>
      <c r="U347" s="22" t="str">
        <f>SUBSTITUTE(J345,",",".")</f>
        <v>4.26</v>
      </c>
    </row>
    <row r="348" spans="1:21" x14ac:dyDescent="0.25">
      <c r="A348" t="s">
        <v>42</v>
      </c>
      <c r="B348" s="1" t="s">
        <v>10</v>
      </c>
      <c r="C348">
        <v>7.5678438961564005</v>
      </c>
      <c r="D348" s="17">
        <v>16.77</v>
      </c>
      <c r="E348">
        <v>17.85931764000339</v>
      </c>
      <c r="F348">
        <v>16.711349952168334</v>
      </c>
      <c r="G348" s="17">
        <v>0.46</v>
      </c>
      <c r="H348" s="17">
        <v>2.75</v>
      </c>
      <c r="I348">
        <v>1.0390674263299842</v>
      </c>
      <c r="J348" s="16">
        <v>3.78</v>
      </c>
      <c r="L348" s="22" t="s">
        <v>42</v>
      </c>
      <c r="M348" s="24" t="s">
        <v>8</v>
      </c>
      <c r="N348" s="22" t="str">
        <f>SUBSTITUTE(C346,",",".")</f>
        <v>-1.95727445389672</v>
      </c>
      <c r="O348" s="22" t="str">
        <f>SUBSTITUTE(D346,",",".")</f>
        <v>15.17</v>
      </c>
      <c r="P348" s="22" t="str">
        <f>SUBSTITUTE(E346,",",".")</f>
        <v>17.534087312235</v>
      </c>
      <c r="Q348" s="22" t="str">
        <f>SUBSTITUTE(F346,",",".")</f>
        <v>16.5601931896069</v>
      </c>
      <c r="R348" s="22" t="str">
        <f>SUBSTITUTE(G346,",",".")</f>
        <v>0.4</v>
      </c>
      <c r="S348" s="22" t="str">
        <f>SUBSTITUTE(H346,",",".")</f>
        <v>2.82</v>
      </c>
      <c r="T348" s="22" t="str">
        <f>SUBSTITUTE(I346,",",".")</f>
        <v>1.18604881984103</v>
      </c>
      <c r="U348" s="22" t="str">
        <f>SUBSTITUTE(J346,",",".")</f>
        <v>4.04</v>
      </c>
    </row>
    <row r="349" spans="1:21" x14ac:dyDescent="0.25">
      <c r="A349" t="s">
        <v>42</v>
      </c>
      <c r="B349" s="1" t="s">
        <v>11</v>
      </c>
      <c r="C349">
        <v>6.0393417370086731</v>
      </c>
      <c r="D349" s="17">
        <v>17.38</v>
      </c>
      <c r="E349">
        <v>16.231313067372145</v>
      </c>
      <c r="F349">
        <v>16.754338244285147</v>
      </c>
      <c r="G349" s="17">
        <v>0.71</v>
      </c>
      <c r="H349" s="17">
        <v>2.62</v>
      </c>
      <c r="I349">
        <v>1.0065294638375595</v>
      </c>
      <c r="J349" s="16">
        <v>3.83</v>
      </c>
      <c r="L349" s="22" t="s">
        <v>42</v>
      </c>
      <c r="M349" s="24" t="s">
        <v>9</v>
      </c>
      <c r="N349" s="22" t="str">
        <f>SUBSTITUTE(C347,",",".")</f>
        <v>7.28574738692204</v>
      </c>
      <c r="O349" s="22" t="str">
        <f>SUBSTITUTE(D347,",",".")</f>
        <v>17.48</v>
      </c>
      <c r="P349" s="22" t="str">
        <f>SUBSTITUTE(E347,",",".")</f>
        <v>16.4701361754631</v>
      </c>
      <c r="Q349" s="22" t="str">
        <f>SUBSTITUTE(F347,",",".")</f>
        <v>16.5994185375111</v>
      </c>
      <c r="R349" s="22" t="str">
        <f>SUBSTITUTE(G347,",",".")</f>
        <v>0.39</v>
      </c>
      <c r="S349" s="22" t="str">
        <f>SUBSTITUTE(H347,",",".")</f>
        <v>2.6</v>
      </c>
      <c r="T349" s="22" t="str">
        <f>SUBSTITUTE(I347,",",".")</f>
        <v>1.11639374810283</v>
      </c>
      <c r="U349" s="22" t="str">
        <f>SUBSTITUTE(J347,",",".")</f>
        <v>3.99</v>
      </c>
    </row>
    <row r="350" spans="1:21" x14ac:dyDescent="0.25">
      <c r="A350" t="s">
        <v>42</v>
      </c>
      <c r="B350" s="1" t="s">
        <v>12</v>
      </c>
      <c r="C350">
        <v>7.315621732129193</v>
      </c>
      <c r="D350" s="17">
        <v>16.39</v>
      </c>
      <c r="E350">
        <v>15.632205916980274</v>
      </c>
      <c r="F350">
        <v>16.816047868814234</v>
      </c>
      <c r="G350" s="17">
        <v>0.92</v>
      </c>
      <c r="H350" s="17">
        <v>2.5499999999999998</v>
      </c>
      <c r="I350">
        <v>1.1331916958580754</v>
      </c>
      <c r="J350" s="16">
        <v>3.45</v>
      </c>
      <c r="L350" s="22" t="s">
        <v>42</v>
      </c>
      <c r="M350" s="24" t="s">
        <v>10</v>
      </c>
      <c r="N350" s="22" t="str">
        <f>SUBSTITUTE(C348,",",".")</f>
        <v>7.5678438961564</v>
      </c>
      <c r="O350" s="22" t="str">
        <f>SUBSTITUTE(D348,",",".")</f>
        <v>16.77</v>
      </c>
      <c r="P350" s="22" t="str">
        <f>SUBSTITUTE(E348,",",".")</f>
        <v>17.8593176400034</v>
      </c>
      <c r="Q350" s="22" t="str">
        <f>SUBSTITUTE(F348,",",".")</f>
        <v>16.7113499521683</v>
      </c>
      <c r="R350" s="22" t="str">
        <f>SUBSTITUTE(G348,",",".")</f>
        <v>0.46</v>
      </c>
      <c r="S350" s="22" t="str">
        <f>SUBSTITUTE(H348,",",".")</f>
        <v>2.75</v>
      </c>
      <c r="T350" s="22" t="str">
        <f>SUBSTITUTE(I348,",",".")</f>
        <v>1.03906742632998</v>
      </c>
      <c r="U350" s="22" t="str">
        <f>SUBSTITUTE(J348,",",".")</f>
        <v>3.78</v>
      </c>
    </row>
    <row r="351" spans="1:21" x14ac:dyDescent="0.25">
      <c r="A351" t="s">
        <v>42</v>
      </c>
      <c r="B351" s="1" t="s">
        <v>13</v>
      </c>
      <c r="C351">
        <v>-4.4671882334343564</v>
      </c>
      <c r="D351" s="17">
        <v>16.62</v>
      </c>
      <c r="E351">
        <v>14.38931165087474</v>
      </c>
      <c r="F351">
        <v>16.764189954890547</v>
      </c>
      <c r="G351" s="17">
        <v>0.42</v>
      </c>
      <c r="H351" s="17">
        <v>3.01</v>
      </c>
      <c r="I351">
        <v>1.1902347079470745</v>
      </c>
      <c r="J351" s="16">
        <v>2.94</v>
      </c>
      <c r="L351" s="22" t="s">
        <v>42</v>
      </c>
      <c r="M351" s="24" t="s">
        <v>11</v>
      </c>
      <c r="N351" s="22" t="str">
        <f>SUBSTITUTE(C349,",",".")</f>
        <v>6.03934173700867</v>
      </c>
      <c r="O351" s="22" t="str">
        <f>SUBSTITUTE(D349,",",".")</f>
        <v>17.38</v>
      </c>
      <c r="P351" s="22" t="str">
        <f>SUBSTITUTE(E349,",",".")</f>
        <v>16.2313130673721</v>
      </c>
      <c r="Q351" s="22" t="str">
        <f>SUBSTITUTE(F349,",",".")</f>
        <v>16.7543382442851</v>
      </c>
      <c r="R351" s="22" t="str">
        <f>SUBSTITUTE(G349,",",".")</f>
        <v>0.71</v>
      </c>
      <c r="S351" s="22" t="str">
        <f>SUBSTITUTE(H349,",",".")</f>
        <v>2.62</v>
      </c>
      <c r="T351" s="22" t="str">
        <f>SUBSTITUTE(I349,",",".")</f>
        <v>1.00652946383756</v>
      </c>
      <c r="U351" s="22" t="str">
        <f>SUBSTITUTE(J349,",",".")</f>
        <v>3.83</v>
      </c>
    </row>
    <row r="352" spans="1:21" x14ac:dyDescent="0.25">
      <c r="A352" t="s">
        <v>42</v>
      </c>
      <c r="B352" s="1" t="s">
        <v>14</v>
      </c>
      <c r="C352">
        <v>5.6615382882867031</v>
      </c>
      <c r="D352" s="17">
        <v>34.46</v>
      </c>
      <c r="E352">
        <v>29.590635938085917</v>
      </c>
      <c r="F352">
        <v>17.042493709465536</v>
      </c>
      <c r="G352" s="17">
        <v>0.32</v>
      </c>
      <c r="H352" s="17">
        <v>2.98</v>
      </c>
      <c r="I352">
        <v>1.3200016466547928</v>
      </c>
      <c r="J352" s="16">
        <v>2.84</v>
      </c>
      <c r="L352" s="22" t="s">
        <v>42</v>
      </c>
      <c r="M352" s="24" t="s">
        <v>12</v>
      </c>
      <c r="N352" s="22" t="str">
        <f>SUBSTITUTE(C350,",",".")</f>
        <v>7.31562173212919</v>
      </c>
      <c r="O352" s="22" t="str">
        <f>SUBSTITUTE(D350,",",".")</f>
        <v>16.39</v>
      </c>
      <c r="P352" s="22" t="str">
        <f>SUBSTITUTE(E350,",",".")</f>
        <v>15.6322059169803</v>
      </c>
      <c r="Q352" s="22" t="str">
        <f>SUBSTITUTE(F350,",",".")</f>
        <v>16.8160478688142</v>
      </c>
      <c r="R352" s="22" t="str">
        <f>SUBSTITUTE(G350,",",".")</f>
        <v>0.92</v>
      </c>
      <c r="S352" s="22" t="str">
        <f>SUBSTITUTE(H350,",",".")</f>
        <v>2.55</v>
      </c>
      <c r="T352" s="22" t="str">
        <f>SUBSTITUTE(I350,",",".")</f>
        <v>1.13319169585808</v>
      </c>
      <c r="U352" s="22" t="str">
        <f>SUBSTITUTE(J350,",",".")</f>
        <v>3.45</v>
      </c>
    </row>
    <row r="353" spans="1:21" x14ac:dyDescent="0.25">
      <c r="A353" t="s">
        <v>42</v>
      </c>
      <c r="B353" s="1" t="s">
        <v>15</v>
      </c>
      <c r="C353">
        <v>-1.8862790357797037</v>
      </c>
      <c r="D353" s="17">
        <v>35.28</v>
      </c>
      <c r="E353">
        <v>15.808826690798739</v>
      </c>
      <c r="F353">
        <v>17.043765184057062</v>
      </c>
      <c r="G353" s="17">
        <v>0.28999999999999998</v>
      </c>
      <c r="H353" s="17">
        <v>2.94</v>
      </c>
      <c r="I353">
        <v>1.1764481436418199</v>
      </c>
      <c r="J353" s="16">
        <v>2.84</v>
      </c>
      <c r="L353" s="22" t="s">
        <v>42</v>
      </c>
      <c r="M353" s="24" t="s">
        <v>13</v>
      </c>
      <c r="N353" s="22" t="str">
        <f>SUBSTITUTE(C351,",",".")</f>
        <v>-4.46718823343436</v>
      </c>
      <c r="O353" s="22" t="str">
        <f>SUBSTITUTE(D351,",",".")</f>
        <v>16.62</v>
      </c>
      <c r="P353" s="22" t="str">
        <f>SUBSTITUTE(E351,",",".")</f>
        <v>14.3893116508747</v>
      </c>
      <c r="Q353" s="22" t="str">
        <f>SUBSTITUTE(F351,",",".")</f>
        <v>16.7641899548905</v>
      </c>
      <c r="R353" s="22" t="str">
        <f>SUBSTITUTE(G351,",",".")</f>
        <v>0.42</v>
      </c>
      <c r="S353" s="22" t="str">
        <f>SUBSTITUTE(H351,",",".")</f>
        <v>3.01</v>
      </c>
      <c r="T353" s="22" t="str">
        <f>SUBSTITUTE(I351,",",".")</f>
        <v>1.19023470794707</v>
      </c>
      <c r="U353" s="22" t="str">
        <f>SUBSTITUTE(J351,",",".")</f>
        <v>2.94</v>
      </c>
    </row>
    <row r="354" spans="1:21" x14ac:dyDescent="0.25">
      <c r="A354" t="s">
        <v>42</v>
      </c>
      <c r="B354" s="1" t="s">
        <v>16</v>
      </c>
      <c r="C354">
        <v>-3.1252730567507916</v>
      </c>
      <c r="D354" s="17">
        <v>35.24</v>
      </c>
      <c r="E354">
        <v>14.828305934602859</v>
      </c>
      <c r="F354">
        <v>17.041770691591861</v>
      </c>
      <c r="G354" s="17">
        <v>0.6</v>
      </c>
      <c r="H354" s="17">
        <v>3.04</v>
      </c>
      <c r="I354">
        <v>1.3975779389893597</v>
      </c>
      <c r="J354" s="16">
        <v>3.05</v>
      </c>
      <c r="L354" s="22" t="s">
        <v>42</v>
      </c>
      <c r="M354" s="24" t="s">
        <v>14</v>
      </c>
      <c r="N354" s="22" t="str">
        <f>SUBSTITUTE(C352,",",".")</f>
        <v>5.6615382882867</v>
      </c>
      <c r="O354" s="22" t="str">
        <f>SUBSTITUTE(D352,",",".")</f>
        <v>34.46</v>
      </c>
      <c r="P354" s="22" t="str">
        <f>SUBSTITUTE(E352,",",".")</f>
        <v>29.5906359380859</v>
      </c>
      <c r="Q354" s="22" t="str">
        <f>SUBSTITUTE(F352,",",".")</f>
        <v>17.0424937094655</v>
      </c>
      <c r="R354" s="22" t="str">
        <f>SUBSTITUTE(G352,",",".")</f>
        <v>0.32</v>
      </c>
      <c r="S354" s="22" t="str">
        <f>SUBSTITUTE(H352,",",".")</f>
        <v>2.98</v>
      </c>
      <c r="T354" s="22" t="str">
        <f>SUBSTITUTE(I352,",",".")</f>
        <v>1.32000164665479</v>
      </c>
      <c r="U354" s="22" t="str">
        <f>SUBSTITUTE(J352,",",".")</f>
        <v>2.84</v>
      </c>
    </row>
    <row r="355" spans="1:21" x14ac:dyDescent="0.25">
      <c r="A355" t="s">
        <v>42</v>
      </c>
      <c r="B355" s="1" t="s">
        <v>17</v>
      </c>
      <c r="C355">
        <v>0.52931029661518525</v>
      </c>
      <c r="D355" s="17">
        <v>35.54</v>
      </c>
      <c r="E355">
        <v>19.78311329619963</v>
      </c>
      <c r="F355">
        <v>17.068370137796041</v>
      </c>
      <c r="G355" s="17">
        <v>0.57999999999999996</v>
      </c>
      <c r="H355" s="17">
        <v>3.04</v>
      </c>
      <c r="I355">
        <v>100</v>
      </c>
      <c r="J355" s="16">
        <v>3.18</v>
      </c>
      <c r="L355" s="22" t="s">
        <v>42</v>
      </c>
      <c r="M355" s="24" t="s">
        <v>15</v>
      </c>
      <c r="N355" s="22" t="str">
        <f>SUBSTITUTE(C353,",",".")</f>
        <v>-1.8862790357797</v>
      </c>
      <c r="O355" s="22" t="str">
        <f>SUBSTITUTE(D353,",",".")</f>
        <v>35.28</v>
      </c>
      <c r="P355" s="22" t="str">
        <f>SUBSTITUTE(E353,",",".")</f>
        <v>15.8088266907987</v>
      </c>
      <c r="Q355" s="22" t="str">
        <f>SUBSTITUTE(F353,",",".")</f>
        <v>17.0437651840571</v>
      </c>
      <c r="R355" s="22" t="str">
        <f>SUBSTITUTE(G353,",",".")</f>
        <v>0.29</v>
      </c>
      <c r="S355" s="22" t="str">
        <f>SUBSTITUTE(H353,",",".")</f>
        <v>2.94</v>
      </c>
      <c r="T355" s="22" t="str">
        <f>SUBSTITUTE(I353,",",".")</f>
        <v>1.17644814364182</v>
      </c>
      <c r="U355" s="22" t="str">
        <f>SUBSTITUTE(J353,",",".")</f>
        <v>2.84</v>
      </c>
    </row>
    <row r="356" spans="1:21" x14ac:dyDescent="0.25">
      <c r="A356" t="s">
        <v>42</v>
      </c>
      <c r="B356" s="1" t="s">
        <v>18</v>
      </c>
      <c r="C356">
        <v>-2.7844333522979157</v>
      </c>
      <c r="D356" s="17">
        <v>36.64</v>
      </c>
      <c r="E356">
        <v>18.346001492906588</v>
      </c>
      <c r="F356">
        <v>17.077988215619644</v>
      </c>
      <c r="G356" s="17">
        <v>0.47</v>
      </c>
      <c r="H356" s="17">
        <v>4.82</v>
      </c>
      <c r="I356">
        <v>1.8680625055396693</v>
      </c>
      <c r="J356" s="16">
        <v>3.22</v>
      </c>
      <c r="L356" s="22" t="s">
        <v>42</v>
      </c>
      <c r="M356" s="24" t="s">
        <v>16</v>
      </c>
      <c r="N356" s="22" t="str">
        <f>SUBSTITUTE(C354,",",".")</f>
        <v>-3.12527305675079</v>
      </c>
      <c r="O356" s="22" t="str">
        <f>SUBSTITUTE(D354,",",".")</f>
        <v>35.24</v>
      </c>
      <c r="P356" s="22" t="str">
        <f>SUBSTITUTE(E354,",",".")</f>
        <v>14.8283059346029</v>
      </c>
      <c r="Q356" s="22" t="str">
        <f>SUBSTITUTE(F354,",",".")</f>
        <v>17.0417706915919</v>
      </c>
      <c r="R356" s="22" t="str">
        <f>SUBSTITUTE(G354,",",".")</f>
        <v>0.6</v>
      </c>
      <c r="S356" s="22" t="str">
        <f>SUBSTITUTE(H354,",",".")</f>
        <v>3.04</v>
      </c>
      <c r="T356" s="22" t="str">
        <f>SUBSTITUTE(I354,",",".")</f>
        <v>1.39757793898936</v>
      </c>
      <c r="U356" s="22" t="str">
        <f>SUBSTITUTE(J354,",",".")</f>
        <v>3.05</v>
      </c>
    </row>
    <row r="357" spans="1:21" x14ac:dyDescent="0.25">
      <c r="A357" t="s">
        <v>42</v>
      </c>
      <c r="B357" s="1" t="s">
        <v>19</v>
      </c>
      <c r="C357">
        <v>-1.2349554058422605</v>
      </c>
      <c r="D357" s="17">
        <v>37.96</v>
      </c>
      <c r="E357">
        <v>16.245193465449375</v>
      </c>
      <c r="F357">
        <v>17.081061855474211</v>
      </c>
      <c r="G357" s="17">
        <v>0.41</v>
      </c>
      <c r="H357" s="17">
        <v>4.3899999999999997</v>
      </c>
      <c r="I357">
        <v>2.1198587375585971</v>
      </c>
      <c r="J357" s="16">
        <v>3.12</v>
      </c>
      <c r="L357" s="22" t="s">
        <v>42</v>
      </c>
      <c r="M357" s="24" t="s">
        <v>17</v>
      </c>
      <c r="N357" s="22" t="str">
        <f>SUBSTITUTE(C355,",",".")</f>
        <v>0.529310296615185</v>
      </c>
      <c r="O357" s="22" t="str">
        <f>SUBSTITUTE(D355,",",".")</f>
        <v>35.54</v>
      </c>
      <c r="P357" s="22" t="str">
        <f>SUBSTITUTE(E355,",",".")</f>
        <v>19.7831132961996</v>
      </c>
      <c r="Q357" s="22" t="str">
        <f>SUBSTITUTE(F355,",",".")</f>
        <v>17.068370137796</v>
      </c>
      <c r="R357" s="22" t="str">
        <f>SUBSTITUTE(G355,",",".")</f>
        <v>0.58</v>
      </c>
      <c r="S357" s="22" t="str">
        <f>SUBSTITUTE(H355,",",".")</f>
        <v>3.04</v>
      </c>
      <c r="T357" s="22" t="str">
        <f>SUBSTITUTE(I355,",",".")</f>
        <v>100</v>
      </c>
      <c r="U357" s="22" t="str">
        <f>SUBSTITUTE(J355,",",".")</f>
        <v>3.18</v>
      </c>
    </row>
    <row r="358" spans="1:21" x14ac:dyDescent="0.25">
      <c r="A358" t="s">
        <v>42</v>
      </c>
      <c r="B358" s="1" t="s">
        <v>20</v>
      </c>
      <c r="C358">
        <v>-6.4420947495774792</v>
      </c>
      <c r="D358" s="17">
        <v>38.24</v>
      </c>
      <c r="E358">
        <v>17.102814107478277</v>
      </c>
      <c r="F358">
        <v>17.10005074497316</v>
      </c>
      <c r="G358" s="17">
        <v>0.56999999999999995</v>
      </c>
      <c r="H358" s="17">
        <v>4.92</v>
      </c>
      <c r="I358">
        <v>2.4385400082185944</v>
      </c>
      <c r="J358" s="16">
        <v>2.82</v>
      </c>
      <c r="L358" s="22" t="s">
        <v>42</v>
      </c>
      <c r="M358" s="24" t="s">
        <v>18</v>
      </c>
      <c r="N358" s="22" t="str">
        <f>SUBSTITUTE(C356,",",".")</f>
        <v>-2.78443335229792</v>
      </c>
      <c r="O358" s="22" t="str">
        <f>SUBSTITUTE(D356,",",".")</f>
        <v>36.64</v>
      </c>
      <c r="P358" s="22" t="str">
        <f>SUBSTITUTE(E356,",",".")</f>
        <v>18.3460014929066</v>
      </c>
      <c r="Q358" s="22" t="str">
        <f>SUBSTITUTE(F356,",",".")</f>
        <v>17.0779882156196</v>
      </c>
      <c r="R358" s="22" t="str">
        <f>SUBSTITUTE(G356,",",".")</f>
        <v>0.47</v>
      </c>
      <c r="S358" s="22" t="str">
        <f>SUBSTITUTE(H356,",",".")</f>
        <v>4.82</v>
      </c>
      <c r="T358" s="22" t="str">
        <f>SUBSTITUTE(I356,",",".")</f>
        <v>1.86806250553967</v>
      </c>
      <c r="U358" s="22" t="str">
        <f>SUBSTITUTE(J356,",",".")</f>
        <v>3.22</v>
      </c>
    </row>
    <row r="359" spans="1:21" x14ac:dyDescent="0.25">
      <c r="A359" t="s">
        <v>42</v>
      </c>
      <c r="B359" s="1" t="s">
        <v>21</v>
      </c>
      <c r="C359">
        <v>9.7293179924744368</v>
      </c>
      <c r="D359" s="17">
        <v>34.93</v>
      </c>
      <c r="E359">
        <v>16.115968617118462</v>
      </c>
      <c r="F359">
        <v>17.055688042880181</v>
      </c>
      <c r="G359" s="17">
        <v>0.59</v>
      </c>
      <c r="H359" s="17">
        <v>4.3499999999999996</v>
      </c>
      <c r="I359">
        <v>2.5081550579182035</v>
      </c>
      <c r="J359" s="16">
        <v>3</v>
      </c>
      <c r="L359" s="22" t="s">
        <v>42</v>
      </c>
      <c r="M359" s="24" t="s">
        <v>19</v>
      </c>
      <c r="N359" s="22" t="str">
        <f>SUBSTITUTE(C357,",",".")</f>
        <v>-1.23495540584226</v>
      </c>
      <c r="O359" s="22" t="str">
        <f>SUBSTITUTE(D357,",",".")</f>
        <v>37.96</v>
      </c>
      <c r="P359" s="22" t="str">
        <f>SUBSTITUTE(E357,",",".")</f>
        <v>16.2451934654494</v>
      </c>
      <c r="Q359" s="22" t="str">
        <f>SUBSTITUTE(F357,",",".")</f>
        <v>17.0810618554742</v>
      </c>
      <c r="R359" s="22" t="str">
        <f>SUBSTITUTE(G357,",",".")</f>
        <v>0.41</v>
      </c>
      <c r="S359" s="22" t="str">
        <f>SUBSTITUTE(H357,",",".")</f>
        <v>4.39</v>
      </c>
      <c r="T359" s="22" t="str">
        <f>SUBSTITUTE(I357,",",".")</f>
        <v>2.1198587375586</v>
      </c>
      <c r="U359" s="22" t="str">
        <f>SUBSTITUTE(J357,",",".")</f>
        <v>3.12</v>
      </c>
    </row>
    <row r="360" spans="1:21" x14ac:dyDescent="0.25">
      <c r="A360" t="s">
        <v>42</v>
      </c>
      <c r="B360" s="1" t="s">
        <v>22</v>
      </c>
      <c r="C360">
        <v>6.6539204324355516</v>
      </c>
      <c r="D360" s="17">
        <v>34.21</v>
      </c>
      <c r="E360">
        <v>11.781357239458275</v>
      </c>
      <c r="F360">
        <v>17.005874144751559</v>
      </c>
      <c r="G360" s="17">
        <v>0.6</v>
      </c>
      <c r="H360" s="17">
        <v>4.07</v>
      </c>
      <c r="I360">
        <v>2.7461688855502242</v>
      </c>
      <c r="J360" s="16">
        <v>3.3</v>
      </c>
      <c r="L360" s="22" t="s">
        <v>42</v>
      </c>
      <c r="M360" s="24" t="s">
        <v>20</v>
      </c>
      <c r="N360" s="22" t="str">
        <f>SUBSTITUTE(C358,",",".")</f>
        <v>-6.44209474957748</v>
      </c>
      <c r="O360" s="22" t="str">
        <f>SUBSTITUTE(D358,",",".")</f>
        <v>38.24</v>
      </c>
      <c r="P360" s="22" t="str">
        <f>SUBSTITUTE(E358,",",".")</f>
        <v>17.1028141074783</v>
      </c>
      <c r="Q360" s="22" t="str">
        <f>SUBSTITUTE(F358,",",".")</f>
        <v>17.1000507449732</v>
      </c>
      <c r="R360" s="22" t="str">
        <f>SUBSTITUTE(G358,",",".")</f>
        <v>0.57</v>
      </c>
      <c r="S360" s="22" t="str">
        <f>SUBSTITUTE(H358,",",".")</f>
        <v>4.92</v>
      </c>
      <c r="T360" s="22" t="str">
        <f>SUBSTITUTE(I358,",",".")</f>
        <v>2.43854000821859</v>
      </c>
      <c r="U360" s="22" t="str">
        <f>SUBSTITUTE(J358,",",".")</f>
        <v>2.82</v>
      </c>
    </row>
    <row r="361" spans="1:21" x14ac:dyDescent="0.25">
      <c r="A361" t="s">
        <v>42</v>
      </c>
      <c r="B361" s="1" t="s">
        <v>23</v>
      </c>
      <c r="C361">
        <v>10.659261833697494</v>
      </c>
      <c r="D361" s="17">
        <v>32.729999999999997</v>
      </c>
      <c r="E361">
        <v>12.906566223418956</v>
      </c>
      <c r="F361">
        <v>17.035304081618104</v>
      </c>
      <c r="G361" s="19">
        <v>0.69</v>
      </c>
      <c r="H361" s="19">
        <v>3.4</v>
      </c>
      <c r="I361">
        <v>2.7251047728854632</v>
      </c>
      <c r="J361" s="19">
        <v>3.54</v>
      </c>
      <c r="L361" s="22" t="s">
        <v>42</v>
      </c>
      <c r="M361" s="24" t="s">
        <v>21</v>
      </c>
      <c r="N361" s="22" t="str">
        <f>SUBSTITUTE(C359,",",".")</f>
        <v>9.72931799247444</v>
      </c>
      <c r="O361" s="22" t="str">
        <f>SUBSTITUTE(D359,",",".")</f>
        <v>34.93</v>
      </c>
      <c r="P361" s="22" t="str">
        <f>SUBSTITUTE(E359,",",".")</f>
        <v>16.1159686171185</v>
      </c>
      <c r="Q361" s="22" t="str">
        <f>SUBSTITUTE(F359,",",".")</f>
        <v>17.0556880428802</v>
      </c>
      <c r="R361" s="22" t="str">
        <f>SUBSTITUTE(G359,",",".")</f>
        <v>0.59</v>
      </c>
      <c r="S361" s="22" t="str">
        <f>SUBSTITUTE(H359,",",".")</f>
        <v>4.35</v>
      </c>
      <c r="T361" s="22" t="str">
        <f>SUBSTITUTE(I359,",",".")</f>
        <v>2.5081550579182</v>
      </c>
      <c r="U361" s="22" t="str">
        <f>SUBSTITUTE(J359,",",".")</f>
        <v>3</v>
      </c>
    </row>
    <row r="362" spans="1:21" x14ac:dyDescent="0.25">
      <c r="A362" t="s">
        <v>45</v>
      </c>
      <c r="B362" s="1" t="s">
        <v>4</v>
      </c>
      <c r="C362">
        <v>14.649720231605553</v>
      </c>
      <c r="D362" s="17">
        <v>25.61</v>
      </c>
      <c r="E362">
        <v>29.064242714683608</v>
      </c>
      <c r="F362">
        <v>16.167701577541195</v>
      </c>
      <c r="G362" s="17">
        <v>0.64</v>
      </c>
      <c r="H362" s="17">
        <v>0</v>
      </c>
      <c r="I362">
        <v>0.48407868817120259</v>
      </c>
      <c r="J362" s="17">
        <v>4.6100000000000003</v>
      </c>
      <c r="L362" s="22" t="s">
        <v>42</v>
      </c>
      <c r="M362" s="24" t="s">
        <v>22</v>
      </c>
      <c r="N362" s="22" t="str">
        <f>SUBSTITUTE(C360,",",".")</f>
        <v>6.65392043243555</v>
      </c>
      <c r="O362" s="22" t="str">
        <f>SUBSTITUTE(D360,",",".")</f>
        <v>34.21</v>
      </c>
      <c r="P362" s="22" t="str">
        <f>SUBSTITUTE(E360,",",".")</f>
        <v>11.7813572394583</v>
      </c>
      <c r="Q362" s="22" t="str">
        <f>SUBSTITUTE(F360,",",".")</f>
        <v>17.0058741447516</v>
      </c>
      <c r="R362" s="22" t="str">
        <f>SUBSTITUTE(G360,",",".")</f>
        <v>0.6</v>
      </c>
      <c r="S362" s="22" t="str">
        <f>SUBSTITUTE(H360,",",".")</f>
        <v>4.07</v>
      </c>
      <c r="T362" s="22" t="str">
        <f>SUBSTITUTE(I360,",",".")</f>
        <v>2.74616888555022</v>
      </c>
      <c r="U362" s="22" t="str">
        <f>SUBSTITUTE(J360,",",".")</f>
        <v>3.3</v>
      </c>
    </row>
    <row r="363" spans="1:21" x14ac:dyDescent="0.25">
      <c r="A363" t="s">
        <v>45</v>
      </c>
      <c r="B363" s="1" t="s">
        <v>5</v>
      </c>
      <c r="C363">
        <v>6.696710345636145</v>
      </c>
      <c r="D363" s="17">
        <v>24.57</v>
      </c>
      <c r="E363">
        <v>27.327446526355349</v>
      </c>
      <c r="F363">
        <v>16.122287154322013</v>
      </c>
      <c r="G363" s="17">
        <v>0.59</v>
      </c>
      <c r="H363" s="17">
        <v>0.72</v>
      </c>
      <c r="I363">
        <v>0.76002899426236059</v>
      </c>
      <c r="J363" s="17">
        <v>4.71</v>
      </c>
      <c r="L363" s="22" t="s">
        <v>42</v>
      </c>
      <c r="M363" s="24" t="s">
        <v>23</v>
      </c>
      <c r="N363" s="22" t="str">
        <f>SUBSTITUTE(C361,",",".")</f>
        <v>10.6592618336975</v>
      </c>
      <c r="O363" s="22" t="str">
        <f>SUBSTITUTE(D361,",",".")</f>
        <v>32.73</v>
      </c>
      <c r="P363" s="22" t="str">
        <f>SUBSTITUTE(E361,",",".")</f>
        <v>12.906566223419</v>
      </c>
      <c r="Q363" s="22" t="str">
        <f>SUBSTITUTE(F361,",",".")</f>
        <v>17.0353040816181</v>
      </c>
      <c r="R363" s="22" t="str">
        <f>SUBSTITUTE(G361,",",".")</f>
        <v>0.69</v>
      </c>
      <c r="S363" s="22" t="str">
        <f>SUBSTITUTE(H361,",",".")</f>
        <v>3.4</v>
      </c>
      <c r="T363" s="22" t="str">
        <f>SUBSTITUTE(I361,",",".")</f>
        <v>2.72510477288546</v>
      </c>
      <c r="U363" s="22" t="str">
        <f>SUBSTITUTE(J361,",",".")</f>
        <v>3.54</v>
      </c>
    </row>
    <row r="364" spans="1:21" x14ac:dyDescent="0.25">
      <c r="A364" t="s">
        <v>45</v>
      </c>
      <c r="B364" s="1" t="s">
        <v>6</v>
      </c>
      <c r="C364">
        <v>3.6552740088247186</v>
      </c>
      <c r="D364" s="17">
        <v>24.13</v>
      </c>
      <c r="E364">
        <v>20.193766669584559</v>
      </c>
      <c r="F364">
        <v>16.157994307333077</v>
      </c>
      <c r="G364" s="17">
        <v>0.63</v>
      </c>
      <c r="H364" s="17">
        <v>0.71</v>
      </c>
      <c r="I364">
        <v>0.77722794722594801</v>
      </c>
      <c r="J364" s="17">
        <v>4.7</v>
      </c>
      <c r="L364" s="22" t="s">
        <v>45</v>
      </c>
      <c r="M364" s="24" t="s">
        <v>4</v>
      </c>
      <c r="N364" s="22" t="str">
        <f>SUBSTITUTE(C362,",",".")</f>
        <v>14.6497202316056</v>
      </c>
      <c r="O364" s="22" t="str">
        <f>SUBSTITUTE(D362,",",".")</f>
        <v>25.61</v>
      </c>
      <c r="P364" s="22" t="str">
        <f>SUBSTITUTE(E362,",",".")</f>
        <v>29.0642427146836</v>
      </c>
      <c r="Q364" s="22" t="str">
        <f>SUBSTITUTE(F362,",",".")</f>
        <v>16.1677015775412</v>
      </c>
      <c r="R364" s="22" t="str">
        <f>SUBSTITUTE(G362,",",".")</f>
        <v>0.64</v>
      </c>
      <c r="S364" s="22" t="str">
        <f>SUBSTITUTE(H362,",",".")</f>
        <v>0</v>
      </c>
      <c r="T364" s="22" t="str">
        <f>SUBSTITUTE(I362,",",".")</f>
        <v>0.484078688171203</v>
      </c>
      <c r="U364" s="22" t="str">
        <f>SUBSTITUTE(J362,",",".")</f>
        <v>4.61</v>
      </c>
    </row>
    <row r="365" spans="1:21" x14ac:dyDescent="0.25">
      <c r="A365" t="s">
        <v>45</v>
      </c>
      <c r="B365" s="1" t="s">
        <v>7</v>
      </c>
      <c r="C365">
        <v>5.6681328635436525</v>
      </c>
      <c r="D365" s="17">
        <v>23.27</v>
      </c>
      <c r="E365">
        <v>29.878689816441117</v>
      </c>
      <c r="F365">
        <v>16.283099874552651</v>
      </c>
      <c r="G365" s="17">
        <v>0.42</v>
      </c>
      <c r="H365" s="17">
        <v>0.97</v>
      </c>
      <c r="I365">
        <v>0.98537798144712774</v>
      </c>
      <c r="J365" s="17">
        <v>4.62</v>
      </c>
      <c r="L365" s="22" t="s">
        <v>45</v>
      </c>
      <c r="M365" s="24" t="s">
        <v>5</v>
      </c>
      <c r="N365" s="22" t="str">
        <f>SUBSTITUTE(C363,",",".")</f>
        <v>6.69671034563614</v>
      </c>
      <c r="O365" s="22" t="str">
        <f>SUBSTITUTE(D363,",",".")</f>
        <v>24.57</v>
      </c>
      <c r="P365" s="22" t="str">
        <f>SUBSTITUTE(E363,",",".")</f>
        <v>27.3274465263553</v>
      </c>
      <c r="Q365" s="22" t="str">
        <f>SUBSTITUTE(F363,",",".")</f>
        <v>16.122287154322</v>
      </c>
      <c r="R365" s="22" t="str">
        <f>SUBSTITUTE(G363,",",".")</f>
        <v>0.59</v>
      </c>
      <c r="S365" s="22" t="str">
        <f>SUBSTITUTE(H363,",",".")</f>
        <v>0.72</v>
      </c>
      <c r="T365" s="22" t="str">
        <f>SUBSTITUTE(I363,",",".")</f>
        <v>0.760028994262361</v>
      </c>
      <c r="U365" s="22" t="str">
        <f>SUBSTITUTE(J363,",",".")</f>
        <v>4.71</v>
      </c>
    </row>
    <row r="366" spans="1:21" x14ac:dyDescent="0.25">
      <c r="A366" t="s">
        <v>45</v>
      </c>
      <c r="B366" s="1" t="s">
        <v>8</v>
      </c>
      <c r="C366">
        <v>2.0583424022046866</v>
      </c>
      <c r="D366" s="17">
        <v>22.32</v>
      </c>
      <c r="E366">
        <v>29.19046717087997</v>
      </c>
      <c r="F366">
        <v>16.29956409395416</v>
      </c>
      <c r="G366" s="17">
        <v>0.39</v>
      </c>
      <c r="H366" s="17">
        <v>0.56000000000000005</v>
      </c>
      <c r="I366">
        <v>0.96082159754712881</v>
      </c>
      <c r="J366" s="17">
        <v>3.87</v>
      </c>
      <c r="L366" s="22" t="s">
        <v>45</v>
      </c>
      <c r="M366" s="24" t="s">
        <v>6</v>
      </c>
      <c r="N366" s="22" t="str">
        <f>SUBSTITUTE(C364,",",".")</f>
        <v>3.65527400882472</v>
      </c>
      <c r="O366" s="22" t="str">
        <f>SUBSTITUTE(D364,",",".")</f>
        <v>24.13</v>
      </c>
      <c r="P366" s="22" t="str">
        <f>SUBSTITUTE(E364,",",".")</f>
        <v>20.1937666695846</v>
      </c>
      <c r="Q366" s="22" t="str">
        <f>SUBSTITUTE(F364,",",".")</f>
        <v>16.1579943073331</v>
      </c>
      <c r="R366" s="22" t="str">
        <f>SUBSTITUTE(G364,",",".")</f>
        <v>0.63</v>
      </c>
      <c r="S366" s="22" t="str">
        <f>SUBSTITUTE(H364,",",".")</f>
        <v>0.71</v>
      </c>
      <c r="T366" s="22" t="str">
        <f>SUBSTITUTE(I364,",",".")</f>
        <v>0.777227947225948</v>
      </c>
      <c r="U366" s="22" t="str">
        <f>SUBSTITUTE(J364,",",".")</f>
        <v>4.7</v>
      </c>
    </row>
    <row r="367" spans="1:21" x14ac:dyDescent="0.25">
      <c r="A367" t="s">
        <v>45</v>
      </c>
      <c r="B367" s="1" t="s">
        <v>9</v>
      </c>
      <c r="C367">
        <v>1.849947013349823</v>
      </c>
      <c r="D367" s="17">
        <v>22.24</v>
      </c>
      <c r="E367">
        <v>28.528840470323669</v>
      </c>
      <c r="F367">
        <v>16.307436597425585</v>
      </c>
      <c r="G367" s="17">
        <v>0.44</v>
      </c>
      <c r="H367" s="17">
        <v>0.62</v>
      </c>
      <c r="I367">
        <v>0.94896660327981075</v>
      </c>
      <c r="J367" s="17">
        <v>4.05</v>
      </c>
      <c r="L367" s="22" t="s">
        <v>45</v>
      </c>
      <c r="M367" s="24" t="s">
        <v>7</v>
      </c>
      <c r="N367" s="22" t="str">
        <f>SUBSTITUTE(C365,",",".")</f>
        <v>5.66813286354365</v>
      </c>
      <c r="O367" s="22" t="str">
        <f>SUBSTITUTE(D365,",",".")</f>
        <v>23.27</v>
      </c>
      <c r="P367" s="22" t="str">
        <f>SUBSTITUTE(E365,",",".")</f>
        <v>29.8786898164411</v>
      </c>
      <c r="Q367" s="22" t="str">
        <f>SUBSTITUTE(F365,",",".")</f>
        <v>16.2830998745527</v>
      </c>
      <c r="R367" s="22" t="str">
        <f>SUBSTITUTE(G365,",",".")</f>
        <v>0.42</v>
      </c>
      <c r="S367" s="22" t="str">
        <f>SUBSTITUTE(H365,",",".")</f>
        <v>0.97</v>
      </c>
      <c r="T367" s="22" t="str">
        <f>SUBSTITUTE(I365,",",".")</f>
        <v>0.985377981447128</v>
      </c>
      <c r="U367" s="22" t="str">
        <f>SUBSTITUTE(J365,",",".")</f>
        <v>4.62</v>
      </c>
    </row>
    <row r="368" spans="1:21" x14ac:dyDescent="0.25">
      <c r="A368" t="s">
        <v>45</v>
      </c>
      <c r="B368" s="1" t="s">
        <v>10</v>
      </c>
      <c r="C368">
        <v>0.11793040079149102</v>
      </c>
      <c r="D368" s="17">
        <v>21.94</v>
      </c>
      <c r="E368">
        <v>31.031633420202898</v>
      </c>
      <c r="F368">
        <v>16.30698136644553</v>
      </c>
      <c r="G368" s="17">
        <v>0.49</v>
      </c>
      <c r="H368" s="17">
        <v>0.62</v>
      </c>
      <c r="I368">
        <v>0.95354176323059736</v>
      </c>
      <c r="J368" s="17">
        <v>3.97</v>
      </c>
      <c r="L368" s="22" t="s">
        <v>45</v>
      </c>
      <c r="M368" s="24" t="s">
        <v>8</v>
      </c>
      <c r="N368" s="22" t="str">
        <f>SUBSTITUTE(C366,",",".")</f>
        <v>2.05834240220469</v>
      </c>
      <c r="O368" s="22" t="str">
        <f>SUBSTITUTE(D366,",",".")</f>
        <v>22.32</v>
      </c>
      <c r="P368" s="22" t="str">
        <f>SUBSTITUTE(E366,",",".")</f>
        <v>29.19046717088</v>
      </c>
      <c r="Q368" s="22" t="str">
        <f>SUBSTITUTE(F366,",",".")</f>
        <v>16.2995640939542</v>
      </c>
      <c r="R368" s="22" t="str">
        <f>SUBSTITUTE(G366,",",".")</f>
        <v>0.39</v>
      </c>
      <c r="S368" s="22" t="str">
        <f>SUBSTITUTE(H366,",",".")</f>
        <v>0.56</v>
      </c>
      <c r="T368" s="22" t="str">
        <f>SUBSTITUTE(I366,",",".")</f>
        <v>0.960821597547129</v>
      </c>
      <c r="U368" s="22" t="str">
        <f>SUBSTITUTE(J366,",",".")</f>
        <v>3.87</v>
      </c>
    </row>
    <row r="369" spans="1:21" x14ac:dyDescent="0.25">
      <c r="A369" t="s">
        <v>45</v>
      </c>
      <c r="B369" s="1" t="s">
        <v>11</v>
      </c>
      <c r="C369">
        <v>4.7622799607889919</v>
      </c>
      <c r="D369" s="17">
        <v>21.56</v>
      </c>
      <c r="E369">
        <v>11.121853328346836</v>
      </c>
      <c r="F369">
        <v>16.391742412625874</v>
      </c>
      <c r="G369" s="17">
        <v>0.52</v>
      </c>
      <c r="H369" s="17">
        <v>2.09</v>
      </c>
      <c r="I369">
        <v>0.46422949682234027</v>
      </c>
      <c r="J369" s="17">
        <v>3.92</v>
      </c>
      <c r="L369" s="22" t="s">
        <v>45</v>
      </c>
      <c r="M369" s="24" t="s">
        <v>9</v>
      </c>
      <c r="N369" s="22" t="str">
        <f>SUBSTITUTE(C367,",",".")</f>
        <v>1.84994701334982</v>
      </c>
      <c r="O369" s="22" t="str">
        <f>SUBSTITUTE(D367,",",".")</f>
        <v>22.24</v>
      </c>
      <c r="P369" s="22" t="str">
        <f>SUBSTITUTE(E367,",",".")</f>
        <v>28.5288404703237</v>
      </c>
      <c r="Q369" s="22" t="str">
        <f>SUBSTITUTE(F367,",",".")</f>
        <v>16.3074365974256</v>
      </c>
      <c r="R369" s="22" t="str">
        <f>SUBSTITUTE(G367,",",".")</f>
        <v>0.44</v>
      </c>
      <c r="S369" s="22" t="str">
        <f>SUBSTITUTE(H367,",",".")</f>
        <v>0.62</v>
      </c>
      <c r="T369" s="22" t="str">
        <f>SUBSTITUTE(I367,",",".")</f>
        <v>0.948966603279811</v>
      </c>
      <c r="U369" s="22" t="str">
        <f>SUBSTITUTE(J367,",",".")</f>
        <v>4.05</v>
      </c>
    </row>
    <row r="370" spans="1:21" x14ac:dyDescent="0.25">
      <c r="A370" t="s">
        <v>45</v>
      </c>
      <c r="B370" s="1" t="s">
        <v>12</v>
      </c>
      <c r="C370">
        <v>-5.6585410398286946</v>
      </c>
      <c r="D370" s="17">
        <v>22.89</v>
      </c>
      <c r="E370">
        <v>20.775493557457953</v>
      </c>
      <c r="F370">
        <v>16.365840103340453</v>
      </c>
      <c r="G370" s="17">
        <v>0.68</v>
      </c>
      <c r="H370" s="17">
        <v>2.2799999999999998</v>
      </c>
      <c r="I370">
        <v>0.41882528504006022</v>
      </c>
      <c r="J370" s="17">
        <v>3.68</v>
      </c>
      <c r="L370" s="22" t="s">
        <v>45</v>
      </c>
      <c r="M370" s="24" t="s">
        <v>10</v>
      </c>
      <c r="N370" s="22" t="str">
        <f>SUBSTITUTE(C368,",",".")</f>
        <v>0.117930400791491</v>
      </c>
      <c r="O370" s="22" t="str">
        <f>SUBSTITUTE(D368,",",".")</f>
        <v>21.94</v>
      </c>
      <c r="P370" s="22" t="str">
        <f>SUBSTITUTE(E368,",",".")</f>
        <v>31.0316334202029</v>
      </c>
      <c r="Q370" s="22" t="str">
        <f>SUBSTITUTE(F368,",",".")</f>
        <v>16.3069813664455</v>
      </c>
      <c r="R370" s="22" t="str">
        <f>SUBSTITUTE(G368,",",".")</f>
        <v>0.49</v>
      </c>
      <c r="S370" s="22" t="str">
        <f>SUBSTITUTE(H368,",",".")</f>
        <v>0.62</v>
      </c>
      <c r="T370" s="22" t="str">
        <f>SUBSTITUTE(I368,",",".")</f>
        <v>0.953541763230597</v>
      </c>
      <c r="U370" s="22" t="str">
        <f>SUBSTITUTE(J368,",",".")</f>
        <v>3.97</v>
      </c>
    </row>
    <row r="371" spans="1:21" x14ac:dyDescent="0.25">
      <c r="A371" t="s">
        <v>45</v>
      </c>
      <c r="B371" s="1" t="s">
        <v>13</v>
      </c>
      <c r="C371">
        <v>-5.769313847733879</v>
      </c>
      <c r="D371" s="17">
        <v>25.16</v>
      </c>
      <c r="E371">
        <v>26.718017891223784</v>
      </c>
      <c r="F371">
        <v>16.355198279433864</v>
      </c>
      <c r="G371" s="17">
        <v>0.7</v>
      </c>
      <c r="H371" s="17">
        <v>2.4500000000000002</v>
      </c>
      <c r="I371">
        <v>0.31239744756995935</v>
      </c>
      <c r="J371" s="17">
        <v>4.7300000000000004</v>
      </c>
      <c r="L371" s="22" t="s">
        <v>45</v>
      </c>
      <c r="M371" s="24" t="s">
        <v>11</v>
      </c>
      <c r="N371" s="22" t="str">
        <f>SUBSTITUTE(C369,",",".")</f>
        <v>4.76227996078899</v>
      </c>
      <c r="O371" s="22" t="str">
        <f>SUBSTITUTE(D369,",",".")</f>
        <v>21.56</v>
      </c>
      <c r="P371" s="22" t="str">
        <f>SUBSTITUTE(E369,",",".")</f>
        <v>11.1218533283468</v>
      </c>
      <c r="Q371" s="22" t="str">
        <f>SUBSTITUTE(F369,",",".")</f>
        <v>16.3917424126259</v>
      </c>
      <c r="R371" s="22" t="str">
        <f>SUBSTITUTE(G369,",",".")</f>
        <v>0.52</v>
      </c>
      <c r="S371" s="22" t="str">
        <f>SUBSTITUTE(H369,",",".")</f>
        <v>2.09</v>
      </c>
      <c r="T371" s="22" t="str">
        <f>SUBSTITUTE(I369,",",".")</f>
        <v>0.46422949682234</v>
      </c>
      <c r="U371" s="22" t="str">
        <f>SUBSTITUTE(J369,",",".")</f>
        <v>3.92</v>
      </c>
    </row>
    <row r="372" spans="1:21" x14ac:dyDescent="0.25">
      <c r="A372" t="s">
        <v>45</v>
      </c>
      <c r="B372" s="1" t="s">
        <v>14</v>
      </c>
      <c r="C372">
        <v>7.3484059443268013</v>
      </c>
      <c r="D372" s="17">
        <v>23.23</v>
      </c>
      <c r="E372">
        <v>15.012668643681156</v>
      </c>
      <c r="F372">
        <v>16.323026350613134</v>
      </c>
      <c r="G372" s="17">
        <v>0.69</v>
      </c>
      <c r="H372" s="17">
        <v>1.68</v>
      </c>
      <c r="I372">
        <v>0.3611204508267275</v>
      </c>
      <c r="J372" s="17">
        <v>3.64</v>
      </c>
      <c r="L372" s="22" t="s">
        <v>45</v>
      </c>
      <c r="M372" s="24" t="s">
        <v>12</v>
      </c>
      <c r="N372" s="22" t="str">
        <f>SUBSTITUTE(C370,",",".")</f>
        <v>-5.65854103982869</v>
      </c>
      <c r="O372" s="22" t="str">
        <f>SUBSTITUTE(D370,",",".")</f>
        <v>22.89</v>
      </c>
      <c r="P372" s="22" t="str">
        <f>SUBSTITUTE(E370,",",".")</f>
        <v>20.775493557458</v>
      </c>
      <c r="Q372" s="22" t="str">
        <f>SUBSTITUTE(F370,",",".")</f>
        <v>16.3658401033405</v>
      </c>
      <c r="R372" s="22" t="str">
        <f>SUBSTITUTE(G370,",",".")</f>
        <v>0.68</v>
      </c>
      <c r="S372" s="22" t="str">
        <f>SUBSTITUTE(H370,",",".")</f>
        <v>2.28</v>
      </c>
      <c r="T372" s="22" t="str">
        <f>SUBSTITUTE(I370,",",".")</f>
        <v>0.41882528504006</v>
      </c>
      <c r="U372" s="22" t="str">
        <f>SUBSTITUTE(J370,",",".")</f>
        <v>3.68</v>
      </c>
    </row>
    <row r="373" spans="1:21" x14ac:dyDescent="0.25">
      <c r="A373" t="s">
        <v>45</v>
      </c>
      <c r="B373" s="1" t="s">
        <v>15</v>
      </c>
      <c r="C373">
        <v>9.0226251369831765</v>
      </c>
      <c r="D373" s="17">
        <v>22.02</v>
      </c>
      <c r="E373">
        <v>7.8643848485514631</v>
      </c>
      <c r="F373">
        <v>16.435671469551675</v>
      </c>
      <c r="G373" s="17">
        <v>0.56999999999999995</v>
      </c>
      <c r="H373" s="17">
        <v>0.21</v>
      </c>
      <c r="I373">
        <v>0.41963628022382754</v>
      </c>
      <c r="J373" s="17">
        <v>3.62</v>
      </c>
      <c r="L373" s="22" t="s">
        <v>45</v>
      </c>
      <c r="M373" s="24" t="s">
        <v>13</v>
      </c>
      <c r="N373" s="22" t="str">
        <f>SUBSTITUTE(C371,",",".")</f>
        <v>-5.76931384773388</v>
      </c>
      <c r="O373" s="22" t="str">
        <f>SUBSTITUTE(D371,",",".")</f>
        <v>25.16</v>
      </c>
      <c r="P373" s="22" t="str">
        <f>SUBSTITUTE(E371,",",".")</f>
        <v>26.7180178912238</v>
      </c>
      <c r="Q373" s="22" t="str">
        <f>SUBSTITUTE(F371,",",".")</f>
        <v>16.3551982794339</v>
      </c>
      <c r="R373" s="22" t="str">
        <f>SUBSTITUTE(G371,",",".")</f>
        <v>0.7</v>
      </c>
      <c r="S373" s="22" t="str">
        <f>SUBSTITUTE(H371,",",".")</f>
        <v>2.45</v>
      </c>
      <c r="T373" s="22" t="str">
        <f>SUBSTITUTE(I371,",",".")</f>
        <v>0.312397447569959</v>
      </c>
      <c r="U373" s="22" t="str">
        <f>SUBSTITUTE(J371,",",".")</f>
        <v>4.73</v>
      </c>
    </row>
    <row r="374" spans="1:21" x14ac:dyDescent="0.25">
      <c r="A374" t="s">
        <v>45</v>
      </c>
      <c r="B374" s="1" t="s">
        <v>16</v>
      </c>
      <c r="C374">
        <v>3.7043573357801005</v>
      </c>
      <c r="D374" s="17">
        <v>21.06</v>
      </c>
      <c r="E374">
        <v>11.209916272711737</v>
      </c>
      <c r="F374">
        <v>16.48737853967868</v>
      </c>
      <c r="G374" s="17">
        <v>0.45</v>
      </c>
      <c r="H374" s="17">
        <v>0.71</v>
      </c>
      <c r="I374">
        <v>0.42837540176825412</v>
      </c>
      <c r="J374" s="17">
        <v>3.46</v>
      </c>
      <c r="L374" s="22" t="s">
        <v>45</v>
      </c>
      <c r="M374" s="24" t="s">
        <v>14</v>
      </c>
      <c r="N374" s="22" t="str">
        <f>SUBSTITUTE(C372,",",".")</f>
        <v>7.3484059443268</v>
      </c>
      <c r="O374" s="22" t="str">
        <f>SUBSTITUTE(D372,",",".")</f>
        <v>23.23</v>
      </c>
      <c r="P374" s="22" t="str">
        <f>SUBSTITUTE(E372,",",".")</f>
        <v>15.0126686436812</v>
      </c>
      <c r="Q374" s="22" t="str">
        <f>SUBSTITUTE(F372,",",".")</f>
        <v>16.3230263506131</v>
      </c>
      <c r="R374" s="22" t="str">
        <f>SUBSTITUTE(G372,",",".")</f>
        <v>0.69</v>
      </c>
      <c r="S374" s="22" t="str">
        <f>SUBSTITUTE(H372,",",".")</f>
        <v>1.68</v>
      </c>
      <c r="T374" s="22" t="str">
        <f>SUBSTITUTE(I372,",",".")</f>
        <v>0.361120450826728</v>
      </c>
      <c r="U374" s="22" t="str">
        <f>SUBSTITUTE(J372,",",".")</f>
        <v>3.64</v>
      </c>
    </row>
    <row r="375" spans="1:21" x14ac:dyDescent="0.25">
      <c r="A375" t="s">
        <v>45</v>
      </c>
      <c r="B375" s="1" t="s">
        <v>17</v>
      </c>
      <c r="C375">
        <v>13.362324382765447</v>
      </c>
      <c r="D375" s="17">
        <v>19.399999999999999</v>
      </c>
      <c r="E375">
        <v>25.183641737249907</v>
      </c>
      <c r="F375">
        <v>16.567140100609027</v>
      </c>
      <c r="G375" s="17">
        <v>0.47</v>
      </c>
      <c r="H375" s="17">
        <v>0.57999999999999996</v>
      </c>
      <c r="I375">
        <v>0.41542818760407174</v>
      </c>
      <c r="J375" s="17">
        <v>3.49</v>
      </c>
      <c r="L375" s="22" t="s">
        <v>45</v>
      </c>
      <c r="M375" s="24" t="s">
        <v>15</v>
      </c>
      <c r="N375" s="22" t="str">
        <f>SUBSTITUTE(C373,",",".")</f>
        <v>9.02262513698318</v>
      </c>
      <c r="O375" s="22" t="str">
        <f>SUBSTITUTE(D373,",",".")</f>
        <v>22.02</v>
      </c>
      <c r="P375" s="22" t="str">
        <f>SUBSTITUTE(E373,",",".")</f>
        <v>7.86438484855146</v>
      </c>
      <c r="Q375" s="22" t="str">
        <f>SUBSTITUTE(F373,",",".")</f>
        <v>16.4356714695517</v>
      </c>
      <c r="R375" s="22" t="str">
        <f>SUBSTITUTE(G373,",",".")</f>
        <v>0.57</v>
      </c>
      <c r="S375" s="22" t="str">
        <f>SUBSTITUTE(H373,",",".")</f>
        <v>0.21</v>
      </c>
      <c r="T375" s="22" t="str">
        <f>SUBSTITUTE(I373,",",".")</f>
        <v>0.419636280223828</v>
      </c>
      <c r="U375" s="22" t="str">
        <f>SUBSTITUTE(J373,",",".")</f>
        <v>3.62</v>
      </c>
    </row>
    <row r="376" spans="1:21" x14ac:dyDescent="0.25">
      <c r="A376" t="s">
        <v>45</v>
      </c>
      <c r="B376" s="1" t="s">
        <v>18</v>
      </c>
      <c r="C376">
        <v>4.4519405236914302</v>
      </c>
      <c r="D376" s="17">
        <v>19.72</v>
      </c>
      <c r="E376">
        <v>14.555482618757523</v>
      </c>
      <c r="F376">
        <v>16.610143694288045</v>
      </c>
      <c r="G376" s="17">
        <v>0.52</v>
      </c>
      <c r="H376" s="17">
        <v>0.59</v>
      </c>
      <c r="I376">
        <v>0.57655416553889283</v>
      </c>
      <c r="J376" s="17">
        <v>3.59</v>
      </c>
      <c r="L376" s="22" t="s">
        <v>45</v>
      </c>
      <c r="M376" s="24" t="s">
        <v>16</v>
      </c>
      <c r="N376" s="22" t="str">
        <f>SUBSTITUTE(C374,",",".")</f>
        <v>3.7043573357801</v>
      </c>
      <c r="O376" s="22" t="str">
        <f>SUBSTITUTE(D374,",",".")</f>
        <v>21.06</v>
      </c>
      <c r="P376" s="22" t="str">
        <f>SUBSTITUTE(E374,",",".")</f>
        <v>11.2099162727117</v>
      </c>
      <c r="Q376" s="22" t="str">
        <f>SUBSTITUTE(F374,",",".")</f>
        <v>16.4873785396787</v>
      </c>
      <c r="R376" s="22" t="str">
        <f>SUBSTITUTE(G374,",",".")</f>
        <v>0.45</v>
      </c>
      <c r="S376" s="22" t="str">
        <f>SUBSTITUTE(H374,",",".")</f>
        <v>0.71</v>
      </c>
      <c r="T376" s="22" t="str">
        <f>SUBSTITUTE(I374,",",".")</f>
        <v>0.428375401768254</v>
      </c>
      <c r="U376" s="22" t="str">
        <f>SUBSTITUTE(J374,",",".")</f>
        <v>3.46</v>
      </c>
    </row>
    <row r="377" spans="1:21" x14ac:dyDescent="0.25">
      <c r="A377" t="s">
        <v>45</v>
      </c>
      <c r="B377" s="1" t="s">
        <v>19</v>
      </c>
      <c r="C377">
        <v>7.5656605553657208</v>
      </c>
      <c r="D377" s="17">
        <v>20.91</v>
      </c>
      <c r="E377">
        <v>16.562195087675182</v>
      </c>
      <c r="F377">
        <v>16.847702187554908</v>
      </c>
      <c r="G377" s="17">
        <v>0.54</v>
      </c>
      <c r="H377" s="17">
        <v>0.57999999999999996</v>
      </c>
      <c r="I377">
        <v>0.59686576426283944</v>
      </c>
      <c r="J377" s="17">
        <v>3.46</v>
      </c>
      <c r="L377" s="22" t="s">
        <v>45</v>
      </c>
      <c r="M377" s="24" t="s">
        <v>17</v>
      </c>
      <c r="N377" s="22" t="str">
        <f>SUBSTITUTE(C375,",",".")</f>
        <v>13.3623243827654</v>
      </c>
      <c r="O377" s="22" t="str">
        <f>SUBSTITUTE(D375,",",".")</f>
        <v>19.4</v>
      </c>
      <c r="P377" s="22" t="str">
        <f>SUBSTITUTE(E375,",",".")</f>
        <v>25.1836417372499</v>
      </c>
      <c r="Q377" s="22" t="str">
        <f>SUBSTITUTE(F375,",",".")</f>
        <v>16.567140100609</v>
      </c>
      <c r="R377" s="22" t="str">
        <f>SUBSTITUTE(G375,",",".")</f>
        <v>0.47</v>
      </c>
      <c r="S377" s="22" t="str">
        <f>SUBSTITUTE(H375,",",".")</f>
        <v>0.58</v>
      </c>
      <c r="T377" s="22" t="str">
        <f>SUBSTITUTE(I375,",",".")</f>
        <v>0.415428187604072</v>
      </c>
      <c r="U377" s="22" t="str">
        <f>SUBSTITUTE(J375,",",".")</f>
        <v>3.49</v>
      </c>
    </row>
    <row r="378" spans="1:21" x14ac:dyDescent="0.25">
      <c r="A378" t="s">
        <v>45</v>
      </c>
      <c r="B378" s="1" t="s">
        <v>20</v>
      </c>
      <c r="C378">
        <v>4.8489470488904045</v>
      </c>
      <c r="D378" s="17">
        <v>19.670000000000002</v>
      </c>
      <c r="E378">
        <v>22.223154647042779</v>
      </c>
      <c r="F378">
        <v>16.838070090957292</v>
      </c>
      <c r="G378" s="17">
        <v>0.57999999999999996</v>
      </c>
      <c r="H378" s="17">
        <v>0.23</v>
      </c>
      <c r="I378">
        <v>0.67342400838579641</v>
      </c>
      <c r="J378" s="17">
        <v>3.03</v>
      </c>
      <c r="L378" s="22" t="s">
        <v>45</v>
      </c>
      <c r="M378" s="24" t="s">
        <v>18</v>
      </c>
      <c r="N378" s="22" t="str">
        <f>SUBSTITUTE(C376,",",".")</f>
        <v>4.45194052369143</v>
      </c>
      <c r="O378" s="22" t="str">
        <f>SUBSTITUTE(D376,",",".")</f>
        <v>19.72</v>
      </c>
      <c r="P378" s="22" t="str">
        <f>SUBSTITUTE(E376,",",".")</f>
        <v>14.5554826187575</v>
      </c>
      <c r="Q378" s="22" t="str">
        <f>SUBSTITUTE(F376,",",".")</f>
        <v>16.610143694288</v>
      </c>
      <c r="R378" s="22" t="str">
        <f>SUBSTITUTE(G376,",",".")</f>
        <v>0.52</v>
      </c>
      <c r="S378" s="22" t="str">
        <f>SUBSTITUTE(H376,",",".")</f>
        <v>0.59</v>
      </c>
      <c r="T378" s="22" t="str">
        <f>SUBSTITUTE(I376,",",".")</f>
        <v>0.576554165538893</v>
      </c>
      <c r="U378" s="22" t="str">
        <f>SUBSTITUTE(J376,",",".")</f>
        <v>3.59</v>
      </c>
    </row>
    <row r="379" spans="1:21" x14ac:dyDescent="0.25">
      <c r="A379" t="s">
        <v>45</v>
      </c>
      <c r="B379" s="1" t="s">
        <v>21</v>
      </c>
      <c r="C379">
        <v>8.1193467414835645</v>
      </c>
      <c r="D379" s="17">
        <v>18.850000000000001</v>
      </c>
      <c r="E379">
        <v>23.753439534000066</v>
      </c>
      <c r="F379">
        <v>16.880448693654429</v>
      </c>
      <c r="G379" s="17">
        <v>0.62</v>
      </c>
      <c r="H379" s="17">
        <v>0.27</v>
      </c>
      <c r="I379">
        <v>0.61461740257732056</v>
      </c>
      <c r="J379" s="17">
        <v>3.17</v>
      </c>
      <c r="L379" s="22" t="s">
        <v>45</v>
      </c>
      <c r="M379" s="24" t="s">
        <v>19</v>
      </c>
      <c r="N379" s="22" t="str">
        <f>SUBSTITUTE(C377,",",".")</f>
        <v>7.56566055536572</v>
      </c>
      <c r="O379" s="22" t="str">
        <f>SUBSTITUTE(D377,",",".")</f>
        <v>20.91</v>
      </c>
      <c r="P379" s="22" t="str">
        <f>SUBSTITUTE(E377,",",".")</f>
        <v>16.5621950876752</v>
      </c>
      <c r="Q379" s="22" t="str">
        <f>SUBSTITUTE(F377,",",".")</f>
        <v>16.8477021875549</v>
      </c>
      <c r="R379" s="22" t="str">
        <f>SUBSTITUTE(G377,",",".")</f>
        <v>0.54</v>
      </c>
      <c r="S379" s="22" t="str">
        <f>SUBSTITUTE(H377,",",".")</f>
        <v>0.58</v>
      </c>
      <c r="T379" s="22" t="str">
        <f>SUBSTITUTE(I377,",",".")</f>
        <v>0.596865764262839</v>
      </c>
      <c r="U379" s="22" t="str">
        <f>SUBSTITUTE(J377,",",".")</f>
        <v>3.46</v>
      </c>
    </row>
    <row r="380" spans="1:21" x14ac:dyDescent="0.25">
      <c r="A380" t="s">
        <v>45</v>
      </c>
      <c r="B380" s="1" t="s">
        <v>22</v>
      </c>
      <c r="C380">
        <v>7.9679102558800636</v>
      </c>
      <c r="D380" s="17">
        <v>17.7</v>
      </c>
      <c r="E380">
        <v>17.212303050359974</v>
      </c>
      <c r="F380">
        <v>16.872227623759663</v>
      </c>
      <c r="G380" s="17">
        <v>0.63</v>
      </c>
      <c r="H380" s="17">
        <v>0.47</v>
      </c>
      <c r="I380">
        <v>0.59014285815396439</v>
      </c>
      <c r="J380" s="17">
        <v>3.25</v>
      </c>
      <c r="L380" s="22" t="s">
        <v>45</v>
      </c>
      <c r="M380" s="24" t="s">
        <v>20</v>
      </c>
      <c r="N380" s="22" t="str">
        <f>SUBSTITUTE(C378,",",".")</f>
        <v>4.8489470488904</v>
      </c>
      <c r="O380" s="22" t="str">
        <f>SUBSTITUTE(D378,",",".")</f>
        <v>19.67</v>
      </c>
      <c r="P380" s="22" t="str">
        <f>SUBSTITUTE(E378,",",".")</f>
        <v>22.2231546470428</v>
      </c>
      <c r="Q380" s="22" t="str">
        <f>SUBSTITUTE(F378,",",".")</f>
        <v>16.8380700909573</v>
      </c>
      <c r="R380" s="22" t="str">
        <f>SUBSTITUTE(G378,",",".")</f>
        <v>0.58</v>
      </c>
      <c r="S380" s="22" t="str">
        <f>SUBSTITUTE(H378,",",".")</f>
        <v>0.23</v>
      </c>
      <c r="T380" s="22" t="str">
        <f>SUBSTITUTE(I378,",",".")</f>
        <v>0.673424008385796</v>
      </c>
      <c r="U380" s="22" t="str">
        <f>SUBSTITUTE(J378,",",".")</f>
        <v>3.03</v>
      </c>
    </row>
    <row r="381" spans="1:21" x14ac:dyDescent="0.25">
      <c r="A381" t="s">
        <v>45</v>
      </c>
      <c r="B381" s="1" t="s">
        <v>23</v>
      </c>
      <c r="C381">
        <v>3.3286495276850383</v>
      </c>
      <c r="D381" s="17">
        <v>18.54</v>
      </c>
      <c r="E381">
        <v>18.233768603757056</v>
      </c>
      <c r="F381">
        <v>16.911828435407745</v>
      </c>
      <c r="G381" s="17">
        <v>0.64</v>
      </c>
      <c r="H381" s="17">
        <v>0.41</v>
      </c>
      <c r="I381">
        <v>0.6409267691163133</v>
      </c>
      <c r="J381" s="17">
        <v>3.35</v>
      </c>
      <c r="L381" s="22" t="s">
        <v>45</v>
      </c>
      <c r="M381" s="24" t="s">
        <v>21</v>
      </c>
      <c r="N381" s="22" t="str">
        <f>SUBSTITUTE(C379,",",".")</f>
        <v>8.11934674148356</v>
      </c>
      <c r="O381" s="22" t="str">
        <f>SUBSTITUTE(D379,",",".")</f>
        <v>18.85</v>
      </c>
      <c r="P381" s="22" t="str">
        <f>SUBSTITUTE(E379,",",".")</f>
        <v>23.7534395340001</v>
      </c>
      <c r="Q381" s="22" t="str">
        <f>SUBSTITUTE(F379,",",".")</f>
        <v>16.8804486936544</v>
      </c>
      <c r="R381" s="22" t="str">
        <f>SUBSTITUTE(G379,",",".")</f>
        <v>0.62</v>
      </c>
      <c r="S381" s="22" t="str">
        <f>SUBSTITUTE(H379,",",".")</f>
        <v>0.27</v>
      </c>
      <c r="T381" s="22" t="str">
        <f>SUBSTITUTE(I379,",",".")</f>
        <v>0.614617402577321</v>
      </c>
      <c r="U381" s="22" t="str">
        <f>SUBSTITUTE(J379,",",".")</f>
        <v>3.17</v>
      </c>
    </row>
    <row r="382" spans="1:21" x14ac:dyDescent="0.25">
      <c r="A382" t="s">
        <v>35</v>
      </c>
      <c r="B382" s="1" t="s">
        <v>4</v>
      </c>
      <c r="C382">
        <v>3.0107541126946225</v>
      </c>
      <c r="D382" s="18">
        <v>24.92</v>
      </c>
      <c r="E382">
        <v>22.768925775428091</v>
      </c>
      <c r="F382">
        <v>15.783427765516011</v>
      </c>
      <c r="G382" s="18">
        <v>1.7</v>
      </c>
      <c r="H382" s="18">
        <v>1.71</v>
      </c>
      <c r="I382">
        <v>1.023016422664164</v>
      </c>
      <c r="J382" s="18">
        <v>4.57</v>
      </c>
      <c r="L382" s="22" t="s">
        <v>45</v>
      </c>
      <c r="M382" s="24" t="s">
        <v>22</v>
      </c>
      <c r="N382" s="22" t="str">
        <f>SUBSTITUTE(C380,",",".")</f>
        <v>7.96791025588006</v>
      </c>
      <c r="O382" s="22" t="str">
        <f>SUBSTITUTE(D380,",",".")</f>
        <v>17.7</v>
      </c>
      <c r="P382" s="22" t="str">
        <f>SUBSTITUTE(E380,",",".")</f>
        <v>17.21230305036</v>
      </c>
      <c r="Q382" s="22" t="str">
        <f>SUBSTITUTE(F380,",",".")</f>
        <v>16.8722276237597</v>
      </c>
      <c r="R382" s="22" t="str">
        <f>SUBSTITUTE(G380,",",".")</f>
        <v>0.63</v>
      </c>
      <c r="S382" s="22" t="str">
        <f>SUBSTITUTE(H380,",",".")</f>
        <v>0.47</v>
      </c>
      <c r="T382" s="22" t="str">
        <f>SUBSTITUTE(I380,",",".")</f>
        <v>0.590142858153964</v>
      </c>
      <c r="U382" s="22" t="str">
        <f>SUBSTITUTE(J380,",",".")</f>
        <v>3.25</v>
      </c>
    </row>
    <row r="383" spans="1:21" x14ac:dyDescent="0.25">
      <c r="A383" t="s">
        <v>35</v>
      </c>
      <c r="B383" s="1" t="s">
        <v>5</v>
      </c>
      <c r="C383">
        <v>1.8061994019275416</v>
      </c>
      <c r="D383" s="18">
        <v>24.37</v>
      </c>
      <c r="E383">
        <v>24.477984900980797</v>
      </c>
      <c r="F383">
        <v>15.816482591343252</v>
      </c>
      <c r="G383" s="18">
        <v>1.6</v>
      </c>
      <c r="H383" s="18">
        <v>1.58</v>
      </c>
      <c r="I383">
        <v>1.0136672964759454</v>
      </c>
      <c r="J383" s="18">
        <v>4.46</v>
      </c>
      <c r="L383" s="22" t="s">
        <v>45</v>
      </c>
      <c r="M383" s="24" t="s">
        <v>23</v>
      </c>
      <c r="N383" s="22" t="str">
        <f>SUBSTITUTE(C381,",",".")</f>
        <v>3.32864952768504</v>
      </c>
      <c r="O383" s="22" t="str">
        <f>SUBSTITUTE(D381,",",".")</f>
        <v>18.54</v>
      </c>
      <c r="P383" s="22" t="str">
        <f>SUBSTITUTE(E381,",",".")</f>
        <v>18.2337686037571</v>
      </c>
      <c r="Q383" s="22" t="str">
        <f>SUBSTITUTE(F381,",",".")</f>
        <v>16.9118284354077</v>
      </c>
      <c r="R383" s="22" t="str">
        <f>SUBSTITUTE(G381,",",".")</f>
        <v>0.64</v>
      </c>
      <c r="S383" s="22" t="str">
        <f>SUBSTITUTE(H381,",",".")</f>
        <v>0.41</v>
      </c>
      <c r="T383" s="22" t="str">
        <f>SUBSTITUTE(I381,",",".")</f>
        <v>0.640926769116313</v>
      </c>
      <c r="U383" s="22" t="str">
        <f>SUBSTITUTE(J381,",",".")</f>
        <v>3.35</v>
      </c>
    </row>
    <row r="384" spans="1:21" x14ac:dyDescent="0.25">
      <c r="A384" t="s">
        <v>35</v>
      </c>
      <c r="B384" s="1" t="s">
        <v>6</v>
      </c>
      <c r="C384">
        <v>-0.43085860536055148</v>
      </c>
      <c r="D384" s="18">
        <v>24.57</v>
      </c>
      <c r="E384">
        <v>21.473766041038207</v>
      </c>
      <c r="F384">
        <v>15.778596076570778</v>
      </c>
      <c r="G384" s="18">
        <v>1.51</v>
      </c>
      <c r="H384" s="18">
        <v>1.69</v>
      </c>
      <c r="I384">
        <v>0.98684280084125553</v>
      </c>
      <c r="J384" s="18">
        <v>4.4400000000000004</v>
      </c>
      <c r="L384" s="22" t="s">
        <v>35</v>
      </c>
      <c r="M384" s="24" t="s">
        <v>4</v>
      </c>
      <c r="N384" s="22" t="str">
        <f>SUBSTITUTE(C382,",",".")</f>
        <v>3.01075411269462</v>
      </c>
      <c r="O384" s="22" t="str">
        <f>SUBSTITUTE(D382,",",".")</f>
        <v>24.92</v>
      </c>
      <c r="P384" s="22" t="str">
        <f>SUBSTITUTE(E382,",",".")</f>
        <v>22.7689257754281</v>
      </c>
      <c r="Q384" s="22" t="str">
        <f>SUBSTITUTE(F382,",",".")</f>
        <v>15.783427765516</v>
      </c>
      <c r="R384" s="22" t="str">
        <f>SUBSTITUTE(G382,",",".")</f>
        <v>1.7</v>
      </c>
      <c r="S384" s="22" t="str">
        <f>SUBSTITUTE(H382,",",".")</f>
        <v>1.71</v>
      </c>
      <c r="T384" s="22" t="str">
        <f>SUBSTITUTE(I382,",",".")</f>
        <v>1.02301642266416</v>
      </c>
      <c r="U384" s="22" t="str">
        <f>SUBSTITUTE(J382,",",".")</f>
        <v>4.57</v>
      </c>
    </row>
    <row r="385" spans="1:21" x14ac:dyDescent="0.25">
      <c r="A385" t="s">
        <v>35</v>
      </c>
      <c r="B385" s="1" t="s">
        <v>7</v>
      </c>
      <c r="C385">
        <v>0.79130967651077722</v>
      </c>
      <c r="D385" s="18">
        <v>25.52</v>
      </c>
      <c r="E385">
        <v>22.176089317737009</v>
      </c>
      <c r="F385">
        <v>15.803011411720735</v>
      </c>
      <c r="G385" s="18">
        <v>1.77</v>
      </c>
      <c r="H385" s="18">
        <v>1.51</v>
      </c>
      <c r="I385">
        <v>0.93749265715369468</v>
      </c>
      <c r="J385" s="18">
        <v>4.45</v>
      </c>
      <c r="L385" s="22" t="s">
        <v>35</v>
      </c>
      <c r="M385" s="24" t="s">
        <v>5</v>
      </c>
      <c r="N385" s="22" t="str">
        <f>SUBSTITUTE(C383,",",".")</f>
        <v>1.80619940192754</v>
      </c>
      <c r="O385" s="22" t="str">
        <f>SUBSTITUTE(D383,",",".")</f>
        <v>24.37</v>
      </c>
      <c r="P385" s="22" t="str">
        <f>SUBSTITUTE(E383,",",".")</f>
        <v>24.4779849009808</v>
      </c>
      <c r="Q385" s="22" t="str">
        <f>SUBSTITUTE(F383,",",".")</f>
        <v>15.8164825913433</v>
      </c>
      <c r="R385" s="22" t="str">
        <f>SUBSTITUTE(G383,",",".")</f>
        <v>1.6</v>
      </c>
      <c r="S385" s="22" t="str">
        <f>SUBSTITUTE(H383,",",".")</f>
        <v>1.58</v>
      </c>
      <c r="T385" s="22" t="str">
        <f>SUBSTITUTE(I383,",",".")</f>
        <v>1.01366729647595</v>
      </c>
      <c r="U385" s="22" t="str">
        <f>SUBSTITUTE(J383,",",".")</f>
        <v>4.46</v>
      </c>
    </row>
    <row r="386" spans="1:21" x14ac:dyDescent="0.25">
      <c r="A386" t="s">
        <v>35</v>
      </c>
      <c r="B386" s="1" t="s">
        <v>8</v>
      </c>
      <c r="C386">
        <v>-0.99812358807555324</v>
      </c>
      <c r="D386" s="18">
        <v>25.63</v>
      </c>
      <c r="E386">
        <v>27.020868014639412</v>
      </c>
      <c r="F386">
        <v>15.856558404417209</v>
      </c>
      <c r="G386" s="18">
        <v>0.97</v>
      </c>
      <c r="H386" s="18">
        <v>1.6</v>
      </c>
      <c r="I386">
        <v>1.1114506392075556</v>
      </c>
      <c r="J386" s="18">
        <v>3.84</v>
      </c>
      <c r="L386" s="22" t="s">
        <v>35</v>
      </c>
      <c r="M386" s="24" t="s">
        <v>6</v>
      </c>
      <c r="N386" s="22" t="str">
        <f>SUBSTITUTE(C384,",",".")</f>
        <v>-0.430858605360551</v>
      </c>
      <c r="O386" s="22" t="str">
        <f>SUBSTITUTE(D384,",",".")</f>
        <v>24.57</v>
      </c>
      <c r="P386" s="22" t="str">
        <f>SUBSTITUTE(E384,",",".")</f>
        <v>21.4737660410382</v>
      </c>
      <c r="Q386" s="22" t="str">
        <f>SUBSTITUTE(F384,",",".")</f>
        <v>15.7785960765708</v>
      </c>
      <c r="R386" s="22" t="str">
        <f>SUBSTITUTE(G384,",",".")</f>
        <v>1.51</v>
      </c>
      <c r="S386" s="22" t="str">
        <f>SUBSTITUTE(H384,",",".")</f>
        <v>1.69</v>
      </c>
      <c r="T386" s="22" t="str">
        <f>SUBSTITUTE(I384,",",".")</f>
        <v>0.986842800841256</v>
      </c>
      <c r="U386" s="22" t="str">
        <f>SUBSTITUTE(J384,",",".")</f>
        <v>4.44</v>
      </c>
    </row>
    <row r="387" spans="1:21" x14ac:dyDescent="0.25">
      <c r="A387" t="s">
        <v>35</v>
      </c>
      <c r="B387" s="1" t="s">
        <v>9</v>
      </c>
      <c r="C387">
        <v>-0.61939390137843697</v>
      </c>
      <c r="D387" s="18">
        <v>25.54</v>
      </c>
      <c r="E387">
        <v>24.44049433197404</v>
      </c>
      <c r="F387">
        <v>15.814259535025949</v>
      </c>
      <c r="G387" s="18">
        <v>0.9</v>
      </c>
      <c r="H387" s="18">
        <v>1.72</v>
      </c>
      <c r="I387">
        <v>1.1557999283115756</v>
      </c>
      <c r="J387" s="18">
        <v>3.74</v>
      </c>
      <c r="L387" s="22" t="s">
        <v>35</v>
      </c>
      <c r="M387" s="24" t="s">
        <v>7</v>
      </c>
      <c r="N387" s="22" t="str">
        <f>SUBSTITUTE(C385,",",".")</f>
        <v>0.791309676510777</v>
      </c>
      <c r="O387" s="22" t="str">
        <f>SUBSTITUTE(D385,",",".")</f>
        <v>25.52</v>
      </c>
      <c r="P387" s="22" t="str">
        <f>SUBSTITUTE(E385,",",".")</f>
        <v>22.176089317737</v>
      </c>
      <c r="Q387" s="22" t="str">
        <f>SUBSTITUTE(F385,",",".")</f>
        <v>15.8030114117207</v>
      </c>
      <c r="R387" s="22" t="str">
        <f>SUBSTITUTE(G385,",",".")</f>
        <v>1.77</v>
      </c>
      <c r="S387" s="22" t="str">
        <f>SUBSTITUTE(H385,",",".")</f>
        <v>1.51</v>
      </c>
      <c r="T387" s="22" t="str">
        <f>SUBSTITUTE(I385,",",".")</f>
        <v>0.937492657153695</v>
      </c>
      <c r="U387" s="22" t="str">
        <f>SUBSTITUTE(J385,",",".")</f>
        <v>4.45</v>
      </c>
    </row>
    <row r="388" spans="1:21" x14ac:dyDescent="0.25">
      <c r="A388" t="s">
        <v>35</v>
      </c>
      <c r="B388" s="1" t="s">
        <v>10</v>
      </c>
      <c r="C388">
        <v>5.0436495506466352</v>
      </c>
      <c r="D388" s="18">
        <v>24.51</v>
      </c>
      <c r="E388">
        <v>18.668353074771275</v>
      </c>
      <c r="F388">
        <v>15.782472134072599</v>
      </c>
      <c r="G388" s="18">
        <v>0.9</v>
      </c>
      <c r="H388" s="18">
        <v>1.6</v>
      </c>
      <c r="I388">
        <v>1.0243240681139676</v>
      </c>
      <c r="J388" s="18">
        <v>3.73</v>
      </c>
      <c r="L388" s="22" t="s">
        <v>35</v>
      </c>
      <c r="M388" s="24" t="s">
        <v>8</v>
      </c>
      <c r="N388" s="22" t="str">
        <f>SUBSTITUTE(C386,",",".")</f>
        <v>-0.998123588075553</v>
      </c>
      <c r="O388" s="22" t="str">
        <f>SUBSTITUTE(D386,",",".")</f>
        <v>25.63</v>
      </c>
      <c r="P388" s="22" t="str">
        <f>SUBSTITUTE(E386,",",".")</f>
        <v>27.0208680146394</v>
      </c>
      <c r="Q388" s="22" t="str">
        <f>SUBSTITUTE(F386,",",".")</f>
        <v>15.8565584044172</v>
      </c>
      <c r="R388" s="22" t="str">
        <f>SUBSTITUTE(G386,",",".")</f>
        <v>0.97</v>
      </c>
      <c r="S388" s="22" t="str">
        <f>SUBSTITUTE(H386,",",".")</f>
        <v>1.6</v>
      </c>
      <c r="T388" s="22" t="str">
        <f>SUBSTITUTE(I386,",",".")</f>
        <v>1.11145063920756</v>
      </c>
      <c r="U388" s="22" t="str">
        <f>SUBSTITUTE(J386,",",".")</f>
        <v>3.84</v>
      </c>
    </row>
    <row r="389" spans="1:21" x14ac:dyDescent="0.25">
      <c r="A389" t="s">
        <v>35</v>
      </c>
      <c r="B389" s="1" t="s">
        <v>11</v>
      </c>
      <c r="C389">
        <v>4.8599214862838496</v>
      </c>
      <c r="D389" s="18">
        <v>23.55</v>
      </c>
      <c r="E389">
        <v>4.3616599808561221</v>
      </c>
      <c r="F389">
        <v>15.844665403729444</v>
      </c>
      <c r="G389" s="18">
        <v>0.96</v>
      </c>
      <c r="H389" s="18">
        <v>1.53</v>
      </c>
      <c r="I389">
        <v>0.88232230917636101</v>
      </c>
      <c r="J389" s="18">
        <v>3.72</v>
      </c>
      <c r="L389" s="22" t="s">
        <v>35</v>
      </c>
      <c r="M389" s="24" t="s">
        <v>9</v>
      </c>
      <c r="N389" s="22" t="str">
        <f>SUBSTITUTE(C387,",",".")</f>
        <v>-0.619393901378437</v>
      </c>
      <c r="O389" s="22" t="str">
        <f>SUBSTITUTE(D387,",",".")</f>
        <v>25.54</v>
      </c>
      <c r="P389" s="22" t="str">
        <f>SUBSTITUTE(E387,",",".")</f>
        <v>24.440494331974</v>
      </c>
      <c r="Q389" s="22" t="str">
        <f>SUBSTITUTE(F387,",",".")</f>
        <v>15.8142595350259</v>
      </c>
      <c r="R389" s="22" t="str">
        <f>SUBSTITUTE(G387,",",".")</f>
        <v>0.9</v>
      </c>
      <c r="S389" s="22" t="str">
        <f>SUBSTITUTE(H387,",",".")</f>
        <v>1.72</v>
      </c>
      <c r="T389" s="22" t="str">
        <f>SUBSTITUTE(I387,",",".")</f>
        <v>1.15579992831158</v>
      </c>
      <c r="U389" s="22" t="str">
        <f>SUBSTITUTE(J387,",",".")</f>
        <v>3.74</v>
      </c>
    </row>
    <row r="390" spans="1:21" x14ac:dyDescent="0.25">
      <c r="A390" t="s">
        <v>35</v>
      </c>
      <c r="B390" s="1" t="s">
        <v>12</v>
      </c>
      <c r="C390">
        <v>1.0209486213447738</v>
      </c>
      <c r="D390" s="18">
        <v>23.41</v>
      </c>
      <c r="E390">
        <v>21.100379097884449</v>
      </c>
      <c r="F390">
        <v>15.884616874728724</v>
      </c>
      <c r="G390" s="18">
        <v>0.64</v>
      </c>
      <c r="H390" s="18">
        <v>1.41</v>
      </c>
      <c r="I390">
        <v>1.4204860661981344</v>
      </c>
      <c r="J390" s="18">
        <v>3.45</v>
      </c>
      <c r="L390" s="22" t="s">
        <v>35</v>
      </c>
      <c r="M390" s="24" t="s">
        <v>10</v>
      </c>
      <c r="N390" s="22" t="str">
        <f>SUBSTITUTE(C388,",",".")</f>
        <v>5.04364955064664</v>
      </c>
      <c r="O390" s="22" t="str">
        <f>SUBSTITUTE(D388,",",".")</f>
        <v>24.51</v>
      </c>
      <c r="P390" s="22" t="str">
        <f>SUBSTITUTE(E388,",",".")</f>
        <v>18.6683530747713</v>
      </c>
      <c r="Q390" s="22" t="str">
        <f>SUBSTITUTE(F388,",",".")</f>
        <v>15.7824721340726</v>
      </c>
      <c r="R390" s="22" t="str">
        <f>SUBSTITUTE(G388,",",".")</f>
        <v>0.9</v>
      </c>
      <c r="S390" s="22" t="str">
        <f>SUBSTITUTE(H388,",",".")</f>
        <v>1.6</v>
      </c>
      <c r="T390" s="22" t="str">
        <f>SUBSTITUTE(I388,",",".")</f>
        <v>1.02432406811397</v>
      </c>
      <c r="U390" s="22" t="str">
        <f>SUBSTITUTE(J388,",",".")</f>
        <v>3.73</v>
      </c>
    </row>
    <row r="391" spans="1:21" x14ac:dyDescent="0.25">
      <c r="A391" t="s">
        <v>35</v>
      </c>
      <c r="B391" s="1" t="s">
        <v>13</v>
      </c>
      <c r="C391">
        <v>-5.7926864906557052</v>
      </c>
      <c r="D391" s="18">
        <v>24.31</v>
      </c>
      <c r="E391">
        <v>21.239936838492561</v>
      </c>
      <c r="F391">
        <v>15.854953594088725</v>
      </c>
      <c r="G391" s="18">
        <v>0.82</v>
      </c>
      <c r="H391" s="18">
        <v>2.2400000000000002</v>
      </c>
      <c r="I391">
        <v>1.2941866155913444</v>
      </c>
      <c r="J391" s="18">
        <v>3.46</v>
      </c>
      <c r="L391" s="22" t="s">
        <v>35</v>
      </c>
      <c r="M391" s="24" t="s">
        <v>11</v>
      </c>
      <c r="N391" s="22" t="str">
        <f>SUBSTITUTE(C389,",",".")</f>
        <v>4.85992148628385</v>
      </c>
      <c r="O391" s="22" t="str">
        <f>SUBSTITUTE(D389,",",".")</f>
        <v>23.55</v>
      </c>
      <c r="P391" s="22" t="str">
        <f>SUBSTITUTE(E389,",",".")</f>
        <v>4.36165998085612</v>
      </c>
      <c r="Q391" s="22" t="str">
        <f>SUBSTITUTE(F389,",",".")</f>
        <v>15.8446654037294</v>
      </c>
      <c r="R391" s="22" t="str">
        <f>SUBSTITUTE(G389,",",".")</f>
        <v>0.96</v>
      </c>
      <c r="S391" s="22" t="str">
        <f>SUBSTITUTE(H389,",",".")</f>
        <v>1.53</v>
      </c>
      <c r="T391" s="22" t="str">
        <f>SUBSTITUTE(I389,",",".")</f>
        <v>0.882322309176361</v>
      </c>
      <c r="U391" s="22" t="str">
        <f>SUBSTITUTE(J389,",",".")</f>
        <v>3.72</v>
      </c>
    </row>
    <row r="392" spans="1:21" x14ac:dyDescent="0.25">
      <c r="A392" t="s">
        <v>35</v>
      </c>
      <c r="B392" s="1" t="s">
        <v>14</v>
      </c>
      <c r="C392">
        <v>-5.1226389495168769</v>
      </c>
      <c r="D392" s="18">
        <v>24.9</v>
      </c>
      <c r="E392">
        <v>25.186392177496273</v>
      </c>
      <c r="F392">
        <v>15.900344534299235</v>
      </c>
      <c r="G392" s="18">
        <v>0.67</v>
      </c>
      <c r="H392" s="18">
        <v>2.5499999999999998</v>
      </c>
      <c r="I392">
        <v>1.3167243458935549</v>
      </c>
      <c r="J392" s="18">
        <v>4.2300000000000004</v>
      </c>
      <c r="L392" s="22" t="s">
        <v>35</v>
      </c>
      <c r="M392" s="24" t="s">
        <v>12</v>
      </c>
      <c r="N392" s="22" t="str">
        <f>SUBSTITUTE(C390,",",".")</f>
        <v>1.02094862134477</v>
      </c>
      <c r="O392" s="22" t="str">
        <f>SUBSTITUTE(D390,",",".")</f>
        <v>23.41</v>
      </c>
      <c r="P392" s="22" t="str">
        <f>SUBSTITUTE(E390,",",".")</f>
        <v>21.1003790978844</v>
      </c>
      <c r="Q392" s="22" t="str">
        <f>SUBSTITUTE(F390,",",".")</f>
        <v>15.8846168747287</v>
      </c>
      <c r="R392" s="22" t="str">
        <f>SUBSTITUTE(G390,",",".")</f>
        <v>0.64</v>
      </c>
      <c r="S392" s="22" t="str">
        <f>SUBSTITUTE(H390,",",".")</f>
        <v>1.41</v>
      </c>
      <c r="T392" s="22" t="str">
        <f>SUBSTITUTE(I390,",",".")</f>
        <v>1.42048606619813</v>
      </c>
      <c r="U392" s="22" t="str">
        <f>SUBSTITUTE(J390,",",".")</f>
        <v>3.45</v>
      </c>
    </row>
    <row r="393" spans="1:21" x14ac:dyDescent="0.25">
      <c r="A393" t="s">
        <v>35</v>
      </c>
      <c r="B393" s="1" t="s">
        <v>15</v>
      </c>
      <c r="C393">
        <v>-1.8911940093072874</v>
      </c>
      <c r="D393" s="18">
        <v>25.8</v>
      </c>
      <c r="E393">
        <v>11.34638808943685</v>
      </c>
      <c r="F393">
        <v>15.848583893914082</v>
      </c>
      <c r="G393" s="18">
        <v>0.69</v>
      </c>
      <c r="H393" s="18">
        <v>2.63</v>
      </c>
      <c r="I393">
        <v>1.4430438555526977</v>
      </c>
      <c r="J393" s="18">
        <v>4.17</v>
      </c>
      <c r="L393" s="22" t="s">
        <v>35</v>
      </c>
      <c r="M393" s="24" t="s">
        <v>13</v>
      </c>
      <c r="N393" s="22" t="str">
        <f>SUBSTITUTE(C391,",",".")</f>
        <v>-5.79268649065571</v>
      </c>
      <c r="O393" s="22" t="str">
        <f>SUBSTITUTE(D391,",",".")</f>
        <v>24.31</v>
      </c>
      <c r="P393" s="22" t="str">
        <f>SUBSTITUTE(E391,",",".")</f>
        <v>21.2399368384926</v>
      </c>
      <c r="Q393" s="22" t="str">
        <f>SUBSTITUTE(F391,",",".")</f>
        <v>15.8549535940887</v>
      </c>
      <c r="R393" s="22" t="str">
        <f>SUBSTITUTE(G391,",",".")</f>
        <v>0.82</v>
      </c>
      <c r="S393" s="22" t="str">
        <f>SUBSTITUTE(H391,",",".")</f>
        <v>2.24</v>
      </c>
      <c r="T393" s="22" t="str">
        <f>SUBSTITUTE(I391,",",".")</f>
        <v>1.29418661559134</v>
      </c>
      <c r="U393" s="22" t="str">
        <f>SUBSTITUTE(J391,",",".")</f>
        <v>3.46</v>
      </c>
    </row>
    <row r="394" spans="1:21" x14ac:dyDescent="0.25">
      <c r="A394" t="s">
        <v>35</v>
      </c>
      <c r="B394" s="1" t="s">
        <v>16</v>
      </c>
      <c r="C394">
        <v>-2.6835349209620176</v>
      </c>
      <c r="D394" s="18">
        <v>26.45</v>
      </c>
      <c r="E394">
        <v>9.6724149294252744</v>
      </c>
      <c r="F394">
        <v>15.843877070908563</v>
      </c>
      <c r="G394" s="18">
        <v>1.05</v>
      </c>
      <c r="H394" s="18">
        <v>2.44</v>
      </c>
      <c r="I394">
        <v>1.286509524419025</v>
      </c>
      <c r="J394" s="18">
        <v>4.04</v>
      </c>
      <c r="L394" s="22" t="s">
        <v>35</v>
      </c>
      <c r="M394" s="24" t="s">
        <v>14</v>
      </c>
      <c r="N394" s="22" t="str">
        <f>SUBSTITUTE(C392,",",".")</f>
        <v>-5.12263894951688</v>
      </c>
      <c r="O394" s="22" t="str">
        <f>SUBSTITUTE(D392,",",".")</f>
        <v>24.9</v>
      </c>
      <c r="P394" s="22" t="str">
        <f>SUBSTITUTE(E392,",",".")</f>
        <v>25.1863921774963</v>
      </c>
      <c r="Q394" s="22" t="str">
        <f>SUBSTITUTE(F392,",",".")</f>
        <v>15.9003445342992</v>
      </c>
      <c r="R394" s="22" t="str">
        <f>SUBSTITUTE(G392,",",".")</f>
        <v>0.67</v>
      </c>
      <c r="S394" s="22" t="str">
        <f>SUBSTITUTE(H392,",",".")</f>
        <v>2.55</v>
      </c>
      <c r="T394" s="22" t="str">
        <f>SUBSTITUTE(I392,",",".")</f>
        <v>1.31672434589355</v>
      </c>
      <c r="U394" s="22" t="str">
        <f>SUBSTITUTE(J392,",",".")</f>
        <v>4.23</v>
      </c>
    </row>
    <row r="395" spans="1:21" x14ac:dyDescent="0.25">
      <c r="A395" t="s">
        <v>35</v>
      </c>
      <c r="B395" s="1" t="s">
        <v>17</v>
      </c>
      <c r="C395">
        <v>-1.9705880371590441</v>
      </c>
      <c r="D395" s="18">
        <v>28.45</v>
      </c>
      <c r="E395">
        <v>11.980922842707939</v>
      </c>
      <c r="F395">
        <v>15.836526589258639</v>
      </c>
      <c r="G395" s="18">
        <v>1.43</v>
      </c>
      <c r="H395" s="18">
        <v>2.34</v>
      </c>
      <c r="I395">
        <v>1.5324127586682408</v>
      </c>
      <c r="J395" s="18">
        <v>4.38</v>
      </c>
      <c r="L395" s="22" t="s">
        <v>35</v>
      </c>
      <c r="M395" s="24" t="s">
        <v>15</v>
      </c>
      <c r="N395" s="22" t="str">
        <f>SUBSTITUTE(C393,",",".")</f>
        <v>-1.89119400930729</v>
      </c>
      <c r="O395" s="22" t="str">
        <f>SUBSTITUTE(D393,",",".")</f>
        <v>25.8</v>
      </c>
      <c r="P395" s="22" t="str">
        <f>SUBSTITUTE(E393,",",".")</f>
        <v>11.3463880894369</v>
      </c>
      <c r="Q395" s="22" t="str">
        <f>SUBSTITUTE(F393,",",".")</f>
        <v>15.8485838939141</v>
      </c>
      <c r="R395" s="22" t="str">
        <f>SUBSTITUTE(G393,",",".")</f>
        <v>0.69</v>
      </c>
      <c r="S395" s="22" t="str">
        <f>SUBSTITUTE(H393,",",".")</f>
        <v>2.63</v>
      </c>
      <c r="T395" s="22" t="str">
        <f>SUBSTITUTE(I393,",",".")</f>
        <v>1.4430438555527</v>
      </c>
      <c r="U395" s="22" t="str">
        <f>SUBSTITUTE(J393,",",".")</f>
        <v>4.17</v>
      </c>
    </row>
    <row r="396" spans="1:21" x14ac:dyDescent="0.25">
      <c r="A396" t="s">
        <v>35</v>
      </c>
      <c r="B396" s="1" t="s">
        <v>18</v>
      </c>
      <c r="C396">
        <v>-2.2967178814779587</v>
      </c>
      <c r="D396" s="18">
        <v>28.92</v>
      </c>
      <c r="E396">
        <v>10.095972058390771</v>
      </c>
      <c r="F396">
        <v>15.796745654710152</v>
      </c>
      <c r="G396" s="18">
        <v>0.87</v>
      </c>
      <c r="H396" s="18">
        <v>3.17</v>
      </c>
      <c r="I396">
        <v>1.8985433513001522</v>
      </c>
      <c r="J396" s="18">
        <v>4.42</v>
      </c>
      <c r="L396" s="22" t="s">
        <v>35</v>
      </c>
      <c r="M396" s="24" t="s">
        <v>16</v>
      </c>
      <c r="N396" s="22" t="str">
        <f>SUBSTITUTE(C394,",",".")</f>
        <v>-2.68353492096202</v>
      </c>
      <c r="O396" s="22" t="str">
        <f>SUBSTITUTE(D394,",",".")</f>
        <v>26.45</v>
      </c>
      <c r="P396" s="22" t="str">
        <f>SUBSTITUTE(E394,",",".")</f>
        <v>9.67241492942527</v>
      </c>
      <c r="Q396" s="22" t="str">
        <f>SUBSTITUTE(F394,",",".")</f>
        <v>15.8438770709086</v>
      </c>
      <c r="R396" s="22" t="str">
        <f>SUBSTITUTE(G394,",",".")</f>
        <v>1.05</v>
      </c>
      <c r="S396" s="22" t="str">
        <f>SUBSTITUTE(H394,",",".")</f>
        <v>2.44</v>
      </c>
      <c r="T396" s="22" t="str">
        <f>SUBSTITUTE(I394,",",".")</f>
        <v>1.28650952441902</v>
      </c>
      <c r="U396" s="22" t="str">
        <f>SUBSTITUTE(J394,",",".")</f>
        <v>4.04</v>
      </c>
    </row>
    <row r="397" spans="1:21" x14ac:dyDescent="0.25">
      <c r="A397" t="s">
        <v>35</v>
      </c>
      <c r="B397" s="1" t="s">
        <v>19</v>
      </c>
      <c r="C397">
        <v>-6.9047445999901536</v>
      </c>
      <c r="D397" s="18">
        <v>41.73</v>
      </c>
      <c r="E397">
        <v>17.32345809612756</v>
      </c>
      <c r="F397">
        <v>15.974978576416696</v>
      </c>
      <c r="G397" s="18">
        <v>0.77</v>
      </c>
      <c r="H397" s="18">
        <v>3.04</v>
      </c>
      <c r="I397">
        <v>1.9184217445307756</v>
      </c>
      <c r="J397" s="18">
        <v>4.32</v>
      </c>
      <c r="L397" s="22" t="s">
        <v>35</v>
      </c>
      <c r="M397" s="24" t="s">
        <v>17</v>
      </c>
      <c r="N397" s="22" t="str">
        <f>SUBSTITUTE(C395,",",".")</f>
        <v>-1.97058803715904</v>
      </c>
      <c r="O397" s="22" t="str">
        <f>SUBSTITUTE(D395,",",".")</f>
        <v>28.45</v>
      </c>
      <c r="P397" s="22" t="str">
        <f>SUBSTITUTE(E395,",",".")</f>
        <v>11.9809228427079</v>
      </c>
      <c r="Q397" s="22" t="str">
        <f>SUBSTITUTE(F395,",",".")</f>
        <v>15.8365265892586</v>
      </c>
      <c r="R397" s="22" t="str">
        <f>SUBSTITUTE(G395,",",".")</f>
        <v>1.43</v>
      </c>
      <c r="S397" s="22" t="str">
        <f>SUBSTITUTE(H395,",",".")</f>
        <v>2.34</v>
      </c>
      <c r="T397" s="22" t="str">
        <f>SUBSTITUTE(I395,",",".")</f>
        <v>1.53241275866824</v>
      </c>
      <c r="U397" s="22" t="str">
        <f>SUBSTITUTE(J395,",",".")</f>
        <v>4.38</v>
      </c>
    </row>
    <row r="398" spans="1:21" x14ac:dyDescent="0.25">
      <c r="A398" t="s">
        <v>35</v>
      </c>
      <c r="B398" s="1" t="s">
        <v>20</v>
      </c>
      <c r="C398">
        <v>2.9020611650553896</v>
      </c>
      <c r="D398" s="18" t="s">
        <v>481</v>
      </c>
      <c r="E398">
        <v>16.009170581188151</v>
      </c>
      <c r="F398">
        <v>15.963779807492299</v>
      </c>
      <c r="G398" s="18" t="s">
        <v>441</v>
      </c>
      <c r="H398" s="18" t="s">
        <v>483</v>
      </c>
      <c r="I398">
        <v>2.1709016989239838</v>
      </c>
      <c r="J398" s="18" t="s">
        <v>482</v>
      </c>
      <c r="L398" s="22" t="s">
        <v>35</v>
      </c>
      <c r="M398" s="24" t="s">
        <v>18</v>
      </c>
      <c r="N398" s="22" t="str">
        <f>SUBSTITUTE(C396,",",".")</f>
        <v>-2.29671788147796</v>
      </c>
      <c r="O398" s="22" t="str">
        <f>SUBSTITUTE(D396,",",".")</f>
        <v>28.92</v>
      </c>
      <c r="P398" s="22" t="str">
        <f>SUBSTITUTE(E396,",",".")</f>
        <v>10.0959720583908</v>
      </c>
      <c r="Q398" s="22" t="str">
        <f>SUBSTITUTE(F396,",",".")</f>
        <v>15.7967456547102</v>
      </c>
      <c r="R398" s="22" t="str">
        <f>SUBSTITUTE(G396,",",".")</f>
        <v>0.87</v>
      </c>
      <c r="S398" s="22" t="str">
        <f>SUBSTITUTE(H396,",",".")</f>
        <v>3.17</v>
      </c>
      <c r="T398" s="22" t="str">
        <f>SUBSTITUTE(I396,",",".")</f>
        <v>1.89854335130015</v>
      </c>
      <c r="U398" s="22" t="str">
        <f>SUBSTITUTE(J396,",",".")</f>
        <v>4.42</v>
      </c>
    </row>
    <row r="399" spans="1:21" x14ac:dyDescent="0.25">
      <c r="A399" t="s">
        <v>35</v>
      </c>
      <c r="B399" s="1" t="s">
        <v>21</v>
      </c>
      <c r="C399">
        <v>-0.70269246338348668</v>
      </c>
      <c r="D399" s="18">
        <v>42</v>
      </c>
      <c r="E399">
        <v>25.053606017751097</v>
      </c>
      <c r="F399">
        <v>15.989291012466786</v>
      </c>
      <c r="G399" s="18" t="s">
        <v>485</v>
      </c>
      <c r="H399" s="18" t="s">
        <v>244</v>
      </c>
      <c r="I399">
        <v>2.5084995240660874</v>
      </c>
      <c r="J399" s="18" t="s">
        <v>484</v>
      </c>
      <c r="L399" s="22" t="s">
        <v>35</v>
      </c>
      <c r="M399" s="24" t="s">
        <v>19</v>
      </c>
      <c r="N399" s="22" t="str">
        <f>SUBSTITUTE(C397,",",".")</f>
        <v>-6.90474459999015</v>
      </c>
      <c r="O399" s="22" t="str">
        <f>SUBSTITUTE(D397,",",".")</f>
        <v>41.73</v>
      </c>
      <c r="P399" s="22" t="str">
        <f>SUBSTITUTE(E397,",",".")</f>
        <v>17.3234580961276</v>
      </c>
      <c r="Q399" s="22" t="str">
        <f>SUBSTITUTE(F397,",",".")</f>
        <v>15.9749785764167</v>
      </c>
      <c r="R399" s="22" t="str">
        <f>SUBSTITUTE(G397,",",".")</f>
        <v>0.77</v>
      </c>
      <c r="S399" s="22" t="str">
        <f>SUBSTITUTE(H397,",",".")</f>
        <v>3.04</v>
      </c>
      <c r="T399" s="22" t="str">
        <f>SUBSTITUTE(I397,",",".")</f>
        <v>1.91842174453078</v>
      </c>
      <c r="U399" s="22" t="str">
        <f>SUBSTITUTE(J397,",",".")</f>
        <v>4.32</v>
      </c>
    </row>
    <row r="400" spans="1:21" x14ac:dyDescent="0.25">
      <c r="A400" t="s">
        <v>35</v>
      </c>
      <c r="B400" s="1" t="s">
        <v>22</v>
      </c>
      <c r="C400">
        <v>-1.9399667659612854</v>
      </c>
      <c r="D400" s="18" t="s">
        <v>487</v>
      </c>
      <c r="E400">
        <v>16.728634231474814</v>
      </c>
      <c r="F400">
        <v>15.924877582223017</v>
      </c>
      <c r="G400" s="18" t="s">
        <v>490</v>
      </c>
      <c r="H400" s="18" t="s">
        <v>489</v>
      </c>
      <c r="I400">
        <v>2.6108336248949375</v>
      </c>
      <c r="J400" s="18" t="s">
        <v>488</v>
      </c>
      <c r="L400" s="22" t="s">
        <v>35</v>
      </c>
      <c r="M400" s="24" t="s">
        <v>20</v>
      </c>
      <c r="N400" s="22" t="str">
        <f>SUBSTITUTE(C398,",",".")</f>
        <v>2.90206116505539</v>
      </c>
      <c r="O400" s="22" t="str">
        <f>SUBSTITUTE(D398,",",".")</f>
        <v>42.06</v>
      </c>
      <c r="P400" s="22" t="str">
        <f>SUBSTITUTE(E398,",",".")</f>
        <v>16.0091705811882</v>
      </c>
      <c r="Q400" s="22" t="str">
        <f>SUBSTITUTE(F398,",",".")</f>
        <v>15.9637798074923</v>
      </c>
      <c r="R400" s="22" t="str">
        <f>SUBSTITUTE(G398,",",".")</f>
        <v>1.07</v>
      </c>
      <c r="S400" s="22" t="str">
        <f>SUBSTITUTE(H398,",",".")</f>
        <v>2.90</v>
      </c>
      <c r="T400" s="22" t="str">
        <f>SUBSTITUTE(I398,",",".")</f>
        <v>2.17090169892398</v>
      </c>
      <c r="U400" s="22" t="str">
        <f>SUBSTITUTE(J398,",",".")</f>
        <v>4.85</v>
      </c>
    </row>
    <row r="401" spans="1:21" x14ac:dyDescent="0.25">
      <c r="A401" t="s">
        <v>35</v>
      </c>
      <c r="B401" s="1" t="s">
        <v>23</v>
      </c>
      <c r="C401">
        <v>-3.3416730005911663</v>
      </c>
      <c r="D401" s="19">
        <v>59.27</v>
      </c>
      <c r="E401">
        <v>14.78649157769569</v>
      </c>
      <c r="F401">
        <v>15.921020838109518</v>
      </c>
      <c r="G401" s="19">
        <v>0.59</v>
      </c>
      <c r="H401" s="19">
        <v>4.5599999999999996</v>
      </c>
      <c r="I401">
        <v>2.9588948480416057</v>
      </c>
      <c r="J401" s="18">
        <v>4.62</v>
      </c>
      <c r="L401" s="22" t="s">
        <v>35</v>
      </c>
      <c r="M401" s="24" t="s">
        <v>21</v>
      </c>
      <c r="N401" s="22" t="str">
        <f>SUBSTITUTE(C399,",",".")</f>
        <v>-0.702692463383487</v>
      </c>
      <c r="O401" s="22" t="str">
        <f>SUBSTITUTE(D399,",",".")</f>
        <v>42</v>
      </c>
      <c r="P401" s="22" t="str">
        <f>SUBSTITUTE(E399,",",".")</f>
        <v>25.0536060177511</v>
      </c>
      <c r="Q401" s="22" t="str">
        <f>SUBSTITUTE(F399,",",".")</f>
        <v>15.9892910124668</v>
      </c>
      <c r="R401" s="22" t="str">
        <f>SUBSTITUTE(G399,",",".")</f>
        <v>0.8</v>
      </c>
      <c r="S401" s="22" t="str">
        <f>SUBSTITUTE(H399,",",".")</f>
        <v>3.69</v>
      </c>
      <c r="T401" s="22" t="str">
        <f>SUBSTITUTE(I399,",",".")</f>
        <v>2.50849952406609</v>
      </c>
      <c r="U401" s="22" t="str">
        <f>SUBSTITUTE(J399,",",".")</f>
        <v>4.76</v>
      </c>
    </row>
    <row r="402" spans="1:21" x14ac:dyDescent="0.25">
      <c r="A402" t="s">
        <v>43</v>
      </c>
      <c r="B402" s="1" t="s">
        <v>4</v>
      </c>
      <c r="C402">
        <v>0.76376461344103164</v>
      </c>
      <c r="D402" s="17">
        <v>15.97</v>
      </c>
      <c r="E402">
        <v>161.02467032178834</v>
      </c>
      <c r="F402">
        <v>15.20213636415018</v>
      </c>
      <c r="G402" s="17">
        <v>-0.47</v>
      </c>
      <c r="H402" s="17">
        <v>5.49</v>
      </c>
      <c r="I402">
        <v>0.99638539779403745</v>
      </c>
      <c r="J402" s="17">
        <v>3.52</v>
      </c>
      <c r="L402" s="22" t="s">
        <v>35</v>
      </c>
      <c r="M402" s="24" t="s">
        <v>22</v>
      </c>
      <c r="N402" s="22" t="str">
        <f>SUBSTITUTE(C400,",",".")</f>
        <v>-1.93996676596129</v>
      </c>
      <c r="O402" s="22" t="str">
        <f>SUBSTITUTE(D400,",",".")</f>
        <v>42.59</v>
      </c>
      <c r="P402" s="22" t="str">
        <f>SUBSTITUTE(E400,",",".")</f>
        <v>16.7286342314748</v>
      </c>
      <c r="Q402" s="22" t="str">
        <f>SUBSTITUTE(F400,",",".")</f>
        <v>15.924877582223</v>
      </c>
      <c r="R402" s="22" t="str">
        <f>SUBSTITUTE(G400,",",".")</f>
        <v>0.74</v>
      </c>
      <c r="S402" s="22" t="str">
        <f>SUBSTITUTE(H400,",",".")</f>
        <v>4.86</v>
      </c>
      <c r="T402" s="22" t="str">
        <f>SUBSTITUTE(I400,",",".")</f>
        <v>2.61083362489494</v>
      </c>
      <c r="U402" s="22" t="str">
        <f>SUBSTITUTE(J400,",",".")</f>
        <v>4.55</v>
      </c>
    </row>
    <row r="403" spans="1:21" x14ac:dyDescent="0.25">
      <c r="A403" t="s">
        <v>43</v>
      </c>
      <c r="B403" s="1" t="s">
        <v>5</v>
      </c>
      <c r="C403">
        <v>5.5974288213105927</v>
      </c>
      <c r="D403" s="17">
        <v>15.77</v>
      </c>
      <c r="E403">
        <v>167.29911335249767</v>
      </c>
      <c r="F403">
        <v>15.251958439175699</v>
      </c>
      <c r="G403" s="17">
        <v>-0.6</v>
      </c>
      <c r="H403" s="17">
        <v>5.29</v>
      </c>
      <c r="I403">
        <v>1.3687943478630542</v>
      </c>
      <c r="J403" s="17">
        <v>3.66</v>
      </c>
      <c r="L403" s="22" t="s">
        <v>35</v>
      </c>
      <c r="M403" s="24" t="s">
        <v>23</v>
      </c>
      <c r="N403" s="22" t="str">
        <f>SUBSTITUTE(C401,",",".")</f>
        <v>-3.34167300059117</v>
      </c>
      <c r="O403" s="22" t="str">
        <f>SUBSTITUTE(D401,",",".")</f>
        <v>59.27</v>
      </c>
      <c r="P403" s="22" t="str">
        <f>SUBSTITUTE(E401,",",".")</f>
        <v>14.7864915776957</v>
      </c>
      <c r="Q403" s="22" t="str">
        <f>SUBSTITUTE(F401,",",".")</f>
        <v>15.9210208381095</v>
      </c>
      <c r="R403" s="22" t="str">
        <f>SUBSTITUTE(G401,",",".")</f>
        <v>0.59</v>
      </c>
      <c r="S403" s="22" t="str">
        <f>SUBSTITUTE(H401,",",".")</f>
        <v>4.56</v>
      </c>
      <c r="T403" s="22" t="str">
        <f>SUBSTITUTE(I401,",",".")</f>
        <v>2.95889484804161</v>
      </c>
      <c r="U403" s="22" t="str">
        <f>SUBSTITUTE(J401,",",".")</f>
        <v>4.62</v>
      </c>
    </row>
    <row r="404" spans="1:21" x14ac:dyDescent="0.25">
      <c r="A404" t="s">
        <v>43</v>
      </c>
      <c r="B404" s="1" t="s">
        <v>6</v>
      </c>
      <c r="C404">
        <v>-3.2616586164296648</v>
      </c>
      <c r="D404" s="17">
        <v>14.4</v>
      </c>
      <c r="E404">
        <v>223.94107665035378</v>
      </c>
      <c r="F404">
        <v>15.191769734631032</v>
      </c>
      <c r="G404" s="17">
        <v>-0.31</v>
      </c>
      <c r="H404" s="17">
        <v>5.12</v>
      </c>
      <c r="I404">
        <v>1.5446109671545627</v>
      </c>
      <c r="J404" s="16">
        <v>3.7</v>
      </c>
      <c r="L404" s="22" t="s">
        <v>43</v>
      </c>
      <c r="M404" s="24" t="s">
        <v>4</v>
      </c>
      <c r="N404" s="22" t="str">
        <f>SUBSTITUTE(C402,",",".")</f>
        <v>0.763764613441032</v>
      </c>
      <c r="O404" s="22" t="str">
        <f>SUBSTITUTE(D402,",",".")</f>
        <v>15.97</v>
      </c>
      <c r="P404" s="22" t="str">
        <f>SUBSTITUTE(E402,",",".")</f>
        <v>161.024670321788</v>
      </c>
      <c r="Q404" s="22" t="str">
        <f>SUBSTITUTE(F402,",",".")</f>
        <v>15.2021363641502</v>
      </c>
      <c r="R404" s="22" t="str">
        <f>SUBSTITUTE(G402,",",".")</f>
        <v>-0.47</v>
      </c>
      <c r="S404" s="22" t="str">
        <f>SUBSTITUTE(H402,",",".")</f>
        <v>5.49</v>
      </c>
      <c r="T404" s="22" t="str">
        <f>SUBSTITUTE(I402,",",".")</f>
        <v>0.996385397794037</v>
      </c>
      <c r="U404" s="22" t="str">
        <f>SUBSTITUTE(J402,",",".")</f>
        <v>3.52</v>
      </c>
    </row>
    <row r="405" spans="1:21" x14ac:dyDescent="0.25">
      <c r="A405" t="s">
        <v>43</v>
      </c>
      <c r="B405" s="1" t="s">
        <v>7</v>
      </c>
      <c r="C405">
        <v>4.4357798165137616</v>
      </c>
      <c r="D405" s="17">
        <v>15.5</v>
      </c>
      <c r="E405">
        <v>184.65594241211653</v>
      </c>
      <c r="F405">
        <v>15.238896203150237</v>
      </c>
      <c r="G405" s="17">
        <v>-0.77</v>
      </c>
      <c r="H405" s="17">
        <v>6.44</v>
      </c>
      <c r="I405">
        <v>2.0225805597159674</v>
      </c>
      <c r="J405" s="17">
        <v>3.42</v>
      </c>
      <c r="L405" s="22" t="s">
        <v>43</v>
      </c>
      <c r="M405" s="24" t="s">
        <v>5</v>
      </c>
      <c r="N405" s="22" t="str">
        <f>SUBSTITUTE(C403,",",".")</f>
        <v>5.59742882131059</v>
      </c>
      <c r="O405" s="22" t="str">
        <f>SUBSTITUTE(D403,",",".")</f>
        <v>15.77</v>
      </c>
      <c r="P405" s="22" t="str">
        <f>SUBSTITUTE(E403,",",".")</f>
        <v>167.299113352498</v>
      </c>
      <c r="Q405" s="22" t="str">
        <f>SUBSTITUTE(F403,",",".")</f>
        <v>15.2519584391757</v>
      </c>
      <c r="R405" s="22" t="str">
        <f>SUBSTITUTE(G403,",",".")</f>
        <v>-0.6</v>
      </c>
      <c r="S405" s="22" t="str">
        <f>SUBSTITUTE(H403,",",".")</f>
        <v>5.29</v>
      </c>
      <c r="T405" s="22" t="str">
        <f>SUBSTITUTE(I403,",",".")</f>
        <v>1.36879434786305</v>
      </c>
      <c r="U405" s="22" t="str">
        <f>SUBSTITUTE(J403,",",".")</f>
        <v>3.66</v>
      </c>
    </row>
    <row r="406" spans="1:21" x14ac:dyDescent="0.25">
      <c r="A406" t="s">
        <v>43</v>
      </c>
      <c r="B406" s="1" t="s">
        <v>8</v>
      </c>
      <c r="C406">
        <v>2.5590138666618385</v>
      </c>
      <c r="D406" s="17">
        <v>35.81</v>
      </c>
      <c r="E406">
        <v>159.53768848033963</v>
      </c>
      <c r="F406">
        <v>15.372516211847849</v>
      </c>
      <c r="G406" s="17">
        <v>-0.83</v>
      </c>
      <c r="H406" s="17">
        <v>3.98</v>
      </c>
      <c r="I406">
        <v>1.94112133553071</v>
      </c>
      <c r="J406" s="17">
        <v>3.06</v>
      </c>
      <c r="L406" s="22" t="s">
        <v>43</v>
      </c>
      <c r="M406" s="24" t="s">
        <v>6</v>
      </c>
      <c r="N406" s="22" t="str">
        <f>SUBSTITUTE(C404,",",".")</f>
        <v>-3.26165861642966</v>
      </c>
      <c r="O406" s="22" t="str">
        <f>SUBSTITUTE(D404,",",".")</f>
        <v>14.4</v>
      </c>
      <c r="P406" s="22" t="str">
        <f>SUBSTITUTE(E404,",",".")</f>
        <v>223.941076650354</v>
      </c>
      <c r="Q406" s="22" t="str">
        <f>SUBSTITUTE(F404,",",".")</f>
        <v>15.191769734631</v>
      </c>
      <c r="R406" s="22" t="str">
        <f>SUBSTITUTE(G404,",",".")</f>
        <v>-0.31</v>
      </c>
      <c r="S406" s="22" t="str">
        <f>SUBSTITUTE(H404,",",".")</f>
        <v>5.12</v>
      </c>
      <c r="T406" s="22" t="str">
        <f>SUBSTITUTE(I404,",",".")</f>
        <v>1.54461096715456</v>
      </c>
      <c r="U406" s="22" t="str">
        <f>SUBSTITUTE(J404,",",".")</f>
        <v>3.7</v>
      </c>
    </row>
    <row r="407" spans="1:21" x14ac:dyDescent="0.25">
      <c r="A407" t="s">
        <v>43</v>
      </c>
      <c r="B407" s="1" t="s">
        <v>9</v>
      </c>
      <c r="C407">
        <v>6.8688723907651337</v>
      </c>
      <c r="D407" s="17">
        <v>32.979999999999997</v>
      </c>
      <c r="E407">
        <v>137.95868150087296</v>
      </c>
      <c r="F407">
        <v>15.383355762288019</v>
      </c>
      <c r="G407" s="17">
        <v>-1.9</v>
      </c>
      <c r="H407" s="17">
        <v>6.66</v>
      </c>
      <c r="I407">
        <v>2.7991950818990095</v>
      </c>
      <c r="J407" s="17">
        <v>3.1</v>
      </c>
      <c r="L407" s="22" t="s">
        <v>43</v>
      </c>
      <c r="M407" s="24" t="s">
        <v>7</v>
      </c>
      <c r="N407" s="22" t="str">
        <f>SUBSTITUTE(C405,",",".")</f>
        <v>4.43577981651376</v>
      </c>
      <c r="O407" s="22" t="str">
        <f>SUBSTITUTE(D405,",",".")</f>
        <v>15.5</v>
      </c>
      <c r="P407" s="22" t="str">
        <f>SUBSTITUTE(E405,",",".")</f>
        <v>184.655942412117</v>
      </c>
      <c r="Q407" s="22" t="str">
        <f>SUBSTITUTE(F405,",",".")</f>
        <v>15.2388962031502</v>
      </c>
      <c r="R407" s="22" t="str">
        <f>SUBSTITUTE(G405,",",".")</f>
        <v>-0.77</v>
      </c>
      <c r="S407" s="22" t="str">
        <f>SUBSTITUTE(H405,",",".")</f>
        <v>6.44</v>
      </c>
      <c r="T407" s="22" t="str">
        <f>SUBSTITUTE(I405,",",".")</f>
        <v>2.02258055971597</v>
      </c>
      <c r="U407" s="22" t="str">
        <f>SUBSTITUTE(J405,",",".")</f>
        <v>3.42</v>
      </c>
    </row>
    <row r="408" spans="1:21" x14ac:dyDescent="0.25">
      <c r="A408" t="s">
        <v>43</v>
      </c>
      <c r="B408" s="1" t="s">
        <v>10</v>
      </c>
      <c r="C408">
        <v>20.99801646056293</v>
      </c>
      <c r="D408" s="17">
        <v>29.92</v>
      </c>
      <c r="E408">
        <v>99.785669356050576</v>
      </c>
      <c r="F408">
        <v>15.833035471672058</v>
      </c>
      <c r="G408" s="17">
        <v>-0.62</v>
      </c>
      <c r="H408" s="17">
        <v>6.14</v>
      </c>
      <c r="I408">
        <v>2.1660507434438121</v>
      </c>
      <c r="J408" s="17">
        <v>3.69</v>
      </c>
      <c r="L408" s="22" t="s">
        <v>43</v>
      </c>
      <c r="M408" s="24" t="s">
        <v>8</v>
      </c>
      <c r="N408" s="22" t="str">
        <f>SUBSTITUTE(C406,",",".")</f>
        <v>2.55901386666184</v>
      </c>
      <c r="O408" s="22" t="str">
        <f>SUBSTITUTE(D406,",",".")</f>
        <v>35.81</v>
      </c>
      <c r="P408" s="22" t="str">
        <f>SUBSTITUTE(E406,",",".")</f>
        <v>159.53768848034</v>
      </c>
      <c r="Q408" s="22" t="str">
        <f>SUBSTITUTE(F406,",",".")</f>
        <v>15.3725162118478</v>
      </c>
      <c r="R408" s="22" t="str">
        <f>SUBSTITUTE(G406,",",".")</f>
        <v>-0.83</v>
      </c>
      <c r="S408" s="22" t="str">
        <f>SUBSTITUTE(H406,",",".")</f>
        <v>3.98</v>
      </c>
      <c r="T408" s="22" t="str">
        <f>SUBSTITUTE(I406,",",".")</f>
        <v>1.94112133553071</v>
      </c>
      <c r="U408" s="22" t="str">
        <f>SUBSTITUTE(J406,",",".")</f>
        <v>3.06</v>
      </c>
    </row>
    <row r="409" spans="1:21" x14ac:dyDescent="0.25">
      <c r="A409" t="s">
        <v>43</v>
      </c>
      <c r="B409" s="1" t="s">
        <v>11</v>
      </c>
      <c r="C409">
        <v>5.0933568022119129</v>
      </c>
      <c r="D409" s="17">
        <v>26.5</v>
      </c>
      <c r="E409">
        <v>90.066840614627196</v>
      </c>
      <c r="F409">
        <v>15.675215861838577</v>
      </c>
      <c r="G409" s="17">
        <v>-3.87</v>
      </c>
      <c r="H409" s="17">
        <v>11.68</v>
      </c>
      <c r="I409">
        <v>6.8793608109379232</v>
      </c>
      <c r="J409" s="17">
        <v>2.46</v>
      </c>
      <c r="L409" s="22" t="s">
        <v>43</v>
      </c>
      <c r="M409" s="24" t="s">
        <v>9</v>
      </c>
      <c r="N409" s="22" t="str">
        <f>SUBSTITUTE(C407,",",".")</f>
        <v>6.86887239076513</v>
      </c>
      <c r="O409" s="22" t="str">
        <f>SUBSTITUTE(D407,",",".")</f>
        <v>32.98</v>
      </c>
      <c r="P409" s="22" t="str">
        <f>SUBSTITUTE(E407,",",".")</f>
        <v>137.958681500873</v>
      </c>
      <c r="Q409" s="22" t="str">
        <f>SUBSTITUTE(F407,",",".")</f>
        <v>15.383355762288</v>
      </c>
      <c r="R409" s="22" t="str">
        <f>SUBSTITUTE(G407,",",".")</f>
        <v>-1.9</v>
      </c>
      <c r="S409" s="22" t="str">
        <f>SUBSTITUTE(H407,",",".")</f>
        <v>6.66</v>
      </c>
      <c r="T409" s="22" t="str">
        <f>SUBSTITUTE(I407,",",".")</f>
        <v>2.79919508189901</v>
      </c>
      <c r="U409" s="22" t="str">
        <f>SUBSTITUTE(J407,",",".")</f>
        <v>3.1</v>
      </c>
    </row>
    <row r="410" spans="1:21" x14ac:dyDescent="0.25">
      <c r="A410" t="s">
        <v>43</v>
      </c>
      <c r="B410" s="1" t="s">
        <v>12</v>
      </c>
      <c r="C410">
        <v>3.3388688853621096</v>
      </c>
      <c r="D410" s="17">
        <v>23.09</v>
      </c>
      <c r="E410">
        <v>78.94686669355103</v>
      </c>
      <c r="F410">
        <v>15.710233572410422</v>
      </c>
      <c r="G410" s="17">
        <v>-10.53</v>
      </c>
      <c r="H410" s="17">
        <v>11.34</v>
      </c>
      <c r="I410">
        <v>7.0076143810021332</v>
      </c>
      <c r="J410" s="17">
        <v>3.11</v>
      </c>
      <c r="L410" s="22" t="s">
        <v>43</v>
      </c>
      <c r="M410" s="24" t="s">
        <v>10</v>
      </c>
      <c r="N410" s="22" t="str">
        <f>SUBSTITUTE(C408,",",".")</f>
        <v>20.9980164605629</v>
      </c>
      <c r="O410" s="22" t="str">
        <f>SUBSTITUTE(D408,",",".")</f>
        <v>29.92</v>
      </c>
      <c r="P410" s="22" t="str">
        <f>SUBSTITUTE(E408,",",".")</f>
        <v>99.7856693560506</v>
      </c>
      <c r="Q410" s="22" t="str">
        <f>SUBSTITUTE(F408,",",".")</f>
        <v>15.8330354716721</v>
      </c>
      <c r="R410" s="22" t="str">
        <f>SUBSTITUTE(G408,",",".")</f>
        <v>-0.62</v>
      </c>
      <c r="S410" s="22" t="str">
        <f>SUBSTITUTE(H408,",",".")</f>
        <v>6.14</v>
      </c>
      <c r="T410" s="22" t="str">
        <f>SUBSTITUTE(I408,",",".")</f>
        <v>2.16605074344381</v>
      </c>
      <c r="U410" s="22" t="str">
        <f>SUBSTITUTE(J408,",",".")</f>
        <v>3.69</v>
      </c>
    </row>
    <row r="411" spans="1:21" x14ac:dyDescent="0.25">
      <c r="A411" t="s">
        <v>43</v>
      </c>
      <c r="B411" s="1" t="s">
        <v>13</v>
      </c>
      <c r="C411">
        <v>8.5984212521033356</v>
      </c>
      <c r="D411" s="17">
        <v>20.59</v>
      </c>
      <c r="E411">
        <v>50.80437620029722</v>
      </c>
      <c r="F411">
        <v>15.759832875653737</v>
      </c>
      <c r="G411" s="17">
        <v>-1.42</v>
      </c>
      <c r="H411" s="17">
        <v>10.43</v>
      </c>
      <c r="I411">
        <v>6.3081871317449911</v>
      </c>
      <c r="J411" s="17">
        <v>2.63</v>
      </c>
      <c r="L411" s="22" t="s">
        <v>43</v>
      </c>
      <c r="M411" s="24" t="s">
        <v>11</v>
      </c>
      <c r="N411" s="22" t="str">
        <f>SUBSTITUTE(C409,",",".")</f>
        <v>5.09335680221191</v>
      </c>
      <c r="O411" s="22" t="str">
        <f>SUBSTITUTE(D409,",",".")</f>
        <v>26.5</v>
      </c>
      <c r="P411" s="22" t="str">
        <f>SUBSTITUTE(E409,",",".")</f>
        <v>90.0668406146272</v>
      </c>
      <c r="Q411" s="22" t="str">
        <f>SUBSTITUTE(F409,",",".")</f>
        <v>15.6752158618386</v>
      </c>
      <c r="R411" s="22" t="str">
        <f>SUBSTITUTE(G409,",",".")</f>
        <v>-3.87</v>
      </c>
      <c r="S411" s="22" t="str">
        <f>SUBSTITUTE(H409,",",".")</f>
        <v>11.68</v>
      </c>
      <c r="T411" s="22" t="str">
        <f>SUBSTITUTE(I409,",",".")</f>
        <v>6.87936081093792</v>
      </c>
      <c r="U411" s="22" t="str">
        <f>SUBSTITUTE(J409,",",".")</f>
        <v>2.46</v>
      </c>
    </row>
    <row r="412" spans="1:21" x14ac:dyDescent="0.25">
      <c r="A412" t="s">
        <v>43</v>
      </c>
      <c r="B412" s="1" t="s">
        <v>14</v>
      </c>
      <c r="C412">
        <v>6.2246055976261898</v>
      </c>
      <c r="D412" s="17">
        <v>35.270000000000003</v>
      </c>
      <c r="E412">
        <v>50.9321514282396</v>
      </c>
      <c r="F412">
        <v>15.926620689281325</v>
      </c>
      <c r="G412" s="17">
        <v>-1.89</v>
      </c>
      <c r="H412" s="17">
        <v>9.58</v>
      </c>
      <c r="I412">
        <v>5.8885697230306757</v>
      </c>
      <c r="J412" s="17">
        <v>2.48</v>
      </c>
      <c r="L412" s="22" t="s">
        <v>43</v>
      </c>
      <c r="M412" s="24" t="s">
        <v>12</v>
      </c>
      <c r="N412" s="22" t="str">
        <f>SUBSTITUTE(C410,",",".")</f>
        <v>3.33886888536211</v>
      </c>
      <c r="O412" s="22" t="str">
        <f>SUBSTITUTE(D410,",",".")</f>
        <v>23.09</v>
      </c>
      <c r="P412" s="22" t="str">
        <f>SUBSTITUTE(E410,",",".")</f>
        <v>78.946866693551</v>
      </c>
      <c r="Q412" s="22" t="str">
        <f>SUBSTITUTE(F410,",",".")</f>
        <v>15.7102335724104</v>
      </c>
      <c r="R412" s="22" t="str">
        <f>SUBSTITUTE(G410,",",".")</f>
        <v>-10.53</v>
      </c>
      <c r="S412" s="22" t="str">
        <f>SUBSTITUTE(H410,",",".")</f>
        <v>11.34</v>
      </c>
      <c r="T412" s="22" t="str">
        <f>SUBSTITUTE(I410,",",".")</f>
        <v>7.00761438100213</v>
      </c>
      <c r="U412" s="22" t="str">
        <f>SUBSTITUTE(J410,",",".")</f>
        <v>3.11</v>
      </c>
    </row>
    <row r="413" spans="1:21" x14ac:dyDescent="0.25">
      <c r="A413" t="s">
        <v>43</v>
      </c>
      <c r="B413" s="1" t="s">
        <v>15</v>
      </c>
      <c r="C413">
        <v>3.0402734215920884</v>
      </c>
      <c r="D413" s="17">
        <v>30.49</v>
      </c>
      <c r="E413">
        <v>49.210521375253897</v>
      </c>
      <c r="F413">
        <v>16.10339157393685</v>
      </c>
      <c r="G413" s="17">
        <v>-1.75</v>
      </c>
      <c r="H413" s="17">
        <v>5.14</v>
      </c>
      <c r="I413">
        <v>5.3030866842723325</v>
      </c>
      <c r="J413" s="17">
        <v>2.08</v>
      </c>
      <c r="L413" s="22" t="s">
        <v>43</v>
      </c>
      <c r="M413" s="24" t="s">
        <v>13</v>
      </c>
      <c r="N413" s="22" t="str">
        <f>SUBSTITUTE(C411,",",".")</f>
        <v>8.59842125210334</v>
      </c>
      <c r="O413" s="22" t="str">
        <f>SUBSTITUTE(D411,",",".")</f>
        <v>20.59</v>
      </c>
      <c r="P413" s="22" t="str">
        <f>SUBSTITUTE(E411,",",".")</f>
        <v>50.8043762002972</v>
      </c>
      <c r="Q413" s="22" t="str">
        <f>SUBSTITUTE(F411,",",".")</f>
        <v>15.7598328756537</v>
      </c>
      <c r="R413" s="22" t="str">
        <f>SUBSTITUTE(G411,",",".")</f>
        <v>-1.42</v>
      </c>
      <c r="S413" s="22" t="str">
        <f>SUBSTITUTE(H411,",",".")</f>
        <v>10.43</v>
      </c>
      <c r="T413" s="22" t="str">
        <f>SUBSTITUTE(I411,",",".")</f>
        <v>6.30818713174499</v>
      </c>
      <c r="U413" s="22" t="str">
        <f>SUBSTITUTE(J411,",",".")</f>
        <v>2.63</v>
      </c>
    </row>
    <row r="414" spans="1:21" x14ac:dyDescent="0.25">
      <c r="A414" t="s">
        <v>43</v>
      </c>
      <c r="B414" s="1" t="s">
        <v>16</v>
      </c>
      <c r="C414">
        <v>0.52407670137400975</v>
      </c>
      <c r="D414" s="17">
        <v>29.43</v>
      </c>
      <c r="E414">
        <v>50.230259143203583</v>
      </c>
      <c r="F414">
        <v>16.209291104146931</v>
      </c>
      <c r="G414" s="17">
        <v>0.7</v>
      </c>
      <c r="H414" s="17">
        <v>5.75</v>
      </c>
      <c r="I414">
        <v>2.4930392264019012</v>
      </c>
      <c r="J414" s="17">
        <v>2.71</v>
      </c>
      <c r="L414" s="22" t="s">
        <v>43</v>
      </c>
      <c r="M414" s="24" t="s">
        <v>14</v>
      </c>
      <c r="N414" s="22" t="str">
        <f>SUBSTITUTE(C412,",",".")</f>
        <v>6.22460559762619</v>
      </c>
      <c r="O414" s="22" t="str">
        <f>SUBSTITUTE(D412,",",".")</f>
        <v>35.27</v>
      </c>
      <c r="P414" s="22" t="str">
        <f>SUBSTITUTE(E412,",",".")</f>
        <v>50.9321514282396</v>
      </c>
      <c r="Q414" s="22" t="str">
        <f>SUBSTITUTE(F412,",",".")</f>
        <v>15.9266206892813</v>
      </c>
      <c r="R414" s="22" t="str">
        <f>SUBSTITUTE(G412,",",".")</f>
        <v>-1.89</v>
      </c>
      <c r="S414" s="22" t="str">
        <f>SUBSTITUTE(H412,",",".")</f>
        <v>9.58</v>
      </c>
      <c r="T414" s="22" t="str">
        <f>SUBSTITUTE(I412,",",".")</f>
        <v>5.88856972303068</v>
      </c>
      <c r="U414" s="22" t="str">
        <f>SUBSTITUTE(J412,",",".")</f>
        <v>2.48</v>
      </c>
    </row>
    <row r="415" spans="1:21" x14ac:dyDescent="0.25">
      <c r="A415" t="s">
        <v>43</v>
      </c>
      <c r="B415" s="1" t="s">
        <v>17</v>
      </c>
      <c r="C415">
        <v>4.3216121913436831</v>
      </c>
      <c r="D415" s="17">
        <v>27.8</v>
      </c>
      <c r="E415">
        <v>77.187482135173923</v>
      </c>
      <c r="F415">
        <v>16.269313032870631</v>
      </c>
      <c r="G415" s="17">
        <v>-0.27</v>
      </c>
      <c r="H415" s="17">
        <v>5.85</v>
      </c>
      <c r="I415">
        <v>5.4960438927512643</v>
      </c>
      <c r="J415" s="17">
        <v>2.84</v>
      </c>
      <c r="L415" s="22" t="s">
        <v>43</v>
      </c>
      <c r="M415" s="24" t="s">
        <v>15</v>
      </c>
      <c r="N415" s="22" t="str">
        <f>SUBSTITUTE(C413,",",".")</f>
        <v>3.04027342159209</v>
      </c>
      <c r="O415" s="22" t="str">
        <f>SUBSTITUTE(D413,",",".")</f>
        <v>30.49</v>
      </c>
      <c r="P415" s="22" t="str">
        <f>SUBSTITUTE(E413,",",".")</f>
        <v>49.2105213752539</v>
      </c>
      <c r="Q415" s="22" t="str">
        <f>SUBSTITUTE(F413,",",".")</f>
        <v>16.1033915739369</v>
      </c>
      <c r="R415" s="22" t="str">
        <f>SUBSTITUTE(G413,",",".")</f>
        <v>-1.75</v>
      </c>
      <c r="S415" s="22" t="str">
        <f>SUBSTITUTE(H413,",",".")</f>
        <v>5.14</v>
      </c>
      <c r="T415" s="22" t="str">
        <f>SUBSTITUTE(I413,",",".")</f>
        <v>5.30308668427233</v>
      </c>
      <c r="U415" s="22" t="str">
        <f>SUBSTITUTE(J413,",",".")</f>
        <v>2.08</v>
      </c>
    </row>
    <row r="416" spans="1:21" x14ac:dyDescent="0.25">
      <c r="A416" t="s">
        <v>43</v>
      </c>
      <c r="B416" s="1" t="s">
        <v>18</v>
      </c>
      <c r="C416">
        <v>5.5025244158844906</v>
      </c>
      <c r="D416" s="17">
        <v>26.79</v>
      </c>
      <c r="E416">
        <v>60.76802381355165</v>
      </c>
      <c r="F416">
        <v>16.359226142991332</v>
      </c>
      <c r="G416" s="17">
        <v>-0.02</v>
      </c>
      <c r="H416" s="17">
        <v>4.37</v>
      </c>
      <c r="I416">
        <v>4.043147106134227</v>
      </c>
      <c r="J416" s="17">
        <v>2.79</v>
      </c>
      <c r="L416" s="22" t="s">
        <v>43</v>
      </c>
      <c r="M416" s="24" t="s">
        <v>16</v>
      </c>
      <c r="N416" s="22" t="str">
        <f>SUBSTITUTE(C414,",",".")</f>
        <v>0.52407670137401</v>
      </c>
      <c r="O416" s="22" t="str">
        <f>SUBSTITUTE(D414,",",".")</f>
        <v>29.43</v>
      </c>
      <c r="P416" s="22" t="str">
        <f>SUBSTITUTE(E414,",",".")</f>
        <v>50.2302591432036</v>
      </c>
      <c r="Q416" s="22" t="str">
        <f>SUBSTITUTE(F414,",",".")</f>
        <v>16.2092911041469</v>
      </c>
      <c r="R416" s="22" t="str">
        <f>SUBSTITUTE(G414,",",".")</f>
        <v>0.7</v>
      </c>
      <c r="S416" s="22" t="str">
        <f>SUBSTITUTE(H414,",",".")</f>
        <v>5.75</v>
      </c>
      <c r="T416" s="22" t="str">
        <f>SUBSTITUTE(I414,",",".")</f>
        <v>2.4930392264019</v>
      </c>
      <c r="U416" s="22" t="str">
        <f>SUBSTITUTE(J414,",",".")</f>
        <v>2.71</v>
      </c>
    </row>
    <row r="417" spans="1:21" x14ac:dyDescent="0.25">
      <c r="A417" t="s">
        <v>43</v>
      </c>
      <c r="B417" s="1" t="s">
        <v>19</v>
      </c>
      <c r="C417">
        <v>7.563453474945474</v>
      </c>
      <c r="D417" s="17">
        <v>39.67</v>
      </c>
      <c r="E417">
        <v>71.23004904489494</v>
      </c>
      <c r="F417">
        <v>16.474854291394404</v>
      </c>
      <c r="G417" s="17">
        <v>0.08</v>
      </c>
      <c r="H417" s="17">
        <v>2.0699999999999998</v>
      </c>
      <c r="I417">
        <v>3.2582237304960877</v>
      </c>
      <c r="J417" s="17">
        <v>2.62</v>
      </c>
      <c r="L417" s="22" t="s">
        <v>43</v>
      </c>
      <c r="M417" s="24" t="s">
        <v>17</v>
      </c>
      <c r="N417" s="22" t="str">
        <f>SUBSTITUTE(C415,",",".")</f>
        <v>4.32161219134368</v>
      </c>
      <c r="O417" s="22" t="str">
        <f>SUBSTITUTE(D415,",",".")</f>
        <v>27.8</v>
      </c>
      <c r="P417" s="22" t="str">
        <f>SUBSTITUTE(E415,",",".")</f>
        <v>77.1874821351739</v>
      </c>
      <c r="Q417" s="22" t="str">
        <f>SUBSTITUTE(F415,",",".")</f>
        <v>16.2693130328706</v>
      </c>
      <c r="R417" s="22" t="str">
        <f>SUBSTITUTE(G415,",",".")</f>
        <v>-0.27</v>
      </c>
      <c r="S417" s="22" t="str">
        <f>SUBSTITUTE(H415,",",".")</f>
        <v>5.85</v>
      </c>
      <c r="T417" s="22" t="str">
        <f>SUBSTITUTE(I415,",",".")</f>
        <v>5.49604389275126</v>
      </c>
      <c r="U417" s="22" t="str">
        <f>SUBSTITUTE(J415,",",".")</f>
        <v>2.84</v>
      </c>
    </row>
    <row r="418" spans="1:21" x14ac:dyDescent="0.25">
      <c r="A418" t="s">
        <v>43</v>
      </c>
      <c r="B418" s="1" t="s">
        <v>20</v>
      </c>
      <c r="C418">
        <v>5.5338605416455673</v>
      </c>
      <c r="D418" s="17">
        <v>37.31</v>
      </c>
      <c r="E418">
        <v>54.433245293220942</v>
      </c>
      <c r="F418">
        <v>16.502799256196024</v>
      </c>
      <c r="G418" s="17">
        <v>0.87</v>
      </c>
      <c r="H418" s="17">
        <v>2.16</v>
      </c>
      <c r="I418">
        <v>3.1774133360072074</v>
      </c>
      <c r="J418" s="17">
        <v>2.67</v>
      </c>
      <c r="L418" s="22" t="s">
        <v>43</v>
      </c>
      <c r="M418" s="24" t="s">
        <v>18</v>
      </c>
      <c r="N418" s="22" t="str">
        <f>SUBSTITUTE(C416,",",".")</f>
        <v>5.50252441588449</v>
      </c>
      <c r="O418" s="22" t="str">
        <f>SUBSTITUTE(D416,",",".")</f>
        <v>26.79</v>
      </c>
      <c r="P418" s="22" t="str">
        <f>SUBSTITUTE(E416,",",".")</f>
        <v>60.7680238135517</v>
      </c>
      <c r="Q418" s="22" t="str">
        <f>SUBSTITUTE(F416,",",".")</f>
        <v>16.3592261429913</v>
      </c>
      <c r="R418" s="22" t="str">
        <f>SUBSTITUTE(G416,",",".")</f>
        <v>-0.02</v>
      </c>
      <c r="S418" s="22" t="str">
        <f>SUBSTITUTE(H416,",",".")</f>
        <v>4.37</v>
      </c>
      <c r="T418" s="22" t="str">
        <f>SUBSTITUTE(I416,",",".")</f>
        <v>4.04314710613423</v>
      </c>
      <c r="U418" s="22" t="str">
        <f>SUBSTITUTE(J416,",",".")</f>
        <v>2.79</v>
      </c>
    </row>
    <row r="419" spans="1:21" x14ac:dyDescent="0.25">
      <c r="A419" t="s">
        <v>43</v>
      </c>
      <c r="B419" s="1" t="s">
        <v>21</v>
      </c>
      <c r="C419">
        <v>6.8294340468843782</v>
      </c>
      <c r="D419" s="17">
        <v>34.78</v>
      </c>
      <c r="E419">
        <v>51.510546460888541</v>
      </c>
      <c r="F419">
        <v>16.569473581305864</v>
      </c>
      <c r="G419" s="17">
        <v>0.54</v>
      </c>
      <c r="H419" s="17">
        <v>2.0099999999999998</v>
      </c>
      <c r="I419">
        <v>3.1525039054870669</v>
      </c>
      <c r="J419" s="17">
        <v>2.65</v>
      </c>
      <c r="L419" s="22" t="s">
        <v>43</v>
      </c>
      <c r="M419" s="24" t="s">
        <v>19</v>
      </c>
      <c r="N419" s="22" t="str">
        <f>SUBSTITUTE(C417,",",".")</f>
        <v>7.56345347494547</v>
      </c>
      <c r="O419" s="22" t="str">
        <f>SUBSTITUTE(D417,",",".")</f>
        <v>39.67</v>
      </c>
      <c r="P419" s="22" t="str">
        <f>SUBSTITUTE(E417,",",".")</f>
        <v>71.2300490448949</v>
      </c>
      <c r="Q419" s="22" t="str">
        <f>SUBSTITUTE(F417,",",".")</f>
        <v>16.4748542913944</v>
      </c>
      <c r="R419" s="22" t="str">
        <f>SUBSTITUTE(G417,",",".")</f>
        <v>0.08</v>
      </c>
      <c r="S419" s="22" t="str">
        <f>SUBSTITUTE(H417,",",".")</f>
        <v>2.07</v>
      </c>
      <c r="T419" s="22" t="str">
        <f>SUBSTITUTE(I417,",",".")</f>
        <v>3.25822373049609</v>
      </c>
      <c r="U419" s="22" t="str">
        <f>SUBSTITUTE(J417,",",".")</f>
        <v>2.62</v>
      </c>
    </row>
    <row r="420" spans="1:21" x14ac:dyDescent="0.25">
      <c r="A420" t="s">
        <v>43</v>
      </c>
      <c r="B420" s="1" t="s">
        <v>22</v>
      </c>
      <c r="C420">
        <v>5.4890522285726631</v>
      </c>
      <c r="D420" s="17">
        <v>33.590000000000003</v>
      </c>
      <c r="E420">
        <v>44.831057309806212</v>
      </c>
      <c r="F420">
        <v>16.626773329540818</v>
      </c>
      <c r="G420" s="17">
        <v>0.61</v>
      </c>
      <c r="H420" s="17">
        <v>2.21</v>
      </c>
      <c r="I420">
        <v>3.2981939631242794</v>
      </c>
      <c r="J420" s="17">
        <v>2.72</v>
      </c>
      <c r="L420" s="22" t="s">
        <v>43</v>
      </c>
      <c r="M420" s="24" t="s">
        <v>20</v>
      </c>
      <c r="N420" s="22" t="str">
        <f>SUBSTITUTE(C418,",",".")</f>
        <v>5.53386054164557</v>
      </c>
      <c r="O420" s="22" t="str">
        <f>SUBSTITUTE(D418,",",".")</f>
        <v>37.31</v>
      </c>
      <c r="P420" s="22" t="str">
        <f>SUBSTITUTE(E418,",",".")</f>
        <v>54.4332452932209</v>
      </c>
      <c r="Q420" s="22" t="str">
        <f>SUBSTITUTE(F418,",",".")</f>
        <v>16.502799256196</v>
      </c>
      <c r="R420" s="22" t="str">
        <f>SUBSTITUTE(G418,",",".")</f>
        <v>0.87</v>
      </c>
      <c r="S420" s="22" t="str">
        <f>SUBSTITUTE(H418,",",".")</f>
        <v>2.16</v>
      </c>
      <c r="T420" s="22" t="str">
        <f>SUBSTITUTE(I418,",",".")</f>
        <v>3.17741333600721</v>
      </c>
      <c r="U420" s="22" t="str">
        <f>SUBSTITUTE(J418,",",".")</f>
        <v>2.67</v>
      </c>
    </row>
    <row r="421" spans="1:21" x14ac:dyDescent="0.25">
      <c r="A421" t="s">
        <v>43</v>
      </c>
      <c r="B421" s="1" t="s">
        <v>23</v>
      </c>
      <c r="C421">
        <v>11.588533666765745</v>
      </c>
      <c r="D421" s="19">
        <v>43.45</v>
      </c>
      <c r="E421">
        <v>52.060415239087341</v>
      </c>
      <c r="F421">
        <v>16.722662242140455</v>
      </c>
      <c r="G421" s="19">
        <v>0.66</v>
      </c>
      <c r="H421" s="19">
        <v>1.99</v>
      </c>
      <c r="I421">
        <v>2.6660830109689657</v>
      </c>
      <c r="J421" s="19">
        <v>2.65</v>
      </c>
      <c r="L421" s="22" t="s">
        <v>43</v>
      </c>
      <c r="M421" s="24" t="s">
        <v>21</v>
      </c>
      <c r="N421" s="22" t="str">
        <f>SUBSTITUTE(C419,",",".")</f>
        <v>6.82943404688438</v>
      </c>
      <c r="O421" s="22" t="str">
        <f>SUBSTITUTE(D419,",",".")</f>
        <v>34.78</v>
      </c>
      <c r="P421" s="22" t="str">
        <f>SUBSTITUTE(E419,",",".")</f>
        <v>51.5105464608885</v>
      </c>
      <c r="Q421" s="22" t="str">
        <f>SUBSTITUTE(F419,",",".")</f>
        <v>16.5694735813059</v>
      </c>
      <c r="R421" s="22" t="str">
        <f>SUBSTITUTE(G419,",",".")</f>
        <v>0.54</v>
      </c>
      <c r="S421" s="22" t="str">
        <f>SUBSTITUTE(H419,",",".")</f>
        <v>2.01</v>
      </c>
      <c r="T421" s="22" t="str">
        <f>SUBSTITUTE(I419,",",".")</f>
        <v>3.15250390548707</v>
      </c>
      <c r="U421" s="22" t="str">
        <f>SUBSTITUTE(J419,",",".")</f>
        <v>2.65</v>
      </c>
    </row>
    <row r="422" spans="1:21" x14ac:dyDescent="0.25">
      <c r="A422" t="s">
        <v>46</v>
      </c>
      <c r="B422" s="1" t="s">
        <v>4</v>
      </c>
      <c r="C422">
        <v>-5.0093323637120681</v>
      </c>
      <c r="D422" s="17">
        <v>25.99</v>
      </c>
      <c r="E422">
        <v>12.883653507322201</v>
      </c>
      <c r="F422">
        <v>14.720428463718433</v>
      </c>
      <c r="G422" s="17">
        <v>0.34</v>
      </c>
      <c r="H422" s="17">
        <v>2.54</v>
      </c>
      <c r="I422">
        <v>0.35668054983748854</v>
      </c>
      <c r="J422" s="17">
        <v>3.84</v>
      </c>
      <c r="L422" s="22" t="s">
        <v>43</v>
      </c>
      <c r="M422" s="24" t="s">
        <v>22</v>
      </c>
      <c r="N422" s="22" t="str">
        <f>SUBSTITUTE(C420,",",".")</f>
        <v>5.48905222857266</v>
      </c>
      <c r="O422" s="22" t="str">
        <f>SUBSTITUTE(D420,",",".")</f>
        <v>33.59</v>
      </c>
      <c r="P422" s="22" t="str">
        <f>SUBSTITUTE(E420,",",".")</f>
        <v>44.8310573098062</v>
      </c>
      <c r="Q422" s="22" t="str">
        <f>SUBSTITUTE(F420,",",".")</f>
        <v>16.6267733295408</v>
      </c>
      <c r="R422" s="22" t="str">
        <f>SUBSTITUTE(G420,",",".")</f>
        <v>0.61</v>
      </c>
      <c r="S422" s="22" t="str">
        <f>SUBSTITUTE(H420,",",".")</f>
        <v>2.21</v>
      </c>
      <c r="T422" s="22" t="str">
        <f>SUBSTITUTE(I420,",",".")</f>
        <v>3.29819396312428</v>
      </c>
      <c r="U422" s="22" t="str">
        <f>SUBSTITUTE(J420,",",".")</f>
        <v>2.72</v>
      </c>
    </row>
    <row r="423" spans="1:21" x14ac:dyDescent="0.25">
      <c r="A423" t="s">
        <v>46</v>
      </c>
      <c r="B423" s="1" t="s">
        <v>5</v>
      </c>
      <c r="C423">
        <v>2.9104432747033813</v>
      </c>
      <c r="D423" s="17">
        <v>25.39</v>
      </c>
      <c r="E423">
        <v>11.226861778122636</v>
      </c>
      <c r="F423">
        <v>14.715781251523811</v>
      </c>
      <c r="G423" s="17">
        <v>0.53</v>
      </c>
      <c r="H423" s="17">
        <v>2.63</v>
      </c>
      <c r="I423">
        <v>0.3477763168986901</v>
      </c>
      <c r="J423" s="17">
        <v>4.26</v>
      </c>
      <c r="L423" s="22" t="s">
        <v>43</v>
      </c>
      <c r="M423" s="24" t="s">
        <v>23</v>
      </c>
      <c r="N423" s="22" t="str">
        <f>SUBSTITUTE(C421,",",".")</f>
        <v>11.5885336667657</v>
      </c>
      <c r="O423" s="22" t="str">
        <f>SUBSTITUTE(D421,",",".")</f>
        <v>43.45</v>
      </c>
      <c r="P423" s="22" t="str">
        <f>SUBSTITUTE(E421,",",".")</f>
        <v>52.0604152390873</v>
      </c>
      <c r="Q423" s="22" t="str">
        <f>SUBSTITUTE(F421,",",".")</f>
        <v>16.7226622421405</v>
      </c>
      <c r="R423" s="22" t="str">
        <f>SUBSTITUTE(G421,",",".")</f>
        <v>0.66</v>
      </c>
      <c r="S423" s="22" t="str">
        <f>SUBSTITUTE(H421,",",".")</f>
        <v>1.99</v>
      </c>
      <c r="T423" s="22" t="str">
        <f>SUBSTITUTE(I421,",",".")</f>
        <v>2.66608301096897</v>
      </c>
      <c r="U423" s="22" t="str">
        <f>SUBSTITUTE(J421,",",".")</f>
        <v>2.65</v>
      </c>
    </row>
    <row r="424" spans="1:21" x14ac:dyDescent="0.25">
      <c r="A424" t="s">
        <v>46</v>
      </c>
      <c r="B424" s="1" t="s">
        <v>6</v>
      </c>
      <c r="C424">
        <v>-8.2312730994316379</v>
      </c>
      <c r="D424" s="17">
        <v>27.55</v>
      </c>
      <c r="E424">
        <v>12.937630902513328</v>
      </c>
      <c r="F424">
        <v>14.671157467837672</v>
      </c>
      <c r="G424" s="17">
        <v>0.53</v>
      </c>
      <c r="H424" s="17">
        <v>3.32</v>
      </c>
      <c r="I424">
        <v>0.30394989822674406</v>
      </c>
      <c r="J424" s="17">
        <v>4.28</v>
      </c>
      <c r="L424" s="22" t="s">
        <v>46</v>
      </c>
      <c r="M424" s="24" t="s">
        <v>4</v>
      </c>
      <c r="N424" s="22" t="str">
        <f>SUBSTITUTE(C422,",",".")</f>
        <v>-5.00933236371207</v>
      </c>
      <c r="O424" s="22" t="str">
        <f>SUBSTITUTE(D422,",",".")</f>
        <v>25.99</v>
      </c>
      <c r="P424" s="22" t="str">
        <f>SUBSTITUTE(E422,",",".")</f>
        <v>12.8836535073222</v>
      </c>
      <c r="Q424" s="22" t="str">
        <f>SUBSTITUTE(F422,",",".")</f>
        <v>14.7204284637184</v>
      </c>
      <c r="R424" s="22" t="str">
        <f>SUBSTITUTE(G422,",",".")</f>
        <v>0.34</v>
      </c>
      <c r="S424" s="22" t="str">
        <f>SUBSTITUTE(H422,",",".")</f>
        <v>2.54</v>
      </c>
      <c r="T424" s="22" t="str">
        <f>SUBSTITUTE(I422,",",".")</f>
        <v>0.356680549837489</v>
      </c>
      <c r="U424" s="22" t="str">
        <f>SUBSTITUTE(J422,",",".")</f>
        <v>3.84</v>
      </c>
    </row>
    <row r="425" spans="1:21" x14ac:dyDescent="0.25">
      <c r="A425" t="s">
        <v>46</v>
      </c>
      <c r="B425" s="1" t="s">
        <v>7</v>
      </c>
      <c r="C425">
        <v>0.45995387568352464</v>
      </c>
      <c r="D425" s="17">
        <v>28.1</v>
      </c>
      <c r="E425">
        <v>12.724039228715533</v>
      </c>
      <c r="F425">
        <v>14.745414606729698</v>
      </c>
      <c r="G425" s="17">
        <v>0.81</v>
      </c>
      <c r="H425" s="17">
        <v>2.58</v>
      </c>
      <c r="I425">
        <v>0.64289621737993519</v>
      </c>
      <c r="J425" s="17">
        <v>4.2</v>
      </c>
      <c r="L425" s="22" t="s">
        <v>46</v>
      </c>
      <c r="M425" s="24" t="s">
        <v>5</v>
      </c>
      <c r="N425" s="22" t="str">
        <f>SUBSTITUTE(C423,",",".")</f>
        <v>2.91044327470338</v>
      </c>
      <c r="O425" s="22" t="str">
        <f>SUBSTITUTE(D423,",",".")</f>
        <v>25.39</v>
      </c>
      <c r="P425" s="22" t="str">
        <f>SUBSTITUTE(E423,",",".")</f>
        <v>11.2268617781226</v>
      </c>
      <c r="Q425" s="22" t="str">
        <f>SUBSTITUTE(F423,",",".")</f>
        <v>14.7157812515238</v>
      </c>
      <c r="R425" s="22" t="str">
        <f>SUBSTITUTE(G423,",",".")</f>
        <v>0.53</v>
      </c>
      <c r="S425" s="22" t="str">
        <f>SUBSTITUTE(H423,",",".")</f>
        <v>2.63</v>
      </c>
      <c r="T425" s="22" t="str">
        <f>SUBSTITUTE(I423,",",".")</f>
        <v>0.34777631689869</v>
      </c>
      <c r="U425" s="22" t="str">
        <f>SUBSTITUTE(J423,",",".")</f>
        <v>4.26</v>
      </c>
    </row>
    <row r="426" spans="1:21" x14ac:dyDescent="0.25">
      <c r="A426" t="s">
        <v>46</v>
      </c>
      <c r="B426" s="1" t="s">
        <v>8</v>
      </c>
      <c r="C426">
        <v>4.4705952184242905</v>
      </c>
      <c r="D426" s="17">
        <v>28.15</v>
      </c>
      <c r="E426">
        <v>10.436831583634094</v>
      </c>
      <c r="F426">
        <v>14.670583967409684</v>
      </c>
      <c r="G426" s="17">
        <v>0.26</v>
      </c>
      <c r="H426" s="17">
        <v>2.95</v>
      </c>
      <c r="I426">
        <v>0.55042969448810197</v>
      </c>
      <c r="J426" s="17">
        <v>3.78</v>
      </c>
      <c r="L426" s="22" t="s">
        <v>46</v>
      </c>
      <c r="M426" s="24" t="s">
        <v>6</v>
      </c>
      <c r="N426" s="22" t="str">
        <f>SUBSTITUTE(C424,",",".")</f>
        <v>-8.23127309943164</v>
      </c>
      <c r="O426" s="22" t="str">
        <f>SUBSTITUTE(D424,",",".")</f>
        <v>27.55</v>
      </c>
      <c r="P426" s="22" t="str">
        <f>SUBSTITUTE(E424,",",".")</f>
        <v>12.9376309025133</v>
      </c>
      <c r="Q426" s="22" t="str">
        <f>SUBSTITUTE(F424,",",".")</f>
        <v>14.6711574678377</v>
      </c>
      <c r="R426" s="22" t="str">
        <f>SUBSTITUTE(G424,",",".")</f>
        <v>0.53</v>
      </c>
      <c r="S426" s="22" t="str">
        <f>SUBSTITUTE(H424,",",".")</f>
        <v>3.32</v>
      </c>
      <c r="T426" s="22" t="str">
        <f>SUBSTITUTE(I424,",",".")</f>
        <v>0.303949898226744</v>
      </c>
      <c r="U426" s="22" t="str">
        <f>SUBSTITUTE(J424,",",".")</f>
        <v>4.28</v>
      </c>
    </row>
    <row r="427" spans="1:21" x14ac:dyDescent="0.25">
      <c r="A427" t="s">
        <v>46</v>
      </c>
      <c r="B427" s="1" t="s">
        <v>9</v>
      </c>
      <c r="C427">
        <v>10.493559381375068</v>
      </c>
      <c r="D427" s="17">
        <v>26.82</v>
      </c>
      <c r="E427">
        <v>12.742160463017745</v>
      </c>
      <c r="F427">
        <v>14.699400404702702</v>
      </c>
      <c r="G427" s="17">
        <v>0.15</v>
      </c>
      <c r="H427" s="17">
        <v>3.87</v>
      </c>
      <c r="I427">
        <v>0.56979700634211861</v>
      </c>
      <c r="J427" s="17">
        <v>3.6</v>
      </c>
      <c r="L427" s="22" t="s">
        <v>46</v>
      </c>
      <c r="M427" s="24" t="s">
        <v>7</v>
      </c>
      <c r="N427" s="22" t="str">
        <f>SUBSTITUTE(C425,",",".")</f>
        <v>0.459953875683525</v>
      </c>
      <c r="O427" s="22" t="str">
        <f>SUBSTITUTE(D425,",",".")</f>
        <v>28.1</v>
      </c>
      <c r="P427" s="22" t="str">
        <f>SUBSTITUTE(E425,",",".")</f>
        <v>12.7240392287155</v>
      </c>
      <c r="Q427" s="22" t="str">
        <f>SUBSTITUTE(F425,",",".")</f>
        <v>14.7454146067297</v>
      </c>
      <c r="R427" s="22" t="str">
        <f>SUBSTITUTE(G425,",",".")</f>
        <v>0.81</v>
      </c>
      <c r="S427" s="22" t="str">
        <f>SUBSTITUTE(H425,",",".")</f>
        <v>2.58</v>
      </c>
      <c r="T427" s="22" t="str">
        <f>SUBSTITUTE(I425,",",".")</f>
        <v>0.642896217379935</v>
      </c>
      <c r="U427" s="22" t="str">
        <f>SUBSTITUTE(J425,",",".")</f>
        <v>4.2</v>
      </c>
    </row>
    <row r="428" spans="1:21" x14ac:dyDescent="0.25">
      <c r="A428" t="s">
        <v>46</v>
      </c>
      <c r="B428" s="1" t="s">
        <v>10</v>
      </c>
      <c r="C428">
        <v>130.08597680926184</v>
      </c>
      <c r="D428" s="17">
        <v>44.58</v>
      </c>
      <c r="E428">
        <v>8.5809236848342483</v>
      </c>
      <c r="F428">
        <v>15.324670129695205</v>
      </c>
      <c r="G428" s="17">
        <v>0.18</v>
      </c>
      <c r="H428" s="17">
        <v>3.5</v>
      </c>
      <c r="I428">
        <v>0.61612327660042254</v>
      </c>
      <c r="J428" s="17">
        <v>5.7</v>
      </c>
      <c r="L428" s="22" t="s">
        <v>46</v>
      </c>
      <c r="M428" s="24" t="s">
        <v>8</v>
      </c>
      <c r="N428" s="22" t="str">
        <f>SUBSTITUTE(C426,",",".")</f>
        <v>4.47059521842429</v>
      </c>
      <c r="O428" s="22" t="str">
        <f>SUBSTITUTE(D426,",",".")</f>
        <v>28.15</v>
      </c>
      <c r="P428" s="22" t="str">
        <f>SUBSTITUTE(E426,",",".")</f>
        <v>10.4368315836341</v>
      </c>
      <c r="Q428" s="22" t="str">
        <f>SUBSTITUTE(F426,",",".")</f>
        <v>14.6705839674097</v>
      </c>
      <c r="R428" s="22" t="str">
        <f>SUBSTITUTE(G426,",",".")</f>
        <v>0.26</v>
      </c>
      <c r="S428" s="22" t="str">
        <f>SUBSTITUTE(H426,",",".")</f>
        <v>2.95</v>
      </c>
      <c r="T428" s="22" t="str">
        <f>SUBSTITUTE(I426,",",".")</f>
        <v>0.550429694488102</v>
      </c>
      <c r="U428" s="22" t="str">
        <f>SUBSTITUTE(J426,",",".")</f>
        <v>3.78</v>
      </c>
    </row>
    <row r="429" spans="1:21" x14ac:dyDescent="0.25">
      <c r="A429" t="s">
        <v>46</v>
      </c>
      <c r="B429" s="1" t="s">
        <v>11</v>
      </c>
      <c r="C429">
        <v>-1.0406536868338494</v>
      </c>
      <c r="D429" s="17">
        <v>41.27</v>
      </c>
      <c r="E429">
        <v>6.5491085270103948</v>
      </c>
      <c r="F429">
        <v>15.446484496451289</v>
      </c>
      <c r="G429" s="17">
        <v>-0.27</v>
      </c>
      <c r="H429" s="17">
        <v>2.95</v>
      </c>
      <c r="I429">
        <v>0.60310126253917784</v>
      </c>
      <c r="J429" s="17">
        <v>5.47</v>
      </c>
      <c r="L429" s="22" t="s">
        <v>46</v>
      </c>
      <c r="M429" s="24" t="s">
        <v>9</v>
      </c>
      <c r="N429" s="22" t="str">
        <f>SUBSTITUTE(C427,",",".")</f>
        <v>10.4935593813751</v>
      </c>
      <c r="O429" s="22" t="str">
        <f>SUBSTITUTE(D427,",",".")</f>
        <v>26.82</v>
      </c>
      <c r="P429" s="22" t="str">
        <f>SUBSTITUTE(E427,",",".")</f>
        <v>12.7421604630177</v>
      </c>
      <c r="Q429" s="22" t="str">
        <f>SUBSTITUTE(F427,",",".")</f>
        <v>14.6994004047027</v>
      </c>
      <c r="R429" s="22" t="str">
        <f>SUBSTITUTE(G427,",",".")</f>
        <v>0.15</v>
      </c>
      <c r="S429" s="22" t="str">
        <f>SUBSTITUTE(H427,",",".")</f>
        <v>3.87</v>
      </c>
      <c r="T429" s="22" t="str">
        <f>SUBSTITUTE(I427,",",".")</f>
        <v>0.569797006342119</v>
      </c>
      <c r="U429" s="22" t="str">
        <f>SUBSTITUTE(J427,",",".")</f>
        <v>3.6</v>
      </c>
    </row>
    <row r="430" spans="1:21" x14ac:dyDescent="0.25">
      <c r="A430" t="s">
        <v>46</v>
      </c>
      <c r="B430" s="1" t="s">
        <v>12</v>
      </c>
      <c r="C430">
        <v>5.4615424523839318</v>
      </c>
      <c r="D430" s="17">
        <v>51.84</v>
      </c>
      <c r="E430">
        <v>7.9779516383450382</v>
      </c>
      <c r="F430">
        <v>15.392218439121168</v>
      </c>
      <c r="G430" s="17">
        <v>0.28000000000000003</v>
      </c>
      <c r="H430" s="17">
        <v>3.76</v>
      </c>
      <c r="I430">
        <v>0.99968457818843703</v>
      </c>
      <c r="J430" s="17">
        <v>5.81</v>
      </c>
      <c r="L430" s="22" t="s">
        <v>46</v>
      </c>
      <c r="M430" s="24" t="s">
        <v>10</v>
      </c>
      <c r="N430" s="22" t="str">
        <f>SUBSTITUTE(C428,",",".")</f>
        <v>130.085976809262</v>
      </c>
      <c r="O430" s="22" t="str">
        <f>SUBSTITUTE(D428,",",".")</f>
        <v>44.58</v>
      </c>
      <c r="P430" s="22" t="str">
        <f>SUBSTITUTE(E428,",",".")</f>
        <v>8.58092368483425</v>
      </c>
      <c r="Q430" s="22" t="str">
        <f>SUBSTITUTE(F428,",",".")</f>
        <v>15.3246701296952</v>
      </c>
      <c r="R430" s="22" t="str">
        <f>SUBSTITUTE(G428,",",".")</f>
        <v>0.18</v>
      </c>
      <c r="S430" s="22" t="str">
        <f>SUBSTITUTE(H428,",",".")</f>
        <v>3.5</v>
      </c>
      <c r="T430" s="22" t="str">
        <f>SUBSTITUTE(I428,",",".")</f>
        <v>0.616123276600423</v>
      </c>
      <c r="U430" s="22" t="str">
        <f>SUBSTITUTE(J428,",",".")</f>
        <v>5.7</v>
      </c>
    </row>
    <row r="431" spans="1:21" x14ac:dyDescent="0.25">
      <c r="A431" t="s">
        <v>46</v>
      </c>
      <c r="B431" s="1" t="s">
        <v>13</v>
      </c>
      <c r="C431">
        <v>9.5511171430307691</v>
      </c>
      <c r="D431" s="17">
        <v>44.99</v>
      </c>
      <c r="E431">
        <v>11.762452977194835</v>
      </c>
      <c r="F431">
        <v>15.429133301764109</v>
      </c>
      <c r="G431" s="17">
        <v>0.4</v>
      </c>
      <c r="H431" s="17">
        <v>3.51</v>
      </c>
      <c r="I431">
        <v>0.94454278112087264</v>
      </c>
      <c r="J431" s="17">
        <v>5.66</v>
      </c>
      <c r="L431" s="22" t="s">
        <v>46</v>
      </c>
      <c r="M431" s="24" t="s">
        <v>11</v>
      </c>
      <c r="N431" s="22" t="str">
        <f>SUBSTITUTE(C429,",",".")</f>
        <v>-1.04065368683385</v>
      </c>
      <c r="O431" s="22" t="str">
        <f>SUBSTITUTE(D429,",",".")</f>
        <v>41.27</v>
      </c>
      <c r="P431" s="22" t="str">
        <f>SUBSTITUTE(E429,",",".")</f>
        <v>6.54910852701039</v>
      </c>
      <c r="Q431" s="22" t="str">
        <f>SUBSTITUTE(F429,",",".")</f>
        <v>15.4464844964513</v>
      </c>
      <c r="R431" s="22" t="str">
        <f>SUBSTITUTE(G429,",",".")</f>
        <v>-0.27</v>
      </c>
      <c r="S431" s="22" t="str">
        <f>SUBSTITUTE(H429,",",".")</f>
        <v>2.95</v>
      </c>
      <c r="T431" s="22" t="str">
        <f>SUBSTITUTE(I429,",",".")</f>
        <v>0.603101262539178</v>
      </c>
      <c r="U431" s="22" t="str">
        <f>SUBSTITUTE(J429,",",".")</f>
        <v>5.47</v>
      </c>
    </row>
    <row r="432" spans="1:21" x14ac:dyDescent="0.25">
      <c r="A432" t="s">
        <v>46</v>
      </c>
      <c r="B432" s="1" t="s">
        <v>14</v>
      </c>
      <c r="C432">
        <v>7.6195794383512689</v>
      </c>
      <c r="D432" s="17">
        <v>43.04</v>
      </c>
      <c r="E432">
        <v>7.2846131142674784</v>
      </c>
      <c r="F432">
        <v>15.486236777809147</v>
      </c>
      <c r="G432" s="17">
        <v>0.35</v>
      </c>
      <c r="H432" s="17">
        <v>3.42</v>
      </c>
      <c r="I432">
        <v>1.0057422245566927</v>
      </c>
      <c r="J432" s="17">
        <v>5.26</v>
      </c>
      <c r="L432" s="22" t="s">
        <v>46</v>
      </c>
      <c r="M432" s="24" t="s">
        <v>12</v>
      </c>
      <c r="N432" s="22" t="str">
        <f>SUBSTITUTE(C430,",",".")</f>
        <v>5.46154245238393</v>
      </c>
      <c r="O432" s="22" t="str">
        <f>SUBSTITUTE(D430,",",".")</f>
        <v>51.84</v>
      </c>
      <c r="P432" s="22" t="str">
        <f>SUBSTITUTE(E430,",",".")</f>
        <v>7.97795163834504</v>
      </c>
      <c r="Q432" s="22" t="str">
        <f>SUBSTITUTE(F430,",",".")</f>
        <v>15.3922184391212</v>
      </c>
      <c r="R432" s="22" t="str">
        <f>SUBSTITUTE(G430,",",".")</f>
        <v>0.28</v>
      </c>
      <c r="S432" s="22" t="str">
        <f>SUBSTITUTE(H430,",",".")</f>
        <v>3.76</v>
      </c>
      <c r="T432" s="22" t="str">
        <f>SUBSTITUTE(I430,",",".")</f>
        <v>0.999684578188437</v>
      </c>
      <c r="U432" s="22" t="str">
        <f>SUBSTITUTE(J430,",",".")</f>
        <v>5.81</v>
      </c>
    </row>
    <row r="433" spans="1:21" x14ac:dyDescent="0.25">
      <c r="A433" t="s">
        <v>46</v>
      </c>
      <c r="B433" s="1" t="s">
        <v>15</v>
      </c>
      <c r="C433">
        <v>5.5384547414771719</v>
      </c>
      <c r="D433" s="17">
        <v>53.98</v>
      </c>
      <c r="E433">
        <v>11.484718690230817</v>
      </c>
      <c r="F433">
        <v>15.652113046545578</v>
      </c>
      <c r="G433" s="17">
        <v>0.35</v>
      </c>
      <c r="H433" s="17">
        <v>3.52</v>
      </c>
      <c r="I433">
        <v>1.0003597797413075</v>
      </c>
      <c r="J433" s="17">
        <v>5.25</v>
      </c>
      <c r="L433" s="22" t="s">
        <v>46</v>
      </c>
      <c r="M433" s="24" t="s">
        <v>13</v>
      </c>
      <c r="N433" s="22" t="str">
        <f>SUBSTITUTE(C431,",",".")</f>
        <v>9.55111714303077</v>
      </c>
      <c r="O433" s="22" t="str">
        <f>SUBSTITUTE(D431,",",".")</f>
        <v>44.99</v>
      </c>
      <c r="P433" s="22" t="str">
        <f>SUBSTITUTE(E431,",",".")</f>
        <v>11.7624529771948</v>
      </c>
      <c r="Q433" s="22" t="str">
        <f>SUBSTITUTE(F431,",",".")</f>
        <v>15.4291333017641</v>
      </c>
      <c r="R433" s="22" t="str">
        <f>SUBSTITUTE(G431,",",".")</f>
        <v>0.4</v>
      </c>
      <c r="S433" s="22" t="str">
        <f>SUBSTITUTE(H431,",",".")</f>
        <v>3.51</v>
      </c>
      <c r="T433" s="22" t="str">
        <f>SUBSTITUTE(I431,",",".")</f>
        <v>0.944542781120873</v>
      </c>
      <c r="U433" s="22" t="str">
        <f>SUBSTITUTE(J431,",",".")</f>
        <v>5.66</v>
      </c>
    </row>
    <row r="434" spans="1:21" x14ac:dyDescent="0.25">
      <c r="A434" t="s">
        <v>46</v>
      </c>
      <c r="B434" s="1" t="s">
        <v>16</v>
      </c>
      <c r="C434">
        <v>2.3402427943466906</v>
      </c>
      <c r="D434" s="17">
        <v>50.95</v>
      </c>
      <c r="E434">
        <v>8.1697515519786226</v>
      </c>
      <c r="F434">
        <v>15.682183448694142</v>
      </c>
      <c r="G434" s="17">
        <v>0.49</v>
      </c>
      <c r="H434" s="17">
        <v>3.09</v>
      </c>
      <c r="I434">
        <v>1.2087317747154855</v>
      </c>
      <c r="J434" s="17">
        <v>4.47</v>
      </c>
      <c r="L434" s="22" t="s">
        <v>46</v>
      </c>
      <c r="M434" s="24" t="s">
        <v>14</v>
      </c>
      <c r="N434" s="22" t="str">
        <f>SUBSTITUTE(C432,",",".")</f>
        <v>7.61957943835127</v>
      </c>
      <c r="O434" s="22" t="str">
        <f>SUBSTITUTE(D432,",",".")</f>
        <v>43.04</v>
      </c>
      <c r="P434" s="22" t="str">
        <f>SUBSTITUTE(E432,",",".")</f>
        <v>7.28461311426748</v>
      </c>
      <c r="Q434" s="22" t="str">
        <f>SUBSTITUTE(F432,",",".")</f>
        <v>15.4862367778091</v>
      </c>
      <c r="R434" s="22" t="str">
        <f>SUBSTITUTE(G432,",",".")</f>
        <v>0.35</v>
      </c>
      <c r="S434" s="22" t="str">
        <f>SUBSTITUTE(H432,",",".")</f>
        <v>3.42</v>
      </c>
      <c r="T434" s="22" t="str">
        <f>SUBSTITUTE(I432,",",".")</f>
        <v>1.00574222455669</v>
      </c>
      <c r="U434" s="22" t="str">
        <f>SUBSTITUTE(J432,",",".")</f>
        <v>5.26</v>
      </c>
    </row>
    <row r="435" spans="1:21" x14ac:dyDescent="0.25">
      <c r="A435" t="s">
        <v>46</v>
      </c>
      <c r="B435" s="1" t="s">
        <v>17</v>
      </c>
      <c r="C435">
        <v>13.325319056102972</v>
      </c>
      <c r="D435" s="17">
        <v>46.37</v>
      </c>
      <c r="E435">
        <v>10.011149599400847</v>
      </c>
      <c r="F435">
        <v>15.732864694673291</v>
      </c>
      <c r="G435" s="17">
        <v>0.3</v>
      </c>
      <c r="H435" s="17">
        <v>2.89</v>
      </c>
      <c r="I435">
        <v>1.31064489905267</v>
      </c>
      <c r="J435" s="17">
        <v>4.6900000000000004</v>
      </c>
      <c r="L435" s="22" t="s">
        <v>46</v>
      </c>
      <c r="M435" s="24" t="s">
        <v>15</v>
      </c>
      <c r="N435" s="22" t="str">
        <f>SUBSTITUTE(C433,",",".")</f>
        <v>5.53845474147717</v>
      </c>
      <c r="O435" s="22" t="str">
        <f>SUBSTITUTE(D433,",",".")</f>
        <v>53.98</v>
      </c>
      <c r="P435" s="22" t="str">
        <f>SUBSTITUTE(E433,",",".")</f>
        <v>11.4847186902308</v>
      </c>
      <c r="Q435" s="22" t="str">
        <f>SUBSTITUTE(F433,",",".")</f>
        <v>15.6521130465456</v>
      </c>
      <c r="R435" s="22" t="str">
        <f>SUBSTITUTE(G433,",",".")</f>
        <v>0.35</v>
      </c>
      <c r="S435" s="22" t="str">
        <f>SUBSTITUTE(H433,",",".")</f>
        <v>3.52</v>
      </c>
      <c r="T435" s="22" t="str">
        <f>SUBSTITUTE(I433,",",".")</f>
        <v>1.00035977974131</v>
      </c>
      <c r="U435" s="22" t="str">
        <f>SUBSTITUTE(J433,",",".")</f>
        <v>5.25</v>
      </c>
    </row>
    <row r="436" spans="1:21" x14ac:dyDescent="0.25">
      <c r="A436" t="s">
        <v>46</v>
      </c>
      <c r="B436" s="1" t="s">
        <v>18</v>
      </c>
      <c r="C436">
        <v>1.4037897209024199</v>
      </c>
      <c r="D436" s="17">
        <v>45.26</v>
      </c>
      <c r="E436">
        <v>12.289626516441114</v>
      </c>
      <c r="F436">
        <v>15.725372715458077</v>
      </c>
      <c r="G436" s="17">
        <v>0.38</v>
      </c>
      <c r="H436" s="17">
        <v>3.43</v>
      </c>
      <c r="I436">
        <v>1.3956676303075641</v>
      </c>
      <c r="J436" s="17">
        <v>4.7699999999999996</v>
      </c>
      <c r="L436" s="22" t="s">
        <v>46</v>
      </c>
      <c r="M436" s="24" t="s">
        <v>16</v>
      </c>
      <c r="N436" s="22" t="str">
        <f>SUBSTITUTE(C434,",",".")</f>
        <v>2.34024279434669</v>
      </c>
      <c r="O436" s="22" t="str">
        <f>SUBSTITUTE(D434,",",".")</f>
        <v>50.95</v>
      </c>
      <c r="P436" s="22" t="str">
        <f>SUBSTITUTE(E434,",",".")</f>
        <v>8.16975155197862</v>
      </c>
      <c r="Q436" s="22" t="str">
        <f>SUBSTITUTE(F434,",",".")</f>
        <v>15.6821834486941</v>
      </c>
      <c r="R436" s="22" t="str">
        <f>SUBSTITUTE(G434,",",".")</f>
        <v>0.49</v>
      </c>
      <c r="S436" s="22" t="str">
        <f>SUBSTITUTE(H434,",",".")</f>
        <v>3.09</v>
      </c>
      <c r="T436" s="22" t="str">
        <f>SUBSTITUTE(I434,",",".")</f>
        <v>1.20873177471549</v>
      </c>
      <c r="U436" s="22" t="str">
        <f>SUBSTITUTE(J434,",",".")</f>
        <v>4.47</v>
      </c>
    </row>
    <row r="437" spans="1:21" x14ac:dyDescent="0.25">
      <c r="A437" t="s">
        <v>46</v>
      </c>
      <c r="B437" s="1" t="s">
        <v>19</v>
      </c>
      <c r="C437">
        <v>9.1425257120867229</v>
      </c>
      <c r="D437" s="17">
        <v>50.88</v>
      </c>
      <c r="E437">
        <v>12.645348705439272</v>
      </c>
      <c r="F437">
        <v>15.859499129623858</v>
      </c>
      <c r="G437" s="17">
        <v>0.38</v>
      </c>
      <c r="H437" s="17">
        <v>3.58</v>
      </c>
      <c r="I437">
        <v>1.571825420695943</v>
      </c>
      <c r="J437" s="17">
        <v>5.09</v>
      </c>
      <c r="L437" s="22" t="s">
        <v>46</v>
      </c>
      <c r="M437" s="24" t="s">
        <v>17</v>
      </c>
      <c r="N437" s="22" t="str">
        <f>SUBSTITUTE(C435,",",".")</f>
        <v>13.325319056103</v>
      </c>
      <c r="O437" s="22" t="str">
        <f>SUBSTITUTE(D435,",",".")</f>
        <v>46.37</v>
      </c>
      <c r="P437" s="22" t="str">
        <f>SUBSTITUTE(E435,",",".")</f>
        <v>10.0111495994008</v>
      </c>
      <c r="Q437" s="22" t="str">
        <f>SUBSTITUTE(F435,",",".")</f>
        <v>15.7328646946733</v>
      </c>
      <c r="R437" s="22" t="str">
        <f>SUBSTITUTE(G435,",",".")</f>
        <v>0.3</v>
      </c>
      <c r="S437" s="22" t="str">
        <f>SUBSTITUTE(H435,",",".")</f>
        <v>2.89</v>
      </c>
      <c r="T437" s="22" t="str">
        <f>SUBSTITUTE(I435,",",".")</f>
        <v>1.31064489905267</v>
      </c>
      <c r="U437" s="22" t="str">
        <f>SUBSTITUTE(J435,",",".")</f>
        <v>4.69</v>
      </c>
    </row>
    <row r="438" spans="1:21" x14ac:dyDescent="0.25">
      <c r="A438" t="s">
        <v>46</v>
      </c>
      <c r="B438" s="1" t="s">
        <v>20</v>
      </c>
      <c r="C438">
        <v>-1.630276047853416</v>
      </c>
      <c r="D438" s="17">
        <v>52.17</v>
      </c>
      <c r="E438">
        <v>14.504896417803554</v>
      </c>
      <c r="F438">
        <v>15.773054485708386</v>
      </c>
      <c r="G438" s="17">
        <v>0.16</v>
      </c>
      <c r="H438" s="17">
        <v>4.13</v>
      </c>
      <c r="I438">
        <v>2.1343252517401243</v>
      </c>
      <c r="J438" s="17">
        <v>5.87</v>
      </c>
      <c r="L438" s="22" t="s">
        <v>46</v>
      </c>
      <c r="M438" s="24" t="s">
        <v>18</v>
      </c>
      <c r="N438" s="22" t="str">
        <f>SUBSTITUTE(C436,",",".")</f>
        <v>1.40378972090242</v>
      </c>
      <c r="O438" s="22" t="str">
        <f>SUBSTITUTE(D436,",",".")</f>
        <v>45.26</v>
      </c>
      <c r="P438" s="22" t="str">
        <f>SUBSTITUTE(E436,",",".")</f>
        <v>12.2896265164411</v>
      </c>
      <c r="Q438" s="22" t="str">
        <f>SUBSTITUTE(F436,",",".")</f>
        <v>15.7253727154581</v>
      </c>
      <c r="R438" s="22" t="str">
        <f>SUBSTITUTE(G436,",",".")</f>
        <v>0.38</v>
      </c>
      <c r="S438" s="22" t="str">
        <f>SUBSTITUTE(H436,",",".")</f>
        <v>3.43</v>
      </c>
      <c r="T438" s="22" t="str">
        <f>SUBSTITUTE(I436,",",".")</f>
        <v>1.39566763030756</v>
      </c>
      <c r="U438" s="22" t="str">
        <f>SUBSTITUTE(J436,",",".")</f>
        <v>4.77</v>
      </c>
    </row>
    <row r="439" spans="1:21" x14ac:dyDescent="0.25">
      <c r="A439" t="s">
        <v>46</v>
      </c>
      <c r="B439" s="1" t="s">
        <v>21</v>
      </c>
      <c r="C439">
        <v>23.631338629377019</v>
      </c>
      <c r="D439" s="17">
        <v>45.24</v>
      </c>
      <c r="E439">
        <v>17.321511702915913</v>
      </c>
      <c r="F439">
        <v>15.956824648358122</v>
      </c>
      <c r="G439" s="17">
        <v>0.21</v>
      </c>
      <c r="H439" s="17">
        <v>3.23</v>
      </c>
      <c r="I439">
        <v>1.7068161654776635</v>
      </c>
      <c r="J439" s="17">
        <v>5.81</v>
      </c>
      <c r="L439" s="22" t="s">
        <v>46</v>
      </c>
      <c r="M439" s="24" t="s">
        <v>19</v>
      </c>
      <c r="N439" s="22" t="str">
        <f>SUBSTITUTE(C437,",",".")</f>
        <v>9.14252571208672</v>
      </c>
      <c r="O439" s="22" t="str">
        <f>SUBSTITUTE(D437,",",".")</f>
        <v>50.88</v>
      </c>
      <c r="P439" s="22" t="str">
        <f>SUBSTITUTE(E437,",",".")</f>
        <v>12.6453487054393</v>
      </c>
      <c r="Q439" s="22" t="str">
        <f>SUBSTITUTE(F437,",",".")</f>
        <v>15.8594991296239</v>
      </c>
      <c r="R439" s="22" t="str">
        <f>SUBSTITUTE(G437,",",".")</f>
        <v>0.38</v>
      </c>
      <c r="S439" s="22" t="str">
        <f>SUBSTITUTE(H437,",",".")</f>
        <v>3.58</v>
      </c>
      <c r="T439" s="22" t="str">
        <f>SUBSTITUTE(I437,",",".")</f>
        <v>1.57182542069594</v>
      </c>
      <c r="U439" s="22" t="str">
        <f>SUBSTITUTE(J437,",",".")</f>
        <v>5.09</v>
      </c>
    </row>
    <row r="440" spans="1:21" x14ac:dyDescent="0.25">
      <c r="A440" t="s">
        <v>46</v>
      </c>
      <c r="B440" s="1" t="s">
        <v>22</v>
      </c>
      <c r="C440">
        <v>11.21921931764599</v>
      </c>
      <c r="D440" s="17">
        <v>45.9</v>
      </c>
      <c r="E440">
        <v>13.855387580742571</v>
      </c>
      <c r="F440">
        <v>16.0614862510885</v>
      </c>
      <c r="G440" s="17">
        <v>0.21</v>
      </c>
      <c r="H440" s="17">
        <v>2.67</v>
      </c>
      <c r="I440">
        <v>1.6995652664300329</v>
      </c>
      <c r="J440" s="17">
        <v>5.51</v>
      </c>
      <c r="L440" s="22" t="s">
        <v>46</v>
      </c>
      <c r="M440" s="24" t="s">
        <v>20</v>
      </c>
      <c r="N440" s="22" t="str">
        <f>SUBSTITUTE(C438,",",".")</f>
        <v>-1.63027604785342</v>
      </c>
      <c r="O440" s="22" t="str">
        <f>SUBSTITUTE(D438,",",".")</f>
        <v>52.17</v>
      </c>
      <c r="P440" s="22" t="str">
        <f>SUBSTITUTE(E438,",",".")</f>
        <v>14.5048964178036</v>
      </c>
      <c r="Q440" s="22" t="str">
        <f>SUBSTITUTE(F438,",",".")</f>
        <v>15.7730544857084</v>
      </c>
      <c r="R440" s="22" t="str">
        <f>SUBSTITUTE(G438,",",".")</f>
        <v>0.16</v>
      </c>
      <c r="S440" s="22" t="str">
        <f>SUBSTITUTE(H438,",",".")</f>
        <v>4.13</v>
      </c>
      <c r="T440" s="22" t="str">
        <f>SUBSTITUTE(I438,",",".")</f>
        <v>2.13432525174012</v>
      </c>
      <c r="U440" s="22" t="str">
        <f>SUBSTITUTE(J438,",",".")</f>
        <v>5.87</v>
      </c>
    </row>
    <row r="441" spans="1:21" x14ac:dyDescent="0.25">
      <c r="A441" t="s">
        <v>46</v>
      </c>
      <c r="B441" s="1" t="s">
        <v>23</v>
      </c>
      <c r="C441">
        <v>8.0219689543381065</v>
      </c>
      <c r="D441" s="19">
        <v>47.67</v>
      </c>
      <c r="E441">
        <v>15.013456689511992</v>
      </c>
      <c r="F441">
        <v>16.136270581725928</v>
      </c>
      <c r="G441" s="16">
        <v>0.22</v>
      </c>
      <c r="H441" s="19">
        <v>2.75</v>
      </c>
      <c r="I441">
        <v>1.6674968871382541</v>
      </c>
      <c r="J441" s="16">
        <v>5.68</v>
      </c>
      <c r="L441" s="22" t="s">
        <v>46</v>
      </c>
      <c r="M441" s="24" t="s">
        <v>21</v>
      </c>
      <c r="N441" s="22" t="str">
        <f>SUBSTITUTE(C439,",",".")</f>
        <v>23.631338629377</v>
      </c>
      <c r="O441" s="22" t="str">
        <f>SUBSTITUTE(D439,",",".")</f>
        <v>45.24</v>
      </c>
      <c r="P441" s="22" t="str">
        <f>SUBSTITUTE(E439,",",".")</f>
        <v>17.3215117029159</v>
      </c>
      <c r="Q441" s="22" t="str">
        <f>SUBSTITUTE(F439,",",".")</f>
        <v>15.9568246483581</v>
      </c>
      <c r="R441" s="22" t="str">
        <f>SUBSTITUTE(G439,",",".")</f>
        <v>0.21</v>
      </c>
      <c r="S441" s="22" t="str">
        <f>SUBSTITUTE(H439,",",".")</f>
        <v>3.23</v>
      </c>
      <c r="T441" s="22" t="str">
        <f>SUBSTITUTE(I439,",",".")</f>
        <v>1.70681616547766</v>
      </c>
      <c r="U441" s="22" t="str">
        <f>SUBSTITUTE(J439,",",".")</f>
        <v>5.81</v>
      </c>
    </row>
    <row r="442" spans="1:21" x14ac:dyDescent="0.25">
      <c r="A442" t="s">
        <v>47</v>
      </c>
      <c r="B442" s="1" t="s">
        <v>4</v>
      </c>
      <c r="C442">
        <v>-3.5020994964488987</v>
      </c>
      <c r="D442" s="17">
        <v>20.45</v>
      </c>
      <c r="E442">
        <v>23.036919327789345</v>
      </c>
      <c r="F442">
        <v>13.527991138950371</v>
      </c>
      <c r="G442" s="17">
        <v>-1.94</v>
      </c>
      <c r="H442" s="17">
        <v>8.5</v>
      </c>
      <c r="I442">
        <v>4.5901987655501371</v>
      </c>
      <c r="J442" s="17">
        <v>4.66</v>
      </c>
      <c r="L442" s="22" t="s">
        <v>46</v>
      </c>
      <c r="M442" s="24" t="s">
        <v>22</v>
      </c>
      <c r="N442" s="22" t="str">
        <f>SUBSTITUTE(C440,",",".")</f>
        <v>11.219219317646</v>
      </c>
      <c r="O442" s="22" t="str">
        <f>SUBSTITUTE(D440,",",".")</f>
        <v>45.9</v>
      </c>
      <c r="P442" s="22" t="str">
        <f>SUBSTITUTE(E440,",",".")</f>
        <v>13.8553875807426</v>
      </c>
      <c r="Q442" s="22" t="str">
        <f>SUBSTITUTE(F440,",",".")</f>
        <v>16.0614862510885</v>
      </c>
      <c r="R442" s="22" t="str">
        <f>SUBSTITUTE(G440,",",".")</f>
        <v>0.21</v>
      </c>
      <c r="S442" s="22" t="str">
        <f>SUBSTITUTE(H440,",",".")</f>
        <v>2.67</v>
      </c>
      <c r="T442" s="22" t="str">
        <f>SUBSTITUTE(I440,",",".")</f>
        <v>1.69956526643003</v>
      </c>
      <c r="U442" s="22" t="str">
        <f>SUBSTITUTE(J440,",",".")</f>
        <v>5.51</v>
      </c>
    </row>
    <row r="443" spans="1:21" x14ac:dyDescent="0.25">
      <c r="A443" t="s">
        <v>47</v>
      </c>
      <c r="B443" s="1" t="s">
        <v>5</v>
      </c>
      <c r="C443">
        <v>-1.7528763106734231</v>
      </c>
      <c r="D443" s="17">
        <v>20.72</v>
      </c>
      <c r="E443">
        <v>24.871868200514243</v>
      </c>
      <c r="F443">
        <v>13.539479020364382</v>
      </c>
      <c r="G443" s="17">
        <v>-1.78</v>
      </c>
      <c r="H443" s="17">
        <v>8.3000000000000007</v>
      </c>
      <c r="I443">
        <v>4.4973562137087617</v>
      </c>
      <c r="J443" s="17">
        <v>4.9000000000000004</v>
      </c>
      <c r="L443" s="22" t="s">
        <v>46</v>
      </c>
      <c r="M443" s="24" t="s">
        <v>23</v>
      </c>
      <c r="N443" s="22" t="str">
        <f>SUBSTITUTE(C441,",",".")</f>
        <v>8.02196895433811</v>
      </c>
      <c r="O443" s="22" t="str">
        <f>SUBSTITUTE(D441,",",".")</f>
        <v>47.67</v>
      </c>
      <c r="P443" s="22" t="str">
        <f>SUBSTITUTE(E441,",",".")</f>
        <v>15.013456689512</v>
      </c>
      <c r="Q443" s="22" t="str">
        <f>SUBSTITUTE(F441,",",".")</f>
        <v>16.1362705817259</v>
      </c>
      <c r="R443" s="22" t="str">
        <f>SUBSTITUTE(G441,",",".")</f>
        <v>0.22</v>
      </c>
      <c r="S443" s="22" t="str">
        <f>SUBSTITUTE(H441,",",".")</f>
        <v>2.75</v>
      </c>
      <c r="T443" s="22" t="str">
        <f>SUBSTITUTE(I441,",",".")</f>
        <v>1.66749688713825</v>
      </c>
      <c r="U443" s="22" t="str">
        <f>SUBSTITUTE(J441,",",".")</f>
        <v>5.68</v>
      </c>
    </row>
    <row r="444" spans="1:21" x14ac:dyDescent="0.25">
      <c r="A444" t="s">
        <v>47</v>
      </c>
      <c r="B444" s="1" t="s">
        <v>6</v>
      </c>
      <c r="C444">
        <v>-7.4298504557692935</v>
      </c>
      <c r="D444" s="17">
        <v>20.87</v>
      </c>
      <c r="E444">
        <v>26.609464300568796</v>
      </c>
      <c r="F444">
        <v>13.505314265168572</v>
      </c>
      <c r="G444" s="17">
        <v>-1.8</v>
      </c>
      <c r="H444" s="17">
        <v>8.8699999999999992</v>
      </c>
      <c r="I444">
        <v>4.7022653948496549</v>
      </c>
      <c r="J444" s="17">
        <v>4.87</v>
      </c>
      <c r="L444" s="22" t="s">
        <v>47</v>
      </c>
      <c r="M444" s="24" t="s">
        <v>4</v>
      </c>
      <c r="N444" s="22" t="str">
        <f>SUBSTITUTE(C442,",",".")</f>
        <v>-3.5020994964489</v>
      </c>
      <c r="O444" s="22" t="str">
        <f>SUBSTITUTE(D442,",",".")</f>
        <v>20.45</v>
      </c>
      <c r="P444" s="22" t="str">
        <f>SUBSTITUTE(E442,",",".")</f>
        <v>23.0369193277893</v>
      </c>
      <c r="Q444" s="22" t="str">
        <f>SUBSTITUTE(F442,",",".")</f>
        <v>13.5279911389504</v>
      </c>
      <c r="R444" s="22" t="str">
        <f>SUBSTITUTE(G442,",",".")</f>
        <v>-1.94</v>
      </c>
      <c r="S444" s="22" t="str">
        <f>SUBSTITUTE(H442,",",".")</f>
        <v>8.5</v>
      </c>
      <c r="T444" s="22" t="str">
        <f>SUBSTITUTE(I442,",",".")</f>
        <v>4.59019876555014</v>
      </c>
      <c r="U444" s="22" t="str">
        <f>SUBSTITUTE(J442,",",".")</f>
        <v>4.66</v>
      </c>
    </row>
    <row r="445" spans="1:21" x14ac:dyDescent="0.25">
      <c r="A445" t="s">
        <v>47</v>
      </c>
      <c r="B445" s="1" t="s">
        <v>7</v>
      </c>
      <c r="C445">
        <v>-8.2219558975724727</v>
      </c>
      <c r="D445" s="17">
        <v>18.63</v>
      </c>
      <c r="E445">
        <v>23.335685367090285</v>
      </c>
      <c r="F445">
        <v>13.407050469376172</v>
      </c>
      <c r="G445" s="17">
        <v>-2.76</v>
      </c>
      <c r="H445" s="17">
        <v>6.17</v>
      </c>
      <c r="I445">
        <v>2.3148489900854003</v>
      </c>
      <c r="J445" s="17">
        <v>4.84</v>
      </c>
      <c r="L445" s="22" t="s">
        <v>47</v>
      </c>
      <c r="M445" s="24" t="s">
        <v>5</v>
      </c>
      <c r="N445" s="22" t="str">
        <f>SUBSTITUTE(C443,",",".")</f>
        <v>-1.75287631067342</v>
      </c>
      <c r="O445" s="22" t="str">
        <f>SUBSTITUTE(D443,",",".")</f>
        <v>20.72</v>
      </c>
      <c r="P445" s="22" t="str">
        <f>SUBSTITUTE(E443,",",".")</f>
        <v>24.8718682005142</v>
      </c>
      <c r="Q445" s="22" t="str">
        <f>SUBSTITUTE(F443,",",".")</f>
        <v>13.5394790203644</v>
      </c>
      <c r="R445" s="22" t="str">
        <f>SUBSTITUTE(G443,",",".")</f>
        <v>-1.78</v>
      </c>
      <c r="S445" s="22" t="str">
        <f>SUBSTITUTE(H443,",",".")</f>
        <v>8.3</v>
      </c>
      <c r="T445" s="22" t="str">
        <f>SUBSTITUTE(I443,",",".")</f>
        <v>4.49735621370876</v>
      </c>
      <c r="U445" s="22" t="str">
        <f>SUBSTITUTE(J443,",",".")</f>
        <v>4.9</v>
      </c>
    </row>
    <row r="446" spans="1:21" x14ac:dyDescent="0.25">
      <c r="A446" t="s">
        <v>47</v>
      </c>
      <c r="B446" s="1" t="s">
        <v>8</v>
      </c>
      <c r="C446">
        <v>-7.0089473215308455</v>
      </c>
      <c r="D446" s="17">
        <v>17.79</v>
      </c>
      <c r="E446">
        <v>26.585824605228471</v>
      </c>
      <c r="F446">
        <v>13.428283618731022</v>
      </c>
      <c r="G446" s="17">
        <v>-3.59</v>
      </c>
      <c r="H446" s="17">
        <v>6.64</v>
      </c>
      <c r="I446">
        <v>2.6075769188656519</v>
      </c>
      <c r="J446" s="17">
        <v>3.45</v>
      </c>
      <c r="L446" s="22" t="s">
        <v>47</v>
      </c>
      <c r="M446" s="24" t="s">
        <v>6</v>
      </c>
      <c r="N446" s="22" t="str">
        <f>SUBSTITUTE(C444,",",".")</f>
        <v>-7.42985045576929</v>
      </c>
      <c r="O446" s="22" t="str">
        <f>SUBSTITUTE(D444,",",".")</f>
        <v>20.87</v>
      </c>
      <c r="P446" s="22" t="str">
        <f>SUBSTITUTE(E444,",",".")</f>
        <v>26.6094643005688</v>
      </c>
      <c r="Q446" s="22" t="str">
        <f>SUBSTITUTE(F444,",",".")</f>
        <v>13.5053142651686</v>
      </c>
      <c r="R446" s="22" t="str">
        <f>SUBSTITUTE(G444,",",".")</f>
        <v>-1.8</v>
      </c>
      <c r="S446" s="22" t="str">
        <f>SUBSTITUTE(H444,",",".")</f>
        <v>8.87</v>
      </c>
      <c r="T446" s="22" t="str">
        <f>SUBSTITUTE(I444,",",".")</f>
        <v>4.70226539484965</v>
      </c>
      <c r="U446" s="22" t="str">
        <f>SUBSTITUTE(J444,",",".")</f>
        <v>4.87</v>
      </c>
    </row>
    <row r="447" spans="1:21" x14ac:dyDescent="0.25">
      <c r="A447" t="s">
        <v>47</v>
      </c>
      <c r="B447" s="1" t="s">
        <v>9</v>
      </c>
      <c r="C447">
        <v>2.6647870360232124</v>
      </c>
      <c r="D447" s="17">
        <v>16.02</v>
      </c>
      <c r="E447">
        <v>25.723324895803469</v>
      </c>
      <c r="F447">
        <v>13.450401575876485</v>
      </c>
      <c r="G447" s="17">
        <v>-4.16</v>
      </c>
      <c r="H447" s="17">
        <v>6.41</v>
      </c>
      <c r="I447">
        <v>3.1286078041887189</v>
      </c>
      <c r="J447" s="17">
        <v>3.16</v>
      </c>
      <c r="L447" s="22" t="s">
        <v>47</v>
      </c>
      <c r="M447" s="24" t="s">
        <v>7</v>
      </c>
      <c r="N447" s="22" t="str">
        <f>SUBSTITUTE(C445,",",".")</f>
        <v>-8.22195589757247</v>
      </c>
      <c r="O447" s="22" t="str">
        <f>SUBSTITUTE(D445,",",".")</f>
        <v>18.63</v>
      </c>
      <c r="P447" s="22" t="str">
        <f>SUBSTITUTE(E445,",",".")</f>
        <v>23.3356853670903</v>
      </c>
      <c r="Q447" s="22" t="str">
        <f>SUBSTITUTE(F445,",",".")</f>
        <v>13.4070504693762</v>
      </c>
      <c r="R447" s="22" t="str">
        <f>SUBSTITUTE(G445,",",".")</f>
        <v>-2.76</v>
      </c>
      <c r="S447" s="22" t="str">
        <f>SUBSTITUTE(H445,",",".")</f>
        <v>6.17</v>
      </c>
      <c r="T447" s="22" t="str">
        <f>SUBSTITUTE(I445,",",".")</f>
        <v>2.3148489900854</v>
      </c>
      <c r="U447" s="22" t="str">
        <f>SUBSTITUTE(J445,",",".")</f>
        <v>4.84</v>
      </c>
    </row>
    <row r="448" spans="1:21" x14ac:dyDescent="0.25">
      <c r="A448" t="s">
        <v>47</v>
      </c>
      <c r="B448" s="1" t="s">
        <v>10</v>
      </c>
      <c r="C448">
        <v>-3.1686019383823707</v>
      </c>
      <c r="D448" s="17">
        <v>15.47</v>
      </c>
      <c r="E448">
        <v>22.083207571051634</v>
      </c>
      <c r="F448">
        <v>13.48554570233761</v>
      </c>
      <c r="G448" s="17">
        <v>-3.66</v>
      </c>
      <c r="H448" s="17">
        <v>8.18</v>
      </c>
      <c r="I448">
        <v>3.863469274804431</v>
      </c>
      <c r="J448" s="17">
        <v>2.62</v>
      </c>
      <c r="L448" s="22" t="s">
        <v>47</v>
      </c>
      <c r="M448" s="24" t="s">
        <v>8</v>
      </c>
      <c r="N448" s="22" t="str">
        <f>SUBSTITUTE(C446,",",".")</f>
        <v>-7.00894732153085</v>
      </c>
      <c r="O448" s="22" t="str">
        <f>SUBSTITUTE(D446,",",".")</f>
        <v>17.79</v>
      </c>
      <c r="P448" s="22" t="str">
        <f>SUBSTITUTE(E446,",",".")</f>
        <v>26.5858246052285</v>
      </c>
      <c r="Q448" s="22" t="str">
        <f>SUBSTITUTE(F446,",",".")</f>
        <v>13.428283618731</v>
      </c>
      <c r="R448" s="22" t="str">
        <f>SUBSTITUTE(G446,",",".")</f>
        <v>-3.59</v>
      </c>
      <c r="S448" s="22" t="str">
        <f>SUBSTITUTE(H446,",",".")</f>
        <v>6.64</v>
      </c>
      <c r="T448" s="22" t="str">
        <f>SUBSTITUTE(I446,",",".")</f>
        <v>2.60757691886565</v>
      </c>
      <c r="U448" s="22" t="str">
        <f>SUBSTITUTE(J446,",",".")</f>
        <v>3.45</v>
      </c>
    </row>
    <row r="449" spans="1:21" x14ac:dyDescent="0.25">
      <c r="A449" t="s">
        <v>47</v>
      </c>
      <c r="B449" s="1" t="s">
        <v>11</v>
      </c>
      <c r="C449">
        <v>-21.581018308179896</v>
      </c>
      <c r="D449" s="17">
        <v>148.28</v>
      </c>
      <c r="E449">
        <v>24.400158358042081</v>
      </c>
      <c r="F449">
        <v>14.093942731703013</v>
      </c>
      <c r="G449" s="17">
        <v>-15.89</v>
      </c>
      <c r="H449" s="17">
        <v>2.0499999999999998</v>
      </c>
      <c r="I449">
        <v>11.630822170333047</v>
      </c>
      <c r="J449" s="17">
        <v>2.0499999999999998</v>
      </c>
      <c r="L449" s="22" t="s">
        <v>47</v>
      </c>
      <c r="M449" s="24" t="s">
        <v>9</v>
      </c>
      <c r="N449" s="22" t="str">
        <f>SUBSTITUTE(C447,",",".")</f>
        <v>2.66478703602321</v>
      </c>
      <c r="O449" s="22" t="str">
        <f>SUBSTITUTE(D447,",",".")</f>
        <v>16.02</v>
      </c>
      <c r="P449" s="22" t="str">
        <f>SUBSTITUTE(E447,",",".")</f>
        <v>25.7233248958035</v>
      </c>
      <c r="Q449" s="22" t="str">
        <f>SUBSTITUTE(F447,",",".")</f>
        <v>13.4504015758765</v>
      </c>
      <c r="R449" s="22" t="str">
        <f>SUBSTITUTE(G447,",",".")</f>
        <v>-4.16</v>
      </c>
      <c r="S449" s="22" t="str">
        <f>SUBSTITUTE(H447,",",".")</f>
        <v>6.41</v>
      </c>
      <c r="T449" s="22" t="str">
        <f>SUBSTITUTE(I447,",",".")</f>
        <v>3.12860780418872</v>
      </c>
      <c r="U449" s="22" t="str">
        <f>SUBSTITUTE(J447,",",".")</f>
        <v>3.16</v>
      </c>
    </row>
    <row r="450" spans="1:21" x14ac:dyDescent="0.25">
      <c r="A450" t="s">
        <v>47</v>
      </c>
      <c r="B450" s="1" t="s">
        <v>12</v>
      </c>
      <c r="C450">
        <v>8.8193261819905544</v>
      </c>
      <c r="D450" s="17">
        <v>116.15</v>
      </c>
      <c r="E450">
        <v>17.661071874729434</v>
      </c>
      <c r="F450">
        <v>14.008388697447174</v>
      </c>
      <c r="G450" s="17">
        <v>-8.15</v>
      </c>
      <c r="H450" s="17">
        <v>2.04</v>
      </c>
      <c r="I450">
        <v>12.112147964583494</v>
      </c>
      <c r="J450" s="17">
        <v>3.79</v>
      </c>
      <c r="L450" s="22" t="s">
        <v>47</v>
      </c>
      <c r="M450" s="24" t="s">
        <v>10</v>
      </c>
      <c r="N450" s="22" t="str">
        <f>SUBSTITUTE(C448,",",".")</f>
        <v>-3.16860193838237</v>
      </c>
      <c r="O450" s="22" t="str">
        <f>SUBSTITUTE(D448,",",".")</f>
        <v>15.47</v>
      </c>
      <c r="P450" s="22" t="str">
        <f>SUBSTITUTE(E448,",",".")</f>
        <v>22.0832075710516</v>
      </c>
      <c r="Q450" s="22" t="str">
        <f>SUBSTITUTE(F448,",",".")</f>
        <v>13.4855457023376</v>
      </c>
      <c r="R450" s="22" t="str">
        <f>SUBSTITUTE(G448,",",".")</f>
        <v>-3.66</v>
      </c>
      <c r="S450" s="22" t="str">
        <f>SUBSTITUTE(H448,",",".")</f>
        <v>8.18</v>
      </c>
      <c r="T450" s="22" t="str">
        <f>SUBSTITUTE(I448,",",".")</f>
        <v>3.86346927480443</v>
      </c>
      <c r="U450" s="22" t="str">
        <f>SUBSTITUTE(J448,",",".")</f>
        <v>2.62</v>
      </c>
    </row>
    <row r="451" spans="1:21" x14ac:dyDescent="0.25">
      <c r="A451" t="s">
        <v>47</v>
      </c>
      <c r="B451" s="1" t="s">
        <v>13</v>
      </c>
      <c r="C451">
        <v>-11.90402436820775</v>
      </c>
      <c r="D451" s="17">
        <v>215.5</v>
      </c>
      <c r="E451">
        <v>8.1069915924629843</v>
      </c>
      <c r="F451">
        <v>14.349992550288121</v>
      </c>
      <c r="G451" s="17">
        <v>-6.81</v>
      </c>
      <c r="H451" s="17">
        <v>0.92</v>
      </c>
      <c r="I451">
        <v>6.724415793714746</v>
      </c>
      <c r="J451" s="17">
        <v>4.1399999999999997</v>
      </c>
      <c r="L451" s="22" t="s">
        <v>47</v>
      </c>
      <c r="M451" s="24" t="s">
        <v>11</v>
      </c>
      <c r="N451" s="22" t="str">
        <f>SUBSTITUTE(C449,",",".")</f>
        <v>-21.5810183081799</v>
      </c>
      <c r="O451" s="22" t="str">
        <f>SUBSTITUTE(D449,",",".")</f>
        <v>148.28</v>
      </c>
      <c r="P451" s="22" t="str">
        <f>SUBSTITUTE(E449,",",".")</f>
        <v>24.4001583580421</v>
      </c>
      <c r="Q451" s="22" t="str">
        <f>SUBSTITUTE(F449,",",".")</f>
        <v>14.093942731703</v>
      </c>
      <c r="R451" s="22" t="str">
        <f>SUBSTITUTE(G449,",",".")</f>
        <v>-15.89</v>
      </c>
      <c r="S451" s="22" t="str">
        <f>SUBSTITUTE(H449,",",".")</f>
        <v>2.05</v>
      </c>
      <c r="T451" s="22" t="str">
        <f>SUBSTITUTE(I449,",",".")</f>
        <v>11.630822170333</v>
      </c>
      <c r="U451" s="22" t="str">
        <f>SUBSTITUTE(J449,",",".")</f>
        <v>2.05</v>
      </c>
    </row>
    <row r="452" spans="1:21" x14ac:dyDescent="0.25">
      <c r="A452" t="s">
        <v>47</v>
      </c>
      <c r="B452" s="1" t="s">
        <v>14</v>
      </c>
      <c r="C452">
        <v>126.68595707274193</v>
      </c>
      <c r="D452" s="17">
        <v>133</v>
      </c>
      <c r="E452">
        <v>19.203838602224437</v>
      </c>
      <c r="F452">
        <v>14.361946732235186</v>
      </c>
      <c r="G452" s="17">
        <v>-8.9499999999999993</v>
      </c>
      <c r="H452" s="17">
        <v>0.37</v>
      </c>
      <c r="I452">
        <v>7.0207045425902166</v>
      </c>
      <c r="J452" s="17">
        <v>4.37</v>
      </c>
      <c r="L452" s="22" t="s">
        <v>47</v>
      </c>
      <c r="M452" s="24" t="s">
        <v>12</v>
      </c>
      <c r="N452" s="22" t="str">
        <f>SUBSTITUTE(C450,",",".")</f>
        <v>8.81932618199055</v>
      </c>
      <c r="O452" s="22" t="str">
        <f>SUBSTITUTE(D450,",",".")</f>
        <v>116.15</v>
      </c>
      <c r="P452" s="22" t="str">
        <f>SUBSTITUTE(E450,",",".")</f>
        <v>17.6610718747294</v>
      </c>
      <c r="Q452" s="22" t="str">
        <f>SUBSTITUTE(F450,",",".")</f>
        <v>14.0083886974472</v>
      </c>
      <c r="R452" s="22" t="str">
        <f>SUBSTITUTE(G450,",",".")</f>
        <v>-8.15</v>
      </c>
      <c r="S452" s="22" t="str">
        <f>SUBSTITUTE(H450,",",".")</f>
        <v>2.04</v>
      </c>
      <c r="T452" s="22" t="str">
        <f>SUBSTITUTE(I450,",",".")</f>
        <v>12.1121479645835</v>
      </c>
      <c r="U452" s="22" t="str">
        <f>SUBSTITUTE(J450,",",".")</f>
        <v>3.79</v>
      </c>
    </row>
    <row r="453" spans="1:21" x14ac:dyDescent="0.25">
      <c r="A453" t="s">
        <v>47</v>
      </c>
      <c r="B453" s="1" t="s">
        <v>15</v>
      </c>
      <c r="C453">
        <v>46.705272920578189</v>
      </c>
      <c r="D453" s="17">
        <v>91.38</v>
      </c>
      <c r="E453">
        <v>20.834791751629567</v>
      </c>
      <c r="F453">
        <v>14.59477717618754</v>
      </c>
      <c r="G453" s="17">
        <v>-11.27</v>
      </c>
      <c r="H453" s="17">
        <v>0</v>
      </c>
      <c r="I453">
        <v>9.0040706818392078</v>
      </c>
      <c r="J453" s="17">
        <v>4.74</v>
      </c>
      <c r="L453" s="22" t="s">
        <v>47</v>
      </c>
      <c r="M453" s="24" t="s">
        <v>13</v>
      </c>
      <c r="N453" s="22" t="str">
        <f>SUBSTITUTE(C451,",",".")</f>
        <v>-11.9040243682078</v>
      </c>
      <c r="O453" s="22" t="str">
        <f>SUBSTITUTE(D451,",",".")</f>
        <v>215.5</v>
      </c>
      <c r="P453" s="22" t="str">
        <f>SUBSTITUTE(E451,",",".")</f>
        <v>8.10699159246298</v>
      </c>
      <c r="Q453" s="22" t="str">
        <f>SUBSTITUTE(F451,",",".")</f>
        <v>14.3499925502881</v>
      </c>
      <c r="R453" s="22" t="str">
        <f>SUBSTITUTE(G451,",",".")</f>
        <v>-6.81</v>
      </c>
      <c r="S453" s="22" t="str">
        <f>SUBSTITUTE(H451,",",".")</f>
        <v>0.92</v>
      </c>
      <c r="T453" s="22" t="str">
        <f>SUBSTITUTE(I451,",",".")</f>
        <v>6.72441579371475</v>
      </c>
      <c r="U453" s="22" t="str">
        <f>SUBSTITUTE(J451,",",".")</f>
        <v>4.14</v>
      </c>
    </row>
    <row r="454" spans="1:21" x14ac:dyDescent="0.25">
      <c r="A454" t="s">
        <v>47</v>
      </c>
      <c r="B454" s="1" t="s">
        <v>16</v>
      </c>
      <c r="C454">
        <v>42.300728229121241</v>
      </c>
      <c r="D454" s="17">
        <v>538.01</v>
      </c>
      <c r="E454">
        <v>79.658319730332252</v>
      </c>
      <c r="F454">
        <v>16.039449659089648</v>
      </c>
      <c r="G454" s="17">
        <v>-3.33</v>
      </c>
      <c r="H454" s="17">
        <v>0</v>
      </c>
      <c r="I454">
        <v>9.7315228462541068</v>
      </c>
      <c r="J454" s="17">
        <v>7.72</v>
      </c>
      <c r="L454" s="22" t="s">
        <v>47</v>
      </c>
      <c r="M454" s="24" t="s">
        <v>14</v>
      </c>
      <c r="N454" s="22" t="str">
        <f>SUBSTITUTE(C452,",",".")</f>
        <v>126.685957072742</v>
      </c>
      <c r="O454" s="22" t="str">
        <f>SUBSTITUTE(D452,",",".")</f>
        <v>133</v>
      </c>
      <c r="P454" s="22" t="str">
        <f>SUBSTITUTE(E452,",",".")</f>
        <v>19.2038386022244</v>
      </c>
      <c r="Q454" s="22" t="str">
        <f>SUBSTITUTE(F452,",",".")</f>
        <v>14.3619467322352</v>
      </c>
      <c r="R454" s="22" t="str">
        <f>SUBSTITUTE(G452,",",".")</f>
        <v>-8.95</v>
      </c>
      <c r="S454" s="22" t="str">
        <f>SUBSTITUTE(H452,",",".")</f>
        <v>0.37</v>
      </c>
      <c r="T454" s="22" t="str">
        <f>SUBSTITUTE(I452,",",".")</f>
        <v>7.02070454259022</v>
      </c>
      <c r="U454" s="22" t="str">
        <f>SUBSTITUTE(J452,",",".")</f>
        <v>4.37</v>
      </c>
    </row>
    <row r="455" spans="1:21" x14ac:dyDescent="0.25">
      <c r="A455" t="s">
        <v>47</v>
      </c>
      <c r="B455" s="1" t="s">
        <v>17</v>
      </c>
      <c r="C455">
        <v>68.039237539743723</v>
      </c>
      <c r="D455" s="17">
        <v>342.8</v>
      </c>
      <c r="E455">
        <v>34.117069740304402</v>
      </c>
      <c r="F455">
        <v>16.127384079634247</v>
      </c>
      <c r="G455" s="17">
        <v>-1.3</v>
      </c>
      <c r="H455" s="17">
        <v>0</v>
      </c>
      <c r="I455">
        <v>5.5455402157602043</v>
      </c>
      <c r="J455" s="17">
        <v>5.04</v>
      </c>
      <c r="L455" s="22" t="s">
        <v>47</v>
      </c>
      <c r="M455" s="24" t="s">
        <v>15</v>
      </c>
      <c r="N455" s="22" t="str">
        <f>SUBSTITUTE(C453,",",".")</f>
        <v>46.7052729205782</v>
      </c>
      <c r="O455" s="22" t="str">
        <f>SUBSTITUTE(D453,",",".")</f>
        <v>91.38</v>
      </c>
      <c r="P455" s="22" t="str">
        <f>SUBSTITUTE(E453,",",".")</f>
        <v>20.8347917516296</v>
      </c>
      <c r="Q455" s="22" t="str">
        <f>SUBSTITUTE(F453,",",".")</f>
        <v>14.5947771761875</v>
      </c>
      <c r="R455" s="22" t="str">
        <f>SUBSTITUTE(G453,",",".")</f>
        <v>-11.27</v>
      </c>
      <c r="S455" s="22" t="str">
        <f>SUBSTITUTE(H453,",",".")</f>
        <v>0</v>
      </c>
      <c r="T455" s="22" t="str">
        <f>SUBSTITUTE(I453,",",".")</f>
        <v>9.00407068183921</v>
      </c>
      <c r="U455" s="22" t="str">
        <f>SUBSTITUTE(J453,",",".")</f>
        <v>4.74</v>
      </c>
    </row>
    <row r="456" spans="1:21" x14ac:dyDescent="0.25">
      <c r="A456" t="s">
        <v>47</v>
      </c>
      <c r="B456" s="1" t="s">
        <v>18</v>
      </c>
      <c r="C456">
        <v>71.673942501407112</v>
      </c>
      <c r="D456" s="17">
        <v>224.24</v>
      </c>
      <c r="E456">
        <v>36.131388822722741</v>
      </c>
      <c r="F456">
        <v>16.21142705609693</v>
      </c>
      <c r="G456" s="17">
        <v>-0.52</v>
      </c>
      <c r="H456" s="17">
        <v>0.59</v>
      </c>
      <c r="I456">
        <v>4.4259326680863058</v>
      </c>
      <c r="J456" s="17">
        <v>6.09</v>
      </c>
      <c r="L456" s="22" t="s">
        <v>47</v>
      </c>
      <c r="M456" s="24" t="s">
        <v>16</v>
      </c>
      <c r="N456" s="22" t="str">
        <f>SUBSTITUTE(C454,",",".")</f>
        <v>42.3007282291212</v>
      </c>
      <c r="O456" s="22" t="str">
        <f>SUBSTITUTE(D454,",",".")</f>
        <v>538.01</v>
      </c>
      <c r="P456" s="22" t="str">
        <f>SUBSTITUTE(E454,",",".")</f>
        <v>79.6583197303323</v>
      </c>
      <c r="Q456" s="22" t="str">
        <f>SUBSTITUTE(F454,",",".")</f>
        <v>16.0394496590896</v>
      </c>
      <c r="R456" s="22" t="str">
        <f>SUBSTITUTE(G454,",",".")</f>
        <v>-3.33</v>
      </c>
      <c r="S456" s="22" t="str">
        <f>SUBSTITUTE(H454,",",".")</f>
        <v>0</v>
      </c>
      <c r="T456" s="22" t="str">
        <f>SUBSTITUTE(I454,",",".")</f>
        <v>9.73152284625411</v>
      </c>
      <c r="U456" s="22" t="str">
        <f>SUBSTITUTE(J454,",",".")</f>
        <v>7.72</v>
      </c>
    </row>
    <row r="457" spans="1:21" x14ac:dyDescent="0.25">
      <c r="A457" t="s">
        <v>47</v>
      </c>
      <c r="B457" s="1" t="s">
        <v>19</v>
      </c>
      <c r="C457">
        <v>-10.896436153644107</v>
      </c>
      <c r="D457" s="17">
        <v>169.92</v>
      </c>
      <c r="E457">
        <v>26.827459292737043</v>
      </c>
      <c r="F457">
        <v>16.326119229417035</v>
      </c>
      <c r="G457" s="17">
        <v>0.1</v>
      </c>
      <c r="H457" s="17">
        <v>0.57999999999999996</v>
      </c>
      <c r="I457">
        <v>3.8291819489982384</v>
      </c>
      <c r="J457" s="17">
        <v>7.42</v>
      </c>
      <c r="L457" s="22" t="s">
        <v>47</v>
      </c>
      <c r="M457" s="24" t="s">
        <v>17</v>
      </c>
      <c r="N457" s="22" t="str">
        <f>SUBSTITUTE(C455,",",".")</f>
        <v>68.0392375397437</v>
      </c>
      <c r="O457" s="22" t="str">
        <f>SUBSTITUTE(D455,",",".")</f>
        <v>342.8</v>
      </c>
      <c r="P457" s="22" t="str">
        <f>SUBSTITUTE(E455,",",".")</f>
        <v>34.1170697403044</v>
      </c>
      <c r="Q457" s="22" t="str">
        <f>SUBSTITUTE(F455,",",".")</f>
        <v>16.1273840796342</v>
      </c>
      <c r="R457" s="22" t="str">
        <f>SUBSTITUTE(G455,",",".")</f>
        <v>-1.3</v>
      </c>
      <c r="S457" s="22" t="str">
        <f>SUBSTITUTE(H455,",",".")</f>
        <v>0</v>
      </c>
      <c r="T457" s="22" t="str">
        <f>SUBSTITUTE(I455,",",".")</f>
        <v>5.5455402157602</v>
      </c>
      <c r="U457" s="22" t="str">
        <f>SUBSTITUTE(J455,",",".")</f>
        <v>5.04</v>
      </c>
    </row>
    <row r="458" spans="1:21" x14ac:dyDescent="0.25">
      <c r="A458" t="s">
        <v>47</v>
      </c>
      <c r="B458" s="1" t="s">
        <v>20</v>
      </c>
      <c r="C458">
        <v>85.017438494041585</v>
      </c>
      <c r="D458" s="17">
        <v>130.6</v>
      </c>
      <c r="E458">
        <v>29.425593595129602</v>
      </c>
      <c r="F458">
        <v>16.366925662296307</v>
      </c>
      <c r="G458" s="17">
        <v>0.77</v>
      </c>
      <c r="H458" s="17">
        <v>1.49</v>
      </c>
      <c r="I458">
        <v>2.8361251541186627</v>
      </c>
      <c r="J458" s="17">
        <v>11.08</v>
      </c>
      <c r="L458" s="22" t="s">
        <v>47</v>
      </c>
      <c r="M458" s="24" t="s">
        <v>18</v>
      </c>
      <c r="N458" s="22" t="str">
        <f>SUBSTITUTE(C456,",",".")</f>
        <v>71.6739425014071</v>
      </c>
      <c r="O458" s="22" t="str">
        <f>SUBSTITUTE(D456,",",".")</f>
        <v>224.24</v>
      </c>
      <c r="P458" s="22" t="str">
        <f>SUBSTITUTE(E456,",",".")</f>
        <v>36.1313888227227</v>
      </c>
      <c r="Q458" s="22" t="str">
        <f>SUBSTITUTE(F456,",",".")</f>
        <v>16.2114270560969</v>
      </c>
      <c r="R458" s="22" t="str">
        <f>SUBSTITUTE(G456,",",".")</f>
        <v>-0.52</v>
      </c>
      <c r="S458" s="22" t="str">
        <f>SUBSTITUTE(H456,",",".")</f>
        <v>0.59</v>
      </c>
      <c r="T458" s="22" t="str">
        <f>SUBSTITUTE(I456,",",".")</f>
        <v>4.42593266808631</v>
      </c>
      <c r="U458" s="22" t="str">
        <f>SUBSTITUTE(J456,",",".")</f>
        <v>6.09</v>
      </c>
    </row>
    <row r="459" spans="1:21" x14ac:dyDescent="0.25">
      <c r="A459" t="s">
        <v>47</v>
      </c>
      <c r="B459" s="1" t="s">
        <v>21</v>
      </c>
      <c r="C459">
        <v>18.103848963059693</v>
      </c>
      <c r="D459" s="17">
        <v>109.8</v>
      </c>
      <c r="E459">
        <v>31.923167233816883</v>
      </c>
      <c r="F459">
        <v>16.497349765986336</v>
      </c>
      <c r="G459" s="17">
        <v>0.56999999999999995</v>
      </c>
      <c r="H459" s="17">
        <v>2.7</v>
      </c>
      <c r="I459">
        <v>2.9321782966801284</v>
      </c>
      <c r="J459" s="17">
        <v>10.83</v>
      </c>
      <c r="L459" s="22" t="s">
        <v>47</v>
      </c>
      <c r="M459" s="24" t="s">
        <v>19</v>
      </c>
      <c r="N459" s="22" t="str">
        <f>SUBSTITUTE(C457,",",".")</f>
        <v>-10.8964361536441</v>
      </c>
      <c r="O459" s="22" t="str">
        <f>SUBSTITUTE(D457,",",".")</f>
        <v>169.92</v>
      </c>
      <c r="P459" s="22" t="str">
        <f>SUBSTITUTE(E457,",",".")</f>
        <v>26.827459292737</v>
      </c>
      <c r="Q459" s="22" t="str">
        <f>SUBSTITUTE(F457,",",".")</f>
        <v>16.326119229417</v>
      </c>
      <c r="R459" s="22" t="str">
        <f>SUBSTITUTE(G457,",",".")</f>
        <v>0.1</v>
      </c>
      <c r="S459" s="22" t="str">
        <f>SUBSTITUTE(H457,",",".")</f>
        <v>0.58</v>
      </c>
      <c r="T459" s="22" t="str">
        <f>SUBSTITUTE(I457,",",".")</f>
        <v>3.82918194899824</v>
      </c>
      <c r="U459" s="22" t="str">
        <f>SUBSTITUTE(J457,",",".")</f>
        <v>7.42</v>
      </c>
    </row>
    <row r="460" spans="1:21" x14ac:dyDescent="0.25">
      <c r="A460" t="s">
        <v>47</v>
      </c>
      <c r="B460" s="1" t="s">
        <v>22</v>
      </c>
      <c r="C460">
        <v>12.388570086817911</v>
      </c>
      <c r="D460" s="17">
        <v>97.5</v>
      </c>
      <c r="E460">
        <v>26.642294710317266</v>
      </c>
      <c r="F460">
        <v>16.576981708390132</v>
      </c>
      <c r="G460" s="17">
        <v>0.5</v>
      </c>
      <c r="H460" s="17">
        <v>2.1</v>
      </c>
      <c r="I460">
        <v>2.6197175845719811</v>
      </c>
      <c r="J460" s="17">
        <v>10.47</v>
      </c>
      <c r="L460" s="22" t="s">
        <v>47</v>
      </c>
      <c r="M460" s="24" t="s">
        <v>20</v>
      </c>
      <c r="N460" s="22" t="str">
        <f>SUBSTITUTE(C458,",",".")</f>
        <v>85.0174384940416</v>
      </c>
      <c r="O460" s="22" t="str">
        <f>SUBSTITUTE(D458,",",".")</f>
        <v>130.6</v>
      </c>
      <c r="P460" s="22" t="str">
        <f>SUBSTITUTE(E458,",",".")</f>
        <v>29.4255935951296</v>
      </c>
      <c r="Q460" s="22" t="str">
        <f>SUBSTITUTE(F458,",",".")</f>
        <v>16.3669256622963</v>
      </c>
      <c r="R460" s="22" t="str">
        <f>SUBSTITUTE(G458,",",".")</f>
        <v>0.77</v>
      </c>
      <c r="S460" s="22" t="str">
        <f>SUBSTITUTE(H458,",",".")</f>
        <v>1.49</v>
      </c>
      <c r="T460" s="22" t="str">
        <f>SUBSTITUTE(I458,",",".")</f>
        <v>2.83612515411866</v>
      </c>
      <c r="U460" s="22" t="str">
        <f>SUBSTITUTE(J458,",",".")</f>
        <v>11.08</v>
      </c>
    </row>
    <row r="461" spans="1:21" x14ac:dyDescent="0.25">
      <c r="A461" t="s">
        <v>47</v>
      </c>
      <c r="B461" s="1" t="s">
        <v>23</v>
      </c>
      <c r="C461">
        <v>15.594728833862387</v>
      </c>
      <c r="D461" s="19">
        <v>82.75</v>
      </c>
      <c r="E461">
        <v>24.403519066423542</v>
      </c>
      <c r="F461">
        <v>16.646680344790813</v>
      </c>
      <c r="G461" s="16">
        <v>0.14000000000000001</v>
      </c>
      <c r="H461" s="19">
        <v>1.82</v>
      </c>
      <c r="I461">
        <v>2.8656170187761183</v>
      </c>
      <c r="J461" s="16">
        <v>10.45</v>
      </c>
      <c r="L461" s="22" t="s">
        <v>47</v>
      </c>
      <c r="M461" s="24" t="s">
        <v>21</v>
      </c>
      <c r="N461" s="22" t="str">
        <f>SUBSTITUTE(C459,",",".")</f>
        <v>18.1038489630597</v>
      </c>
      <c r="O461" s="22" t="str">
        <f>SUBSTITUTE(D459,",",".")</f>
        <v>109.8</v>
      </c>
      <c r="P461" s="22" t="str">
        <f>SUBSTITUTE(E459,",",".")</f>
        <v>31.9231672338169</v>
      </c>
      <c r="Q461" s="22" t="str">
        <f>SUBSTITUTE(F459,",",".")</f>
        <v>16.4973497659863</v>
      </c>
      <c r="R461" s="22" t="str">
        <f>SUBSTITUTE(G459,",",".")</f>
        <v>0.57</v>
      </c>
      <c r="S461" s="22" t="str">
        <f>SUBSTITUTE(H459,",",".")</f>
        <v>2.7</v>
      </c>
      <c r="T461" s="22" t="str">
        <f>SUBSTITUTE(I459,",",".")</f>
        <v>2.93217829668013</v>
      </c>
      <c r="U461" s="22" t="str">
        <f>SUBSTITUTE(J459,",",".")</f>
        <v>10.83</v>
      </c>
    </row>
    <row r="462" spans="1:21" x14ac:dyDescent="0.25">
      <c r="A462" t="s">
        <v>40</v>
      </c>
      <c r="B462" s="1" t="s">
        <v>4</v>
      </c>
      <c r="C462">
        <v>-4.4835911970407629</v>
      </c>
      <c r="D462" s="20">
        <v>20.149999999999999</v>
      </c>
      <c r="E462">
        <v>16.192903254292695</v>
      </c>
      <c r="F462">
        <v>14.691273418726309</v>
      </c>
      <c r="G462">
        <v>0.27</v>
      </c>
      <c r="H462" s="20">
        <v>3.76</v>
      </c>
      <c r="I462">
        <v>1.2940643167303083</v>
      </c>
      <c r="J462">
        <v>5.13</v>
      </c>
      <c r="L462" s="22" t="s">
        <v>47</v>
      </c>
      <c r="M462" s="24" t="s">
        <v>22</v>
      </c>
      <c r="N462" s="22" t="str">
        <f>SUBSTITUTE(C460,",",".")</f>
        <v>12.3885700868179</v>
      </c>
      <c r="O462" s="22" t="str">
        <f>SUBSTITUTE(D460,",",".")</f>
        <v>97.5</v>
      </c>
      <c r="P462" s="22" t="str">
        <f>SUBSTITUTE(E460,",",".")</f>
        <v>26.6422947103173</v>
      </c>
      <c r="Q462" s="22" t="str">
        <f>SUBSTITUTE(F460,",",".")</f>
        <v>16.5769817083901</v>
      </c>
      <c r="R462" s="22" t="str">
        <f>SUBSTITUTE(G460,",",".")</f>
        <v>0.5</v>
      </c>
      <c r="S462" s="22" t="str">
        <f>SUBSTITUTE(H460,",",".")</f>
        <v>2.1</v>
      </c>
      <c r="T462" s="22" t="str">
        <f>SUBSTITUTE(I460,",",".")</f>
        <v>2.61971758457198</v>
      </c>
      <c r="U462" s="22" t="str">
        <f>SUBSTITUTE(J460,",",".")</f>
        <v>10.47</v>
      </c>
    </row>
    <row r="463" spans="1:21" x14ac:dyDescent="0.25">
      <c r="A463" t="s">
        <v>40</v>
      </c>
      <c r="B463" s="1" t="s">
        <v>5</v>
      </c>
      <c r="C463">
        <v>-3.3270263550622077</v>
      </c>
      <c r="D463" s="20">
        <v>19.989999999999998</v>
      </c>
      <c r="E463">
        <v>15.844114318934462</v>
      </c>
      <c r="F463">
        <v>14.694379757188795</v>
      </c>
      <c r="G463">
        <v>-1.64</v>
      </c>
      <c r="H463" s="20">
        <v>6.4</v>
      </c>
      <c r="I463">
        <v>2.7340541530161153</v>
      </c>
      <c r="J463">
        <v>5.28</v>
      </c>
      <c r="L463" s="22" t="s">
        <v>47</v>
      </c>
      <c r="M463" s="24" t="s">
        <v>23</v>
      </c>
      <c r="N463" s="22" t="str">
        <f>SUBSTITUTE(C461,",",".")</f>
        <v>15.5947288338624</v>
      </c>
      <c r="O463" s="22" t="str">
        <f>SUBSTITUTE(D461,",",".")</f>
        <v>82.75</v>
      </c>
      <c r="P463" s="22" t="str">
        <f>SUBSTITUTE(E461,",",".")</f>
        <v>24.4035190664235</v>
      </c>
      <c r="Q463" s="22" t="str">
        <f>SUBSTITUTE(F461,",",".")</f>
        <v>16.6466803447908</v>
      </c>
      <c r="R463" s="22" t="str">
        <f>SUBSTITUTE(G461,",",".")</f>
        <v>0.14</v>
      </c>
      <c r="S463" s="22" t="str">
        <f>SUBSTITUTE(H461,",",".")</f>
        <v>1.82</v>
      </c>
      <c r="T463" s="22" t="str">
        <f>SUBSTITUTE(I461,",",".")</f>
        <v>2.86561701877612</v>
      </c>
      <c r="U463" s="22" t="str">
        <f>SUBSTITUTE(J461,",",".")</f>
        <v>10.45</v>
      </c>
    </row>
    <row r="464" spans="1:21" x14ac:dyDescent="0.25">
      <c r="A464" t="s">
        <v>40</v>
      </c>
      <c r="B464" s="1" t="s">
        <v>6</v>
      </c>
      <c r="C464">
        <v>9.7104536705323081</v>
      </c>
      <c r="D464" s="20">
        <v>20.329999999999998</v>
      </c>
      <c r="E464">
        <v>13.947845321209357</v>
      </c>
      <c r="F464">
        <v>14.710259727470669</v>
      </c>
      <c r="G464">
        <v>-1.1499999999999999</v>
      </c>
      <c r="H464" s="20">
        <v>5.36</v>
      </c>
      <c r="I464">
        <v>2.5606867549138861</v>
      </c>
      <c r="J464">
        <v>5.27</v>
      </c>
      <c r="L464" s="22" t="s">
        <v>40</v>
      </c>
      <c r="M464" s="24" t="s">
        <v>4</v>
      </c>
      <c r="N464" s="22" t="str">
        <f>SUBSTITUTE(C462,",",".")</f>
        <v>-4.48359119704076</v>
      </c>
      <c r="O464" s="22" t="str">
        <f>SUBSTITUTE(D462,",",".")</f>
        <v>20.15</v>
      </c>
      <c r="P464" s="22" t="str">
        <f>SUBSTITUTE(E462,",",".")</f>
        <v>16.1929032542927</v>
      </c>
      <c r="Q464" s="22" t="str">
        <f>SUBSTITUTE(F462,",",".")</f>
        <v>14.6912734187263</v>
      </c>
      <c r="R464" s="22" t="str">
        <f>SUBSTITUTE(G462,",",".")</f>
        <v>0.27</v>
      </c>
      <c r="S464" s="22" t="str">
        <f>SUBSTITUTE(H462,",",".")</f>
        <v>3.76</v>
      </c>
      <c r="T464" s="22" t="str">
        <f>SUBSTITUTE(I462,",",".")</f>
        <v>1.29406431673031</v>
      </c>
      <c r="U464" s="22" t="str">
        <f>SUBSTITUTE(J462,",",".")</f>
        <v>5.13</v>
      </c>
    </row>
    <row r="465" spans="1:21" x14ac:dyDescent="0.25">
      <c r="A465" t="s">
        <v>40</v>
      </c>
      <c r="B465" s="1" t="s">
        <v>7</v>
      </c>
      <c r="C465">
        <v>-11.389987359468451</v>
      </c>
      <c r="D465" s="20">
        <v>16.850000000000001</v>
      </c>
      <c r="E465">
        <v>18.904341673538198</v>
      </c>
      <c r="F465">
        <v>14.632720128813416</v>
      </c>
      <c r="G465">
        <v>-5.0599999999999996</v>
      </c>
      <c r="H465" s="20">
        <v>4.07</v>
      </c>
      <c r="I465">
        <v>1.8482184322203541</v>
      </c>
      <c r="J465">
        <v>5.17</v>
      </c>
      <c r="L465" s="22" t="s">
        <v>40</v>
      </c>
      <c r="M465" s="24" t="s">
        <v>5</v>
      </c>
      <c r="N465" s="22" t="str">
        <f>SUBSTITUTE(C463,",",".")</f>
        <v>-3.32702635506221</v>
      </c>
      <c r="O465" s="22" t="str">
        <f>SUBSTITUTE(D463,",",".")</f>
        <v>19.99</v>
      </c>
      <c r="P465" s="22" t="str">
        <f>SUBSTITUTE(E463,",",".")</f>
        <v>15.8441143189345</v>
      </c>
      <c r="Q465" s="22" t="str">
        <f>SUBSTITUTE(F463,",",".")</f>
        <v>14.6943797571888</v>
      </c>
      <c r="R465" s="22" t="str">
        <f>SUBSTITUTE(G463,",",".")</f>
        <v>-1.64</v>
      </c>
      <c r="S465" s="22" t="str">
        <f>SUBSTITUTE(H463,",",".")</f>
        <v>6.4</v>
      </c>
      <c r="T465" s="22" t="str">
        <f>SUBSTITUTE(I463,",",".")</f>
        <v>2.73405415301612</v>
      </c>
      <c r="U465" s="22" t="str">
        <f>SUBSTITUTE(J463,",",".")</f>
        <v>5.28</v>
      </c>
    </row>
    <row r="466" spans="1:21" x14ac:dyDescent="0.25">
      <c r="A466" t="s">
        <v>40</v>
      </c>
      <c r="B466" s="1" t="s">
        <v>8</v>
      </c>
      <c r="C466">
        <v>-2.9069421090559695</v>
      </c>
      <c r="D466" s="20">
        <v>17.149999999999999</v>
      </c>
      <c r="E466">
        <v>19.673672902512422</v>
      </c>
      <c r="F466">
        <v>14.642818370636046</v>
      </c>
      <c r="G466">
        <v>1.72</v>
      </c>
      <c r="H466" s="20">
        <v>4.08</v>
      </c>
      <c r="I466">
        <v>1.9368046319167351</v>
      </c>
      <c r="J466">
        <v>5.15</v>
      </c>
      <c r="L466" s="22" t="s">
        <v>40</v>
      </c>
      <c r="M466" s="24" t="s">
        <v>6</v>
      </c>
      <c r="N466" s="22" t="str">
        <f>SUBSTITUTE(C464,",",".")</f>
        <v>9.71045367053231</v>
      </c>
      <c r="O466" s="22" t="str">
        <f>SUBSTITUTE(D464,",",".")</f>
        <v>20.33</v>
      </c>
      <c r="P466" s="22" t="str">
        <f>SUBSTITUTE(E464,",",".")</f>
        <v>13.9478453212094</v>
      </c>
      <c r="Q466" s="22" t="str">
        <f>SUBSTITUTE(F464,",",".")</f>
        <v>14.7102597274707</v>
      </c>
      <c r="R466" s="22" t="str">
        <f>SUBSTITUTE(G464,",",".")</f>
        <v>-1.15</v>
      </c>
      <c r="S466" s="22" t="str">
        <f>SUBSTITUTE(H464,",",".")</f>
        <v>5.36</v>
      </c>
      <c r="T466" s="22" t="str">
        <f>SUBSTITUTE(I464,",",".")</f>
        <v>2.56068675491389</v>
      </c>
      <c r="U466" s="22" t="str">
        <f>SUBSTITUTE(J464,",",".")</f>
        <v>5.27</v>
      </c>
    </row>
    <row r="467" spans="1:21" x14ac:dyDescent="0.25">
      <c r="A467" t="s">
        <v>40</v>
      </c>
      <c r="B467" s="1" t="s">
        <v>9</v>
      </c>
      <c r="C467">
        <v>30.628061202947197</v>
      </c>
      <c r="D467" s="20">
        <v>16.73</v>
      </c>
      <c r="E467">
        <v>17.301230650207913</v>
      </c>
      <c r="F467">
        <v>14.833888092741375</v>
      </c>
      <c r="G467" s="20">
        <v>0.8</v>
      </c>
      <c r="H467" s="20">
        <v>3.2</v>
      </c>
      <c r="I467">
        <v>1.5594041779062187</v>
      </c>
      <c r="J467">
        <v>4.91</v>
      </c>
      <c r="L467" s="22" t="s">
        <v>40</v>
      </c>
      <c r="M467" s="24" t="s">
        <v>7</v>
      </c>
      <c r="N467" s="22" t="str">
        <f>SUBSTITUTE(C465,",",".")</f>
        <v>-11.3899873594685</v>
      </c>
      <c r="O467" s="22" t="str">
        <f>SUBSTITUTE(D465,",",".")</f>
        <v>16.85</v>
      </c>
      <c r="P467" s="22" t="str">
        <f>SUBSTITUTE(E465,",",".")</f>
        <v>18.9043416735382</v>
      </c>
      <c r="Q467" s="22" t="str">
        <f>SUBSTITUTE(F465,",",".")</f>
        <v>14.6327201288134</v>
      </c>
      <c r="R467" s="22" t="str">
        <f>SUBSTITUTE(G465,",",".")</f>
        <v>-5.06</v>
      </c>
      <c r="S467" s="22" t="str">
        <f>SUBSTITUTE(H465,",",".")</f>
        <v>4.07</v>
      </c>
      <c r="T467" s="22" t="str">
        <f>SUBSTITUTE(I465,",",".")</f>
        <v>1.84821843222035</v>
      </c>
      <c r="U467" s="22" t="str">
        <f>SUBSTITUTE(J465,",",".")</f>
        <v>5.17</v>
      </c>
    </row>
    <row r="468" spans="1:21" x14ac:dyDescent="0.25">
      <c r="A468" t="s">
        <v>40</v>
      </c>
      <c r="B468" s="1" t="s">
        <v>10</v>
      </c>
      <c r="C468">
        <v>-12.603719115327525</v>
      </c>
      <c r="D468" s="20">
        <v>17.649999999999999</v>
      </c>
      <c r="E468">
        <v>18.442663724977535</v>
      </c>
      <c r="F468">
        <v>14.736924941489049</v>
      </c>
      <c r="G468">
        <v>-0.32</v>
      </c>
      <c r="H468" s="20">
        <v>4.93</v>
      </c>
      <c r="I468">
        <v>1.8245123336039781</v>
      </c>
      <c r="J468">
        <v>4.5599999999999996</v>
      </c>
      <c r="L468" s="22" t="s">
        <v>40</v>
      </c>
      <c r="M468" s="24" t="s">
        <v>8</v>
      </c>
      <c r="N468" s="22" t="str">
        <f>SUBSTITUTE(C466,",",".")</f>
        <v>-2.90694210905597</v>
      </c>
      <c r="O468" s="22" t="str">
        <f>SUBSTITUTE(D466,",",".")</f>
        <v>17.15</v>
      </c>
      <c r="P468" s="22" t="str">
        <f>SUBSTITUTE(E466,",",".")</f>
        <v>19.6736729025124</v>
      </c>
      <c r="Q468" s="22" t="str">
        <f>SUBSTITUTE(F466,",",".")</f>
        <v>14.642818370636</v>
      </c>
      <c r="R468" s="22" t="str">
        <f>SUBSTITUTE(G466,",",".")</f>
        <v>1.72</v>
      </c>
      <c r="S468" s="22" t="str">
        <f>SUBSTITUTE(H466,",",".")</f>
        <v>4.08</v>
      </c>
      <c r="T468" s="22" t="str">
        <f>SUBSTITUTE(I466,",",".")</f>
        <v>1.93680463191674</v>
      </c>
      <c r="U468" s="22" t="str">
        <f>SUBSTITUTE(J466,",",".")</f>
        <v>5.15</v>
      </c>
    </row>
    <row r="469" spans="1:21" x14ac:dyDescent="0.25">
      <c r="A469" t="s">
        <v>40</v>
      </c>
      <c r="B469" s="1" t="s">
        <v>11</v>
      </c>
      <c r="C469">
        <v>-4.0204341682871645</v>
      </c>
      <c r="D469" s="20">
        <v>16.2</v>
      </c>
      <c r="E469">
        <v>23.539227429226255</v>
      </c>
      <c r="F469">
        <v>14.742611844652258</v>
      </c>
      <c r="G469">
        <v>-1.87</v>
      </c>
      <c r="H469" s="20">
        <v>10.16</v>
      </c>
      <c r="I469">
        <v>6.3703590420407687</v>
      </c>
      <c r="J469">
        <v>4.21</v>
      </c>
      <c r="L469" s="22" t="s">
        <v>40</v>
      </c>
      <c r="M469" s="24" t="s">
        <v>9</v>
      </c>
      <c r="N469" s="22" t="str">
        <f>SUBSTITUTE(C467,",",".")</f>
        <v>30.6280612029472</v>
      </c>
      <c r="O469" s="22" t="str">
        <f>SUBSTITUTE(D467,",",".")</f>
        <v>16.73</v>
      </c>
      <c r="P469" s="22" t="str">
        <f>SUBSTITUTE(E467,",",".")</f>
        <v>17.3012306502079</v>
      </c>
      <c r="Q469" s="22" t="str">
        <f>SUBSTITUTE(F467,",",".")</f>
        <v>14.8338880927414</v>
      </c>
      <c r="R469" s="22" t="str">
        <f>SUBSTITUTE(G467,",",".")</f>
        <v>0.8</v>
      </c>
      <c r="S469" s="22" t="str">
        <f>SUBSTITUTE(H467,",",".")</f>
        <v>3.2</v>
      </c>
      <c r="T469" s="22" t="str">
        <f>SUBSTITUTE(I467,",",".")</f>
        <v>1.55940417790622</v>
      </c>
      <c r="U469" s="22" t="str">
        <f>SUBSTITUTE(J467,",",".")</f>
        <v>4.91</v>
      </c>
    </row>
    <row r="470" spans="1:21" x14ac:dyDescent="0.25">
      <c r="A470" t="s">
        <v>40</v>
      </c>
      <c r="B470" s="1" t="s">
        <v>12</v>
      </c>
      <c r="C470">
        <v>-5.5808904281145235</v>
      </c>
      <c r="D470" s="20">
        <v>15.26</v>
      </c>
      <c r="E470">
        <v>20.759626152123353</v>
      </c>
      <c r="F470">
        <v>14.657853304886073</v>
      </c>
      <c r="G470">
        <v>0.14000000000000001</v>
      </c>
      <c r="H470" s="20">
        <v>10.43</v>
      </c>
      <c r="I470">
        <v>7.4875029732051246</v>
      </c>
      <c r="J470">
        <v>3.27</v>
      </c>
      <c r="L470" s="22" t="s">
        <v>40</v>
      </c>
      <c r="M470" s="24" t="s">
        <v>10</v>
      </c>
      <c r="N470" s="22" t="str">
        <f>SUBSTITUTE(C468,",",".")</f>
        <v>-12.6037191153275</v>
      </c>
      <c r="O470" s="22" t="str">
        <f>SUBSTITUTE(D468,",",".")</f>
        <v>17.65</v>
      </c>
      <c r="P470" s="22" t="str">
        <f>SUBSTITUTE(E468,",",".")</f>
        <v>18.4426637249775</v>
      </c>
      <c r="Q470" s="22" t="str">
        <f>SUBSTITUTE(F468,",",".")</f>
        <v>14.736924941489</v>
      </c>
      <c r="R470" s="22" t="str">
        <f>SUBSTITUTE(G468,",",".")</f>
        <v>-0.32</v>
      </c>
      <c r="S470" s="22" t="str">
        <f>SUBSTITUTE(H468,",",".")</f>
        <v>4.93</v>
      </c>
      <c r="T470" s="22" t="str">
        <f>SUBSTITUTE(I468,",",".")</f>
        <v>1.82451233360398</v>
      </c>
      <c r="U470" s="22" t="str">
        <f>SUBSTITUTE(J468,",",".")</f>
        <v>4.56</v>
      </c>
    </row>
    <row r="471" spans="1:21" x14ac:dyDescent="0.25">
      <c r="A471" t="s">
        <v>40</v>
      </c>
      <c r="B471" s="1" t="s">
        <v>13</v>
      </c>
      <c r="C471">
        <v>-5.1524927415533872</v>
      </c>
      <c r="D471" s="20">
        <v>16.399999999999999</v>
      </c>
      <c r="E471">
        <v>18.01686670330513</v>
      </c>
      <c r="F471">
        <v>14.605563462951791</v>
      </c>
      <c r="G471" s="20">
        <v>2.96</v>
      </c>
      <c r="H471" s="20">
        <v>6.9</v>
      </c>
      <c r="I471">
        <v>4.9413966772289131</v>
      </c>
      <c r="J471">
        <v>2.94</v>
      </c>
      <c r="L471" s="22" t="s">
        <v>40</v>
      </c>
      <c r="M471" s="24" t="s">
        <v>11</v>
      </c>
      <c r="N471" s="22" t="str">
        <f>SUBSTITUTE(C469,",",".")</f>
        <v>-4.02043416828716</v>
      </c>
      <c r="O471" s="22" t="str">
        <f>SUBSTITUTE(D469,",",".")</f>
        <v>16.2</v>
      </c>
      <c r="P471" s="22" t="str">
        <f>SUBSTITUTE(E469,",",".")</f>
        <v>23.5392274292263</v>
      </c>
      <c r="Q471" s="22" t="str">
        <f>SUBSTITUTE(F469,",",".")</f>
        <v>14.7426118446523</v>
      </c>
      <c r="R471" s="22" t="str">
        <f>SUBSTITUTE(G469,",",".")</f>
        <v>-1.87</v>
      </c>
      <c r="S471" s="22" t="str">
        <f>SUBSTITUTE(H469,",",".")</f>
        <v>10.16</v>
      </c>
      <c r="T471" s="22" t="str">
        <f>SUBSTITUTE(I469,",",".")</f>
        <v>6.37035904204077</v>
      </c>
      <c r="U471" s="22" t="str">
        <f>SUBSTITUTE(J469,",",".")</f>
        <v>4.21</v>
      </c>
    </row>
    <row r="472" spans="1:21" x14ac:dyDescent="0.25">
      <c r="A472" t="s">
        <v>40</v>
      </c>
      <c r="B472" s="1" t="s">
        <v>14</v>
      </c>
      <c r="C472">
        <v>-7.7828493592394103</v>
      </c>
      <c r="D472" s="20">
        <v>18.89</v>
      </c>
      <c r="E472">
        <v>20.610822555962947</v>
      </c>
      <c r="F472">
        <v>14.571162004467002</v>
      </c>
      <c r="G472" s="20">
        <v>2.97</v>
      </c>
      <c r="H472" s="20">
        <v>3.39</v>
      </c>
      <c r="I472">
        <v>2.0325704116248535</v>
      </c>
      <c r="J472">
        <v>2.5099999999999998</v>
      </c>
      <c r="L472" s="22" t="s">
        <v>40</v>
      </c>
      <c r="M472" s="24" t="s">
        <v>12</v>
      </c>
      <c r="N472" s="22" t="str">
        <f>SUBSTITUTE(C470,",",".")</f>
        <v>-5.58089042811452</v>
      </c>
      <c r="O472" s="22" t="str">
        <f>SUBSTITUTE(D470,",",".")</f>
        <v>15.26</v>
      </c>
      <c r="P472" s="22" t="str">
        <f>SUBSTITUTE(E470,",",".")</f>
        <v>20.7596261521234</v>
      </c>
      <c r="Q472" s="22" t="str">
        <f>SUBSTITUTE(F470,",",".")</f>
        <v>14.6578533048861</v>
      </c>
      <c r="R472" s="22" t="str">
        <f>SUBSTITUTE(G470,",",".")</f>
        <v>0.14</v>
      </c>
      <c r="S472" s="22" t="str">
        <f>SUBSTITUTE(H470,",",".")</f>
        <v>10.43</v>
      </c>
      <c r="T472" s="22" t="str">
        <f>SUBSTITUTE(I470,",",".")</f>
        <v>7.48750297320512</v>
      </c>
      <c r="U472" s="22" t="str">
        <f>SUBSTITUTE(J470,",",".")</f>
        <v>3.27</v>
      </c>
    </row>
    <row r="473" spans="1:21" x14ac:dyDescent="0.25">
      <c r="A473" t="s">
        <v>40</v>
      </c>
      <c r="B473" s="1" t="s">
        <v>15</v>
      </c>
      <c r="C473">
        <v>-6.9834567038953406</v>
      </c>
      <c r="D473" s="20">
        <v>19.61</v>
      </c>
      <c r="E473">
        <v>40.003394334708467</v>
      </c>
      <c r="F473">
        <v>14.765879185964513</v>
      </c>
      <c r="G473">
        <v>2.04</v>
      </c>
      <c r="H473" s="20">
        <v>2.76</v>
      </c>
      <c r="I473">
        <v>2.2415264765520715</v>
      </c>
      <c r="J473">
        <v>2.44</v>
      </c>
      <c r="L473" s="22" t="s">
        <v>40</v>
      </c>
      <c r="M473" s="24" t="s">
        <v>13</v>
      </c>
      <c r="N473" s="22" t="str">
        <f>SUBSTITUTE(C471,",",".")</f>
        <v>-5.15249274155339</v>
      </c>
      <c r="O473" s="22" t="str">
        <f>SUBSTITUTE(D471,",",".")</f>
        <v>16.4</v>
      </c>
      <c r="P473" s="22" t="str">
        <f>SUBSTITUTE(E471,",",".")</f>
        <v>18.0168667033051</v>
      </c>
      <c r="Q473" s="22" t="str">
        <f>SUBSTITUTE(F471,",",".")</f>
        <v>14.6055634629518</v>
      </c>
      <c r="R473" s="22" t="str">
        <f>SUBSTITUTE(G471,",",".")</f>
        <v>2.96</v>
      </c>
      <c r="S473" s="22" t="str">
        <f>SUBSTITUTE(H471,",",".")</f>
        <v>6.9</v>
      </c>
      <c r="T473" s="22" t="str">
        <f>SUBSTITUTE(I471,",",".")</f>
        <v>4.94139667722891</v>
      </c>
      <c r="U473" s="22" t="str">
        <f>SUBSTITUTE(J471,",",".")</f>
        <v>2.94</v>
      </c>
    </row>
    <row r="474" spans="1:21" x14ac:dyDescent="0.25">
      <c r="A474" t="s">
        <v>40</v>
      </c>
      <c r="B474" s="1" t="s">
        <v>16</v>
      </c>
      <c r="C474">
        <v>-20.80336910882118</v>
      </c>
      <c r="D474" s="20">
        <v>18.190000000000001</v>
      </c>
      <c r="E474">
        <v>66.582603685073281</v>
      </c>
      <c r="F474">
        <v>15.197079270776106</v>
      </c>
      <c r="G474">
        <v>1.07</v>
      </c>
      <c r="H474" s="20">
        <v>2.59</v>
      </c>
      <c r="I474">
        <v>2.3842749294347256</v>
      </c>
      <c r="J474">
        <v>2.99</v>
      </c>
      <c r="L474" s="22" t="s">
        <v>40</v>
      </c>
      <c r="M474" s="24" t="s">
        <v>14</v>
      </c>
      <c r="N474" s="22" t="str">
        <f>SUBSTITUTE(C472,",",".")</f>
        <v>-7.78284935923941</v>
      </c>
      <c r="O474" s="22" t="str">
        <f>SUBSTITUTE(D472,",",".")</f>
        <v>18.89</v>
      </c>
      <c r="P474" s="22" t="str">
        <f>SUBSTITUTE(E472,",",".")</f>
        <v>20.6108225559629</v>
      </c>
      <c r="Q474" s="22" t="str">
        <f>SUBSTITUTE(F472,",",".")</f>
        <v>14.571162004467</v>
      </c>
      <c r="R474" s="22" t="str">
        <f>SUBSTITUTE(G472,",",".")</f>
        <v>2.97</v>
      </c>
      <c r="S474" s="22" t="str">
        <f>SUBSTITUTE(H472,",",".")</f>
        <v>3.39</v>
      </c>
      <c r="T474" s="22" t="str">
        <f>SUBSTITUTE(I472,",",".")</f>
        <v>2.03257041162485</v>
      </c>
      <c r="U474" s="22" t="str">
        <f>SUBSTITUTE(J472,",",".")</f>
        <v>2.51</v>
      </c>
    </row>
    <row r="475" spans="1:21" x14ac:dyDescent="0.25">
      <c r="A475" t="s">
        <v>40</v>
      </c>
      <c r="B475" s="1" t="s">
        <v>17</v>
      </c>
      <c r="C475">
        <v>-11.987882170837242</v>
      </c>
      <c r="D475" s="20">
        <v>22.49</v>
      </c>
      <c r="E475">
        <v>71.284205460368341</v>
      </c>
      <c r="F475">
        <v>15.255868298241797</v>
      </c>
      <c r="G475">
        <v>1.25</v>
      </c>
      <c r="H475" s="20">
        <v>1.76</v>
      </c>
      <c r="I475">
        <v>2.5752149198513412</v>
      </c>
      <c r="J475">
        <v>3.15</v>
      </c>
      <c r="L475" s="22" t="s">
        <v>40</v>
      </c>
      <c r="M475" s="24" t="s">
        <v>15</v>
      </c>
      <c r="N475" s="22" t="str">
        <f>SUBSTITUTE(C473,",",".")</f>
        <v>-6.98345670389534</v>
      </c>
      <c r="O475" s="22" t="str">
        <f>SUBSTITUTE(D473,",",".")</f>
        <v>19.61</v>
      </c>
      <c r="P475" s="22" t="str">
        <f>SUBSTITUTE(E473,",",".")</f>
        <v>40.0033943347085</v>
      </c>
      <c r="Q475" s="22" t="str">
        <f>SUBSTITUTE(F473,",",".")</f>
        <v>14.7658791859645</v>
      </c>
      <c r="R475" s="22" t="str">
        <f>SUBSTITUTE(G473,",",".")</f>
        <v>2.04</v>
      </c>
      <c r="S475" s="22" t="str">
        <f>SUBSTITUTE(H473,",",".")</f>
        <v>2.76</v>
      </c>
      <c r="T475" s="22" t="str">
        <f>SUBSTITUTE(I473,",",".")</f>
        <v>2.24152647655207</v>
      </c>
      <c r="U475" s="22" t="str">
        <f>SUBSTITUTE(J473,",",".")</f>
        <v>2.44</v>
      </c>
    </row>
    <row r="476" spans="1:21" x14ac:dyDescent="0.25">
      <c r="A476" t="s">
        <v>40</v>
      </c>
      <c r="B476" s="1" t="s">
        <v>18</v>
      </c>
      <c r="C476">
        <v>132.23904597513734</v>
      </c>
      <c r="D476" s="20">
        <v>41.56</v>
      </c>
      <c r="E476">
        <v>64.455378404972151</v>
      </c>
      <c r="F476">
        <v>15.74682731094518</v>
      </c>
      <c r="G476" s="20">
        <v>2.68</v>
      </c>
      <c r="H476" s="20">
        <v>2.1800000000000002</v>
      </c>
      <c r="I476">
        <v>1.417879625249423</v>
      </c>
      <c r="J476">
        <v>4.41</v>
      </c>
      <c r="L476" s="22" t="s">
        <v>40</v>
      </c>
      <c r="M476" s="24" t="s">
        <v>16</v>
      </c>
      <c r="N476" s="22" t="str">
        <f>SUBSTITUTE(C474,",",".")</f>
        <v>-20.8033691088212</v>
      </c>
      <c r="O476" s="22" t="str">
        <f>SUBSTITUTE(D474,",",".")</f>
        <v>18.19</v>
      </c>
      <c r="P476" s="22" t="str">
        <f>SUBSTITUTE(E474,",",".")</f>
        <v>66.5826036850733</v>
      </c>
      <c r="Q476" s="22" t="str">
        <f>SUBSTITUTE(F474,",",".")</f>
        <v>15.1970792707761</v>
      </c>
      <c r="R476" s="22" t="str">
        <f>SUBSTITUTE(G474,",",".")</f>
        <v>1.07</v>
      </c>
      <c r="S476" s="22" t="str">
        <f>SUBSTITUTE(H474,",",".")</f>
        <v>2.59</v>
      </c>
      <c r="T476" s="22" t="str">
        <f>SUBSTITUTE(I474,",",".")</f>
        <v>2.38427492943473</v>
      </c>
      <c r="U476" s="22" t="str">
        <f>SUBSTITUTE(J474,",",".")</f>
        <v>2.99</v>
      </c>
    </row>
    <row r="477" spans="1:21" x14ac:dyDescent="0.25">
      <c r="A477" t="s">
        <v>40</v>
      </c>
      <c r="B477" s="1" t="s">
        <v>19</v>
      </c>
      <c r="C477">
        <v>6.4386832307880768</v>
      </c>
      <c r="D477" s="20">
        <v>48.82</v>
      </c>
      <c r="E477">
        <v>42.845343990577625</v>
      </c>
      <c r="F477">
        <v>15.352239488432145</v>
      </c>
      <c r="G477" s="20">
        <v>4.74</v>
      </c>
      <c r="H477" s="20">
        <v>0.52</v>
      </c>
      <c r="I477">
        <v>1.2250692939770536</v>
      </c>
      <c r="J477">
        <v>4.63</v>
      </c>
      <c r="L477" s="22" t="s">
        <v>40</v>
      </c>
      <c r="M477" s="24" t="s">
        <v>17</v>
      </c>
      <c r="N477" s="22" t="str">
        <f>SUBSTITUTE(C475,",",".")</f>
        <v>-11.9878821708372</v>
      </c>
      <c r="O477" s="22" t="str">
        <f>SUBSTITUTE(D475,",",".")</f>
        <v>22.49</v>
      </c>
      <c r="P477" s="22" t="str">
        <f>SUBSTITUTE(E475,",",".")</f>
        <v>71.2842054603683</v>
      </c>
      <c r="Q477" s="22" t="str">
        <f>SUBSTITUTE(F475,",",".")</f>
        <v>15.2558682982418</v>
      </c>
      <c r="R477" s="22" t="str">
        <f>SUBSTITUTE(G475,",",".")</f>
        <v>1.25</v>
      </c>
      <c r="S477" s="22" t="str">
        <f>SUBSTITUTE(H475,",",".")</f>
        <v>1.76</v>
      </c>
      <c r="T477" s="22" t="str">
        <f>SUBSTITUTE(I475,",",".")</f>
        <v>2.57521491985134</v>
      </c>
      <c r="U477" s="22" t="str">
        <f>SUBSTITUTE(J475,",",".")</f>
        <v>3.15</v>
      </c>
    </row>
    <row r="478" spans="1:21" x14ac:dyDescent="0.25">
      <c r="A478" t="s">
        <v>40</v>
      </c>
      <c r="B478" s="1" t="s">
        <v>20</v>
      </c>
      <c r="C478">
        <v>119.00463233591555</v>
      </c>
      <c r="D478" s="20">
        <v>110.54</v>
      </c>
      <c r="E478">
        <v>13.318231614253486</v>
      </c>
      <c r="F478">
        <v>16.057983372871419</v>
      </c>
      <c r="G478">
        <v>4.4400000000000004</v>
      </c>
      <c r="H478" s="20">
        <v>0.24</v>
      </c>
      <c r="I478">
        <v>0.8339609833631545</v>
      </c>
      <c r="J478">
        <v>3.95</v>
      </c>
      <c r="L478" s="22" t="s">
        <v>40</v>
      </c>
      <c r="M478" s="24" t="s">
        <v>18</v>
      </c>
      <c r="N478" s="22" t="str">
        <f>SUBSTITUTE(C476,",",".")</f>
        <v>132.239045975137</v>
      </c>
      <c r="O478" s="22" t="str">
        <f>SUBSTITUTE(D476,",",".")</f>
        <v>41.56</v>
      </c>
      <c r="P478" s="22" t="str">
        <f>SUBSTITUTE(E476,",",".")</f>
        <v>64.4553784049722</v>
      </c>
      <c r="Q478" s="22" t="str">
        <f>SUBSTITUTE(F476,",",".")</f>
        <v>15.7468273109452</v>
      </c>
      <c r="R478" s="22" t="str">
        <f>SUBSTITUTE(G476,",",".")</f>
        <v>2.68</v>
      </c>
      <c r="S478" s="22" t="str">
        <f>SUBSTITUTE(H476,",",".")</f>
        <v>2.18</v>
      </c>
      <c r="T478" s="22" t="str">
        <f>SUBSTITUTE(I476,",",".")</f>
        <v>1.41787962524942</v>
      </c>
      <c r="U478" s="22" t="str">
        <f>SUBSTITUTE(J476,",",".")</f>
        <v>4.41</v>
      </c>
    </row>
    <row r="479" spans="1:21" x14ac:dyDescent="0.25">
      <c r="A479" t="s">
        <v>40</v>
      </c>
      <c r="B479" s="1" t="s">
        <v>21</v>
      </c>
      <c r="C479">
        <v>39.455645672205911</v>
      </c>
      <c r="D479" s="20">
        <v>85.19</v>
      </c>
      <c r="E479">
        <v>17.078147886844754</v>
      </c>
      <c r="F479">
        <v>16.095128411555212</v>
      </c>
      <c r="G479">
        <v>4.29</v>
      </c>
      <c r="H479" s="20">
        <v>0</v>
      </c>
      <c r="I479">
        <v>0.67562847523790359</v>
      </c>
      <c r="J479">
        <v>5.0599999999999996</v>
      </c>
      <c r="L479" s="22" t="s">
        <v>40</v>
      </c>
      <c r="M479" s="24" t="s">
        <v>19</v>
      </c>
      <c r="N479" s="22" t="str">
        <f>SUBSTITUTE(C477,",",".")</f>
        <v>6.43868323078808</v>
      </c>
      <c r="O479" s="22" t="str">
        <f>SUBSTITUTE(D477,",",".")</f>
        <v>48.82</v>
      </c>
      <c r="P479" s="22" t="str">
        <f>SUBSTITUTE(E477,",",".")</f>
        <v>42.8453439905776</v>
      </c>
      <c r="Q479" s="22" t="str">
        <f>SUBSTITUTE(F477,",",".")</f>
        <v>15.3522394884321</v>
      </c>
      <c r="R479" s="22" t="str">
        <f>SUBSTITUTE(G477,",",".")</f>
        <v>4.74</v>
      </c>
      <c r="S479" s="22" t="str">
        <f>SUBSTITUTE(H477,",",".")</f>
        <v>0.52</v>
      </c>
      <c r="T479" s="22" t="str">
        <f>SUBSTITUTE(I477,",",".")</f>
        <v>1.22506929397705</v>
      </c>
      <c r="U479" s="22" t="str">
        <f>SUBSTITUTE(J477,",",".")</f>
        <v>4.63</v>
      </c>
    </row>
    <row r="480" spans="1:21" x14ac:dyDescent="0.25">
      <c r="A480" t="s">
        <v>40</v>
      </c>
      <c r="B480" s="1" t="s">
        <v>22</v>
      </c>
      <c r="C480">
        <v>6.6291575690422739</v>
      </c>
      <c r="D480" s="20">
        <v>78.36</v>
      </c>
      <c r="E480">
        <v>22.128751694508434</v>
      </c>
      <c r="F480">
        <v>16.176264931478123</v>
      </c>
      <c r="G480" s="20">
        <v>3.78</v>
      </c>
      <c r="H480" s="20">
        <v>0</v>
      </c>
      <c r="I480">
        <v>0.69989246822169149</v>
      </c>
      <c r="J480">
        <v>6.01</v>
      </c>
      <c r="L480" s="22" t="s">
        <v>40</v>
      </c>
      <c r="M480" s="24" t="s">
        <v>20</v>
      </c>
      <c r="N480" s="22" t="str">
        <f>SUBSTITUTE(C478,",",".")</f>
        <v>119.004632335916</v>
      </c>
      <c r="O480" s="22" t="str">
        <f>SUBSTITUTE(D478,",",".")</f>
        <v>110.54</v>
      </c>
      <c r="P480" s="22" t="str">
        <f>SUBSTITUTE(E478,",",".")</f>
        <v>13.3182316142535</v>
      </c>
      <c r="Q480" s="22" t="str">
        <f>SUBSTITUTE(F478,",",".")</f>
        <v>16.0579833728714</v>
      </c>
      <c r="R480" s="22" t="str">
        <f>SUBSTITUTE(G478,",",".")</f>
        <v>4.44</v>
      </c>
      <c r="S480" s="22" t="str">
        <f>SUBSTITUTE(H478,",",".")</f>
        <v>0.24</v>
      </c>
      <c r="T480" s="22" t="str">
        <f>SUBSTITUTE(I478,",",".")</f>
        <v>0.833960983363154</v>
      </c>
      <c r="U480" s="22" t="str">
        <f>SUBSTITUTE(J478,",",".")</f>
        <v>3.95</v>
      </c>
    </row>
    <row r="481" spans="1:21" x14ac:dyDescent="0.25">
      <c r="A481" t="s">
        <v>40</v>
      </c>
      <c r="B481" s="1" t="s">
        <v>23</v>
      </c>
      <c r="C481">
        <v>0.6529573194666044</v>
      </c>
      <c r="D481" s="19">
        <v>79.53</v>
      </c>
      <c r="E481">
        <v>23.336452373985392</v>
      </c>
      <c r="F481">
        <v>16.218751155389668</v>
      </c>
      <c r="G481" s="20">
        <v>3.55</v>
      </c>
      <c r="H481" s="20">
        <v>0.01</v>
      </c>
      <c r="I481">
        <v>0.72834053934476695</v>
      </c>
      <c r="J481">
        <v>6.7</v>
      </c>
      <c r="L481" s="22" t="s">
        <v>40</v>
      </c>
      <c r="M481" s="24" t="s">
        <v>21</v>
      </c>
      <c r="N481" s="22" t="str">
        <f>SUBSTITUTE(C479,",",".")</f>
        <v>39.4556456722059</v>
      </c>
      <c r="O481" s="22" t="str">
        <f>SUBSTITUTE(D479,",",".")</f>
        <v>85.19</v>
      </c>
      <c r="P481" s="22" t="str">
        <f>SUBSTITUTE(E479,",",".")</f>
        <v>17.0781478868448</v>
      </c>
      <c r="Q481" s="22" t="str">
        <f>SUBSTITUTE(F479,",",".")</f>
        <v>16.0951284115552</v>
      </c>
      <c r="R481" s="22" t="str">
        <f>SUBSTITUTE(G479,",",".")</f>
        <v>4.29</v>
      </c>
      <c r="S481" s="22" t="str">
        <f>SUBSTITUTE(H479,",",".")</f>
        <v>0</v>
      </c>
      <c r="T481" s="22" t="str">
        <f>SUBSTITUTE(I479,",",".")</f>
        <v>0.675628475237904</v>
      </c>
      <c r="U481" s="22" t="str">
        <f>SUBSTITUTE(J479,",",".")</f>
        <v>5.06</v>
      </c>
    </row>
    <row r="482" spans="1:21" x14ac:dyDescent="0.25">
      <c r="L482" s="22" t="s">
        <v>40</v>
      </c>
      <c r="M482" s="24" t="s">
        <v>22</v>
      </c>
      <c r="N482" s="22" t="str">
        <f>SUBSTITUTE(C480,",",".")</f>
        <v>6.62915756904227</v>
      </c>
      <c r="O482" s="22" t="str">
        <f>SUBSTITUTE(D480,",",".")</f>
        <v>78.36</v>
      </c>
      <c r="P482" s="22" t="str">
        <f>SUBSTITUTE(E480,",",".")</f>
        <v>22.1287516945084</v>
      </c>
      <c r="Q482" s="22" t="str">
        <f>SUBSTITUTE(F480,",",".")</f>
        <v>16.1762649314781</v>
      </c>
      <c r="R482" s="22" t="str">
        <f>SUBSTITUTE(G480,",",".")</f>
        <v>3.78</v>
      </c>
      <c r="S482" s="22" t="str">
        <f>SUBSTITUTE(H480,",",".")</f>
        <v>0</v>
      </c>
      <c r="T482" s="22" t="str">
        <f>SUBSTITUTE(I480,",",".")</f>
        <v>0.699892468221691</v>
      </c>
      <c r="U482" s="22" t="str">
        <f>SUBSTITUTE(J480,",",".")</f>
        <v>6.01</v>
      </c>
    </row>
    <row r="483" spans="1:21" x14ac:dyDescent="0.25">
      <c r="L483" s="22" t="s">
        <v>40</v>
      </c>
      <c r="M483" s="24" t="s">
        <v>23</v>
      </c>
      <c r="N483" s="22" t="str">
        <f>SUBSTITUTE(C481,",",".")</f>
        <v>0.652957319466604</v>
      </c>
      <c r="O483" s="22" t="str">
        <f>SUBSTITUTE(D481,",",".")</f>
        <v>79.53</v>
      </c>
      <c r="P483" s="22" t="str">
        <f>SUBSTITUTE(E481,",",".")</f>
        <v>23.3364523739854</v>
      </c>
      <c r="Q483" s="22" t="str">
        <f>SUBSTITUTE(F481,",",".")</f>
        <v>16.2187511553897</v>
      </c>
      <c r="R483" s="22" t="str">
        <f>SUBSTITUTE(G481,",",".")</f>
        <v>3.55</v>
      </c>
      <c r="S483" s="22" t="str">
        <f>SUBSTITUTE(H481,",",".")</f>
        <v>0.01</v>
      </c>
      <c r="T483" s="22" t="str">
        <f>SUBSTITUTE(I481,",",".")</f>
        <v>0.728340539344767</v>
      </c>
      <c r="U483" s="22" t="str">
        <f>SUBSTITUTE(J481,",",".")</f>
        <v>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4403-55C5-4AAC-8BD4-F09BD7CD9416}">
  <dimension ref="A1:J97"/>
  <sheetViews>
    <sheetView topLeftCell="A88" workbookViewId="0">
      <selection activeCell="A98" sqref="A98"/>
    </sheetView>
  </sheetViews>
  <sheetFormatPr defaultRowHeight="15" x14ac:dyDescent="0.25"/>
  <sheetData>
    <row r="1" spans="1:10" x14ac:dyDescent="0.25">
      <c r="A1" s="22" t="s">
        <v>634</v>
      </c>
      <c r="B1" s="22" t="s">
        <v>1</v>
      </c>
      <c r="C1" s="23" t="s">
        <v>49</v>
      </c>
      <c r="D1" s="23" t="s">
        <v>51</v>
      </c>
      <c r="E1" s="22" t="s">
        <v>638</v>
      </c>
      <c r="F1" s="22" t="s">
        <v>53</v>
      </c>
      <c r="G1" s="23" t="s">
        <v>54</v>
      </c>
      <c r="H1" s="23" t="s">
        <v>55</v>
      </c>
      <c r="I1" s="22" t="s">
        <v>56</v>
      </c>
      <c r="J1" s="23" t="s">
        <v>57</v>
      </c>
    </row>
    <row r="2" spans="1:10" x14ac:dyDescent="0.25">
      <c r="A2" s="22" t="s">
        <v>24</v>
      </c>
      <c r="B2" s="24" t="s">
        <v>8</v>
      </c>
      <c r="C2" s="22" t="s">
        <v>671</v>
      </c>
      <c r="D2" s="22" t="s">
        <v>672</v>
      </c>
      <c r="E2" s="22" t="s">
        <v>673</v>
      </c>
      <c r="F2" s="22" t="s">
        <v>674</v>
      </c>
      <c r="G2" s="22" t="s">
        <v>520</v>
      </c>
      <c r="H2" s="22" t="s">
        <v>538</v>
      </c>
      <c r="I2" s="22" t="s">
        <v>675</v>
      </c>
      <c r="J2" s="22" t="s">
        <v>655</v>
      </c>
    </row>
    <row r="3" spans="1:10" x14ac:dyDescent="0.25">
      <c r="A3" s="22" t="s">
        <v>24</v>
      </c>
      <c r="B3" s="24" t="s">
        <v>9</v>
      </c>
      <c r="C3" s="22" t="s">
        <v>676</v>
      </c>
      <c r="D3" s="22" t="s">
        <v>341</v>
      </c>
      <c r="E3" s="22" t="s">
        <v>677</v>
      </c>
      <c r="F3" s="22" t="s">
        <v>678</v>
      </c>
      <c r="G3" s="22" t="s">
        <v>301</v>
      </c>
      <c r="H3" s="22" t="s">
        <v>653</v>
      </c>
      <c r="I3" s="22" t="s">
        <v>679</v>
      </c>
      <c r="J3" s="22" t="s">
        <v>680</v>
      </c>
    </row>
    <row r="4" spans="1:10" x14ac:dyDescent="0.25">
      <c r="A4" s="22" t="s">
        <v>24</v>
      </c>
      <c r="B4" s="24" t="s">
        <v>10</v>
      </c>
      <c r="C4" s="22" t="s">
        <v>681</v>
      </c>
      <c r="D4" s="22" t="s">
        <v>682</v>
      </c>
      <c r="E4" s="22" t="s">
        <v>683</v>
      </c>
      <c r="F4" s="22" t="s">
        <v>684</v>
      </c>
      <c r="G4" s="22" t="s">
        <v>685</v>
      </c>
      <c r="H4" s="22" t="s">
        <v>686</v>
      </c>
      <c r="I4" s="22" t="s">
        <v>687</v>
      </c>
      <c r="J4" s="22" t="s">
        <v>680</v>
      </c>
    </row>
    <row r="5" spans="1:10" x14ac:dyDescent="0.25">
      <c r="A5" s="22" t="s">
        <v>24</v>
      </c>
      <c r="B5" s="24" t="s">
        <v>11</v>
      </c>
      <c r="C5" s="22" t="s">
        <v>688</v>
      </c>
      <c r="D5" s="22" t="s">
        <v>689</v>
      </c>
      <c r="E5" s="22" t="s">
        <v>690</v>
      </c>
      <c r="F5" s="22" t="s">
        <v>691</v>
      </c>
      <c r="G5" s="22" t="s">
        <v>692</v>
      </c>
      <c r="H5" s="22" t="s">
        <v>693</v>
      </c>
      <c r="I5" s="22" t="s">
        <v>694</v>
      </c>
      <c r="J5" s="22" t="s">
        <v>695</v>
      </c>
    </row>
    <row r="6" spans="1:10" x14ac:dyDescent="0.25">
      <c r="A6" s="22" t="s">
        <v>25</v>
      </c>
      <c r="B6" s="24" t="s">
        <v>8</v>
      </c>
      <c r="C6" s="22" t="s">
        <v>809</v>
      </c>
      <c r="D6" s="22" t="s">
        <v>810</v>
      </c>
      <c r="E6" s="22" t="s">
        <v>811</v>
      </c>
      <c r="F6" s="22" t="s">
        <v>812</v>
      </c>
      <c r="G6" s="22" t="s">
        <v>685</v>
      </c>
      <c r="H6" s="22" t="s">
        <v>518</v>
      </c>
      <c r="I6" s="22" t="s">
        <v>813</v>
      </c>
      <c r="J6" s="22" t="s">
        <v>814</v>
      </c>
    </row>
    <row r="7" spans="1:10" x14ac:dyDescent="0.25">
      <c r="A7" s="22" t="s">
        <v>25</v>
      </c>
      <c r="B7" s="24" t="s">
        <v>9</v>
      </c>
      <c r="C7" s="22" t="s">
        <v>815</v>
      </c>
      <c r="D7" s="22" t="s">
        <v>816</v>
      </c>
      <c r="E7" s="22" t="s">
        <v>817</v>
      </c>
      <c r="F7" s="22" t="s">
        <v>818</v>
      </c>
      <c r="G7" s="22" t="s">
        <v>751</v>
      </c>
      <c r="H7" s="22" t="s">
        <v>534</v>
      </c>
      <c r="I7" s="22" t="s">
        <v>819</v>
      </c>
      <c r="J7" s="22" t="s">
        <v>820</v>
      </c>
    </row>
    <row r="8" spans="1:10" x14ac:dyDescent="0.25">
      <c r="A8" s="22" t="s">
        <v>25</v>
      </c>
      <c r="B8" s="24" t="s">
        <v>10</v>
      </c>
      <c r="C8" s="22" t="s">
        <v>821</v>
      </c>
      <c r="D8" s="22" t="s">
        <v>822</v>
      </c>
      <c r="E8" s="22" t="s">
        <v>823</v>
      </c>
      <c r="F8" s="22" t="s">
        <v>824</v>
      </c>
      <c r="G8" s="22" t="s">
        <v>825</v>
      </c>
      <c r="H8" s="22" t="s">
        <v>826</v>
      </c>
      <c r="I8" s="22" t="s">
        <v>827</v>
      </c>
      <c r="J8" s="22" t="s">
        <v>820</v>
      </c>
    </row>
    <row r="9" spans="1:10" x14ac:dyDescent="0.25">
      <c r="A9" s="22" t="s">
        <v>25</v>
      </c>
      <c r="B9" s="24" t="s">
        <v>11</v>
      </c>
      <c r="C9" s="22" t="s">
        <v>828</v>
      </c>
      <c r="D9" s="22" t="s">
        <v>476</v>
      </c>
      <c r="E9" s="22" t="s">
        <v>829</v>
      </c>
      <c r="F9" s="22" t="s">
        <v>830</v>
      </c>
      <c r="G9" s="22" t="s">
        <v>267</v>
      </c>
      <c r="H9" s="22" t="s">
        <v>646</v>
      </c>
      <c r="I9" s="22" t="s">
        <v>831</v>
      </c>
      <c r="J9" s="22" t="s">
        <v>476</v>
      </c>
    </row>
    <row r="10" spans="1:10" x14ac:dyDescent="0.25">
      <c r="A10" s="22" t="s">
        <v>29</v>
      </c>
      <c r="B10" s="24" t="s">
        <v>8</v>
      </c>
      <c r="C10" s="22" t="s">
        <v>940</v>
      </c>
      <c r="D10" s="22" t="s">
        <v>941</v>
      </c>
      <c r="E10" s="22" t="s">
        <v>942</v>
      </c>
      <c r="F10" s="22" t="s">
        <v>943</v>
      </c>
      <c r="G10" s="22" t="s">
        <v>508</v>
      </c>
      <c r="H10" s="22" t="s">
        <v>944</v>
      </c>
      <c r="I10" s="22" t="s">
        <v>945</v>
      </c>
      <c r="J10" s="22" t="s">
        <v>946</v>
      </c>
    </row>
    <row r="11" spans="1:10" x14ac:dyDescent="0.25">
      <c r="A11" s="22" t="s">
        <v>29</v>
      </c>
      <c r="B11" s="24" t="s">
        <v>9</v>
      </c>
      <c r="C11" s="22" t="s">
        <v>947</v>
      </c>
      <c r="D11" s="22" t="s">
        <v>948</v>
      </c>
      <c r="E11" s="22" t="s">
        <v>949</v>
      </c>
      <c r="F11" s="22" t="s">
        <v>950</v>
      </c>
      <c r="G11" s="22" t="s">
        <v>951</v>
      </c>
      <c r="H11" s="22" t="s">
        <v>937</v>
      </c>
      <c r="I11" s="22" t="s">
        <v>952</v>
      </c>
      <c r="J11" s="22" t="s">
        <v>953</v>
      </c>
    </row>
    <row r="12" spans="1:10" x14ac:dyDescent="0.25">
      <c r="A12" s="22" t="s">
        <v>29</v>
      </c>
      <c r="B12" s="24" t="s">
        <v>10</v>
      </c>
      <c r="C12" s="22" t="s">
        <v>954</v>
      </c>
      <c r="D12" s="22" t="s">
        <v>955</v>
      </c>
      <c r="E12" s="22" t="s">
        <v>956</v>
      </c>
      <c r="F12" s="22" t="s">
        <v>957</v>
      </c>
      <c r="G12" s="22" t="s">
        <v>958</v>
      </c>
      <c r="H12" s="22" t="s">
        <v>353</v>
      </c>
      <c r="I12" s="22" t="s">
        <v>959</v>
      </c>
      <c r="J12" s="22" t="s">
        <v>960</v>
      </c>
    </row>
    <row r="13" spans="1:10" x14ac:dyDescent="0.25">
      <c r="A13" s="22" t="s">
        <v>29</v>
      </c>
      <c r="B13" s="24" t="s">
        <v>11</v>
      </c>
      <c r="C13" s="22" t="s">
        <v>961</v>
      </c>
      <c r="D13" s="22" t="s">
        <v>962</v>
      </c>
      <c r="E13" s="22" t="s">
        <v>963</v>
      </c>
      <c r="F13" s="22" t="s">
        <v>964</v>
      </c>
      <c r="G13" s="22" t="s">
        <v>201</v>
      </c>
      <c r="H13" s="22" t="s">
        <v>415</v>
      </c>
      <c r="I13" s="22" t="s">
        <v>965</v>
      </c>
      <c r="J13" s="22" t="s">
        <v>953</v>
      </c>
    </row>
    <row r="14" spans="1:10" x14ac:dyDescent="0.25">
      <c r="A14" s="22" t="s">
        <v>26</v>
      </c>
      <c r="B14" s="24" t="s">
        <v>8</v>
      </c>
      <c r="C14" s="22" t="s">
        <v>1064</v>
      </c>
      <c r="D14" s="22" t="s">
        <v>1065</v>
      </c>
      <c r="E14" s="22" t="s">
        <v>1066</v>
      </c>
      <c r="F14" s="22" t="s">
        <v>1067</v>
      </c>
      <c r="G14" s="22" t="s">
        <v>1068</v>
      </c>
      <c r="H14" s="22" t="s">
        <v>436</v>
      </c>
      <c r="I14" s="22" t="s">
        <v>1069</v>
      </c>
      <c r="J14" s="22" t="s">
        <v>1070</v>
      </c>
    </row>
    <row r="15" spans="1:10" x14ac:dyDescent="0.25">
      <c r="A15" s="22" t="s">
        <v>26</v>
      </c>
      <c r="B15" s="24" t="s">
        <v>9</v>
      </c>
      <c r="C15" s="22" t="s">
        <v>1071</v>
      </c>
      <c r="D15" s="22" t="s">
        <v>1072</v>
      </c>
      <c r="E15" s="22" t="s">
        <v>1073</v>
      </c>
      <c r="F15" s="22" t="s">
        <v>1074</v>
      </c>
      <c r="G15" s="22" t="s">
        <v>1075</v>
      </c>
      <c r="H15" s="22" t="s">
        <v>384</v>
      </c>
      <c r="I15" s="22" t="s">
        <v>1076</v>
      </c>
      <c r="J15" s="22" t="s">
        <v>1077</v>
      </c>
    </row>
    <row r="16" spans="1:10" x14ac:dyDescent="0.25">
      <c r="A16" s="22" t="s">
        <v>26</v>
      </c>
      <c r="B16" s="24" t="s">
        <v>10</v>
      </c>
      <c r="C16" s="22" t="s">
        <v>1078</v>
      </c>
      <c r="D16" s="22" t="s">
        <v>1079</v>
      </c>
      <c r="E16" s="22" t="s">
        <v>1080</v>
      </c>
      <c r="F16" s="22" t="s">
        <v>1081</v>
      </c>
      <c r="G16" s="22" t="s">
        <v>1082</v>
      </c>
      <c r="H16" s="22" t="s">
        <v>1083</v>
      </c>
      <c r="I16" s="22" t="s">
        <v>1084</v>
      </c>
      <c r="J16" s="22" t="s">
        <v>482</v>
      </c>
    </row>
    <row r="17" spans="1:10" x14ac:dyDescent="0.25">
      <c r="A17" s="22" t="s">
        <v>26</v>
      </c>
      <c r="B17" s="24" t="s">
        <v>11</v>
      </c>
      <c r="C17" s="22" t="s">
        <v>1085</v>
      </c>
      <c r="D17" s="22" t="s">
        <v>1086</v>
      </c>
      <c r="E17" s="22" t="s">
        <v>1087</v>
      </c>
      <c r="F17" s="22" t="s">
        <v>1088</v>
      </c>
      <c r="G17" s="22" t="s">
        <v>468</v>
      </c>
      <c r="H17" s="22" t="s">
        <v>1089</v>
      </c>
      <c r="I17" s="22" t="s">
        <v>1090</v>
      </c>
      <c r="J17" s="22" t="s">
        <v>230</v>
      </c>
    </row>
    <row r="18" spans="1:10" x14ac:dyDescent="0.25">
      <c r="A18" s="22" t="s">
        <v>27</v>
      </c>
      <c r="B18" s="24" t="s">
        <v>8</v>
      </c>
      <c r="C18" s="22" t="s">
        <v>1193</v>
      </c>
      <c r="D18" s="22" t="s">
        <v>1194</v>
      </c>
      <c r="E18" s="22" t="s">
        <v>1195</v>
      </c>
      <c r="F18" s="22" t="s">
        <v>1196</v>
      </c>
      <c r="G18" s="22" t="s">
        <v>424</v>
      </c>
      <c r="H18" s="22" t="s">
        <v>1197</v>
      </c>
      <c r="I18" s="22" t="s">
        <v>1198</v>
      </c>
      <c r="J18" s="22" t="s">
        <v>509</v>
      </c>
    </row>
    <row r="19" spans="1:10" x14ac:dyDescent="0.25">
      <c r="A19" s="22" t="s">
        <v>27</v>
      </c>
      <c r="B19" s="24" t="s">
        <v>9</v>
      </c>
      <c r="C19" s="22" t="s">
        <v>1199</v>
      </c>
      <c r="D19" s="22" t="s">
        <v>1200</v>
      </c>
      <c r="E19" s="22" t="s">
        <v>1201</v>
      </c>
      <c r="F19" s="22" t="s">
        <v>1202</v>
      </c>
      <c r="G19" s="22" t="s">
        <v>1203</v>
      </c>
      <c r="H19" s="22" t="s">
        <v>765</v>
      </c>
      <c r="I19" s="22" t="s">
        <v>1204</v>
      </c>
      <c r="J19" s="22" t="s">
        <v>1205</v>
      </c>
    </row>
    <row r="20" spans="1:10" x14ac:dyDescent="0.25">
      <c r="A20" s="22" t="s">
        <v>27</v>
      </c>
      <c r="B20" s="24" t="s">
        <v>10</v>
      </c>
      <c r="C20" s="22" t="s">
        <v>1206</v>
      </c>
      <c r="D20" s="22" t="s">
        <v>1207</v>
      </c>
      <c r="E20" s="22" t="s">
        <v>1208</v>
      </c>
      <c r="F20" s="22" t="s">
        <v>1209</v>
      </c>
      <c r="G20" s="22" t="s">
        <v>1210</v>
      </c>
      <c r="H20" s="22" t="s">
        <v>1211</v>
      </c>
      <c r="I20" s="22" t="s">
        <v>1212</v>
      </c>
      <c r="J20" s="22" t="s">
        <v>1014</v>
      </c>
    </row>
    <row r="21" spans="1:10" x14ac:dyDescent="0.25">
      <c r="A21" s="22" t="s">
        <v>27</v>
      </c>
      <c r="B21" s="24" t="s">
        <v>11</v>
      </c>
      <c r="C21" s="22" t="s">
        <v>1213</v>
      </c>
      <c r="D21" s="22" t="s">
        <v>1214</v>
      </c>
      <c r="E21" s="22" t="s">
        <v>1215</v>
      </c>
      <c r="F21" s="22" t="s">
        <v>1216</v>
      </c>
      <c r="G21" s="22" t="s">
        <v>1217</v>
      </c>
      <c r="H21" s="22" t="s">
        <v>1218</v>
      </c>
      <c r="I21" s="22" t="s">
        <v>1219</v>
      </c>
      <c r="J21" s="22" t="s">
        <v>765</v>
      </c>
    </row>
    <row r="22" spans="1:10" x14ac:dyDescent="0.25">
      <c r="A22" s="22" t="s">
        <v>32</v>
      </c>
      <c r="B22" s="24" t="s">
        <v>8</v>
      </c>
      <c r="C22" s="22" t="s">
        <v>1317</v>
      </c>
      <c r="D22" s="22" t="s">
        <v>851</v>
      </c>
      <c r="E22" s="22" t="s">
        <v>1318</v>
      </c>
      <c r="F22" s="22" t="s">
        <v>1319</v>
      </c>
      <c r="G22" s="22" t="s">
        <v>374</v>
      </c>
      <c r="H22" s="22" t="s">
        <v>993</v>
      </c>
      <c r="I22" s="22" t="s">
        <v>1320</v>
      </c>
      <c r="J22" s="22" t="s">
        <v>903</v>
      </c>
    </row>
    <row r="23" spans="1:10" x14ac:dyDescent="0.25">
      <c r="A23" s="22" t="s">
        <v>32</v>
      </c>
      <c r="B23" s="24" t="s">
        <v>9</v>
      </c>
      <c r="C23" s="22" t="s">
        <v>1321</v>
      </c>
      <c r="D23" s="22" t="s">
        <v>650</v>
      </c>
      <c r="E23" s="22" t="s">
        <v>1322</v>
      </c>
      <c r="F23" s="22" t="s">
        <v>1323</v>
      </c>
      <c r="G23" s="22" t="s">
        <v>1324</v>
      </c>
      <c r="H23" s="22" t="s">
        <v>1325</v>
      </c>
      <c r="I23" s="22" t="s">
        <v>1326</v>
      </c>
      <c r="J23" s="22" t="s">
        <v>1040</v>
      </c>
    </row>
    <row r="24" spans="1:10" x14ac:dyDescent="0.25">
      <c r="A24" s="22" t="s">
        <v>32</v>
      </c>
      <c r="B24" s="24" t="s">
        <v>10</v>
      </c>
      <c r="C24" s="22" t="s">
        <v>1327</v>
      </c>
      <c r="D24" s="22" t="s">
        <v>791</v>
      </c>
      <c r="E24" s="22" t="s">
        <v>1328</v>
      </c>
      <c r="F24" s="22" t="s">
        <v>1329</v>
      </c>
      <c r="G24" s="22" t="s">
        <v>1330</v>
      </c>
      <c r="H24" s="22" t="s">
        <v>693</v>
      </c>
      <c r="I24" s="22" t="s">
        <v>1331</v>
      </c>
      <c r="J24" s="22" t="s">
        <v>1332</v>
      </c>
    </row>
    <row r="25" spans="1:10" x14ac:dyDescent="0.25">
      <c r="A25" s="22" t="s">
        <v>32</v>
      </c>
      <c r="B25" s="24" t="s">
        <v>11</v>
      </c>
      <c r="C25" s="22" t="s">
        <v>1333</v>
      </c>
      <c r="D25" s="22" t="s">
        <v>1334</v>
      </c>
      <c r="E25" s="22" t="s">
        <v>1335</v>
      </c>
      <c r="F25" s="22" t="s">
        <v>1336</v>
      </c>
      <c r="G25" s="22" t="s">
        <v>469</v>
      </c>
      <c r="H25" s="22" t="s">
        <v>807</v>
      </c>
      <c r="I25" s="22" t="s">
        <v>1337</v>
      </c>
      <c r="J25" s="22" t="s">
        <v>1055</v>
      </c>
    </row>
    <row r="26" spans="1:10" x14ac:dyDescent="0.25">
      <c r="A26" s="22" t="s">
        <v>31</v>
      </c>
      <c r="B26" s="24" t="s">
        <v>8</v>
      </c>
      <c r="C26" s="22" t="s">
        <v>1428</v>
      </c>
      <c r="D26" s="22" t="s">
        <v>1429</v>
      </c>
      <c r="E26" s="22" t="s">
        <v>1430</v>
      </c>
      <c r="F26" s="22" t="s">
        <v>1431</v>
      </c>
      <c r="G26" s="22" t="s">
        <v>1432</v>
      </c>
      <c r="H26" s="22" t="s">
        <v>267</v>
      </c>
      <c r="I26" s="22" t="s">
        <v>1433</v>
      </c>
      <c r="J26" s="22" t="s">
        <v>1434</v>
      </c>
    </row>
    <row r="27" spans="1:10" x14ac:dyDescent="0.25">
      <c r="A27" s="22" t="s">
        <v>31</v>
      </c>
      <c r="B27" s="24" t="s">
        <v>9</v>
      </c>
      <c r="C27" s="22" t="s">
        <v>1435</v>
      </c>
      <c r="D27" s="22" t="s">
        <v>1436</v>
      </c>
      <c r="E27" s="22" t="s">
        <v>1437</v>
      </c>
      <c r="F27" s="22" t="s">
        <v>1438</v>
      </c>
      <c r="G27" s="22" t="s">
        <v>1053</v>
      </c>
      <c r="H27" s="22" t="s">
        <v>686</v>
      </c>
      <c r="I27" s="22" t="s">
        <v>1439</v>
      </c>
      <c r="J27" s="22" t="s">
        <v>348</v>
      </c>
    </row>
    <row r="28" spans="1:10" x14ac:dyDescent="0.25">
      <c r="A28" s="22" t="s">
        <v>31</v>
      </c>
      <c r="B28" s="24" t="s">
        <v>10</v>
      </c>
      <c r="C28" s="22" t="s">
        <v>1440</v>
      </c>
      <c r="D28" s="22" t="s">
        <v>962</v>
      </c>
      <c r="E28" s="22" t="s">
        <v>1441</v>
      </c>
      <c r="F28" s="22" t="s">
        <v>1442</v>
      </c>
      <c r="G28" s="22" t="s">
        <v>559</v>
      </c>
      <c r="H28" s="22" t="s">
        <v>1443</v>
      </c>
      <c r="I28" s="22" t="s">
        <v>1444</v>
      </c>
      <c r="J28" s="22" t="s">
        <v>1445</v>
      </c>
    </row>
    <row r="29" spans="1:10" x14ac:dyDescent="0.25">
      <c r="A29" s="22" t="s">
        <v>31</v>
      </c>
      <c r="B29" s="24" t="s">
        <v>11</v>
      </c>
      <c r="C29" s="22" t="s">
        <v>1446</v>
      </c>
      <c r="D29" s="22" t="s">
        <v>1447</v>
      </c>
      <c r="E29" s="22" t="s">
        <v>1448</v>
      </c>
      <c r="F29" s="22" t="s">
        <v>1449</v>
      </c>
      <c r="G29" s="22" t="s">
        <v>1450</v>
      </c>
      <c r="H29" s="22" t="s">
        <v>715</v>
      </c>
      <c r="I29" s="22" t="s">
        <v>1451</v>
      </c>
      <c r="J29" s="22" t="s">
        <v>868</v>
      </c>
    </row>
    <row r="30" spans="1:10" x14ac:dyDescent="0.25">
      <c r="A30" s="22" t="s">
        <v>34</v>
      </c>
      <c r="B30" s="24" t="s">
        <v>8</v>
      </c>
      <c r="C30" s="22" t="s">
        <v>1544</v>
      </c>
      <c r="D30" s="22" t="s">
        <v>439</v>
      </c>
      <c r="E30" s="22" t="s">
        <v>1545</v>
      </c>
      <c r="F30" s="22" t="s">
        <v>1546</v>
      </c>
      <c r="G30" s="22" t="s">
        <v>1146</v>
      </c>
      <c r="H30" s="22" t="s">
        <v>430</v>
      </c>
      <c r="I30" s="22" t="s">
        <v>1547</v>
      </c>
      <c r="J30" s="22" t="s">
        <v>1347</v>
      </c>
    </row>
    <row r="31" spans="1:10" x14ac:dyDescent="0.25">
      <c r="A31" s="22" t="s">
        <v>34</v>
      </c>
      <c r="B31" s="24" t="s">
        <v>9</v>
      </c>
      <c r="C31" s="22" t="s">
        <v>1548</v>
      </c>
      <c r="D31" s="22" t="s">
        <v>1549</v>
      </c>
      <c r="E31" s="22" t="s">
        <v>1550</v>
      </c>
      <c r="F31" s="22" t="s">
        <v>1551</v>
      </c>
      <c r="G31" s="22" t="s">
        <v>653</v>
      </c>
      <c r="H31" s="22" t="s">
        <v>1552</v>
      </c>
      <c r="I31" s="22" t="s">
        <v>1553</v>
      </c>
      <c r="J31" s="22" t="s">
        <v>1554</v>
      </c>
    </row>
    <row r="32" spans="1:10" x14ac:dyDescent="0.25">
      <c r="A32" s="22" t="s">
        <v>34</v>
      </c>
      <c r="B32" s="24" t="s">
        <v>10</v>
      </c>
      <c r="C32" s="22" t="s">
        <v>1555</v>
      </c>
      <c r="D32" s="22" t="s">
        <v>1556</v>
      </c>
      <c r="E32" s="22" t="s">
        <v>1557</v>
      </c>
      <c r="F32" s="22" t="s">
        <v>1558</v>
      </c>
      <c r="G32" s="22" t="s">
        <v>1559</v>
      </c>
      <c r="H32" s="22" t="s">
        <v>1330</v>
      </c>
      <c r="I32" s="22" t="s">
        <v>1560</v>
      </c>
      <c r="J32" s="22" t="s">
        <v>1561</v>
      </c>
    </row>
    <row r="33" spans="1:10" x14ac:dyDescent="0.25">
      <c r="A33" s="22" t="s">
        <v>34</v>
      </c>
      <c r="B33" s="24" t="s">
        <v>11</v>
      </c>
      <c r="C33" s="22" t="s">
        <v>1562</v>
      </c>
      <c r="D33" s="22" t="s">
        <v>1228</v>
      </c>
      <c r="E33" s="22" t="s">
        <v>1563</v>
      </c>
      <c r="F33" s="22" t="s">
        <v>1564</v>
      </c>
      <c r="G33" s="22" t="s">
        <v>542</v>
      </c>
      <c r="H33" s="22" t="s">
        <v>1524</v>
      </c>
      <c r="I33" s="22" t="s">
        <v>1565</v>
      </c>
      <c r="J33" s="22" t="s">
        <v>1566</v>
      </c>
    </row>
    <row r="34" spans="1:10" x14ac:dyDescent="0.25">
      <c r="A34" s="22" t="s">
        <v>28</v>
      </c>
      <c r="B34" s="24" t="s">
        <v>8</v>
      </c>
      <c r="C34" s="22" t="s">
        <v>1652</v>
      </c>
      <c r="D34" s="22" t="s">
        <v>851</v>
      </c>
      <c r="E34" s="22" t="s">
        <v>1653</v>
      </c>
      <c r="F34" s="22" t="s">
        <v>1654</v>
      </c>
      <c r="G34" s="22" t="s">
        <v>1655</v>
      </c>
      <c r="H34" s="22" t="s">
        <v>1656</v>
      </c>
      <c r="I34" s="22" t="s">
        <v>1657</v>
      </c>
      <c r="J34" s="22" t="s">
        <v>201</v>
      </c>
    </row>
    <row r="35" spans="1:10" x14ac:dyDescent="0.25">
      <c r="A35" s="22" t="s">
        <v>28</v>
      </c>
      <c r="B35" s="24" t="s">
        <v>9</v>
      </c>
      <c r="C35" s="22" t="s">
        <v>1658</v>
      </c>
      <c r="D35" s="22" t="s">
        <v>1659</v>
      </c>
      <c r="E35" s="22" t="s">
        <v>1660</v>
      </c>
      <c r="F35" s="22" t="s">
        <v>1661</v>
      </c>
      <c r="G35" s="22" t="s">
        <v>424</v>
      </c>
      <c r="H35" s="22" t="s">
        <v>1516</v>
      </c>
      <c r="I35" s="22" t="s">
        <v>1662</v>
      </c>
      <c r="J35" s="22" t="s">
        <v>1532</v>
      </c>
    </row>
    <row r="36" spans="1:10" x14ac:dyDescent="0.25">
      <c r="A36" s="22" t="s">
        <v>28</v>
      </c>
      <c r="B36" s="24" t="s">
        <v>10</v>
      </c>
      <c r="C36" s="22" t="s">
        <v>1663</v>
      </c>
      <c r="D36" s="22" t="s">
        <v>1664</v>
      </c>
      <c r="E36" s="22" t="s">
        <v>1665</v>
      </c>
      <c r="F36" s="22" t="s">
        <v>1666</v>
      </c>
      <c r="G36" s="22" t="s">
        <v>1354</v>
      </c>
      <c r="H36" s="22" t="s">
        <v>1667</v>
      </c>
      <c r="I36" s="22" t="s">
        <v>1668</v>
      </c>
      <c r="J36" s="22" t="s">
        <v>1669</v>
      </c>
    </row>
    <row r="37" spans="1:10" x14ac:dyDescent="0.25">
      <c r="A37" s="22" t="s">
        <v>28</v>
      </c>
      <c r="B37" s="24" t="s">
        <v>11</v>
      </c>
      <c r="C37" s="22" t="s">
        <v>1670</v>
      </c>
      <c r="D37" s="22" t="s">
        <v>1671</v>
      </c>
      <c r="E37" s="22" t="s">
        <v>1672</v>
      </c>
      <c r="F37" s="22" t="s">
        <v>1673</v>
      </c>
      <c r="G37" s="22" t="s">
        <v>1655</v>
      </c>
      <c r="H37" s="22" t="s">
        <v>517</v>
      </c>
      <c r="I37" s="22" t="s">
        <v>1674</v>
      </c>
      <c r="J37" s="22" t="s">
        <v>1675</v>
      </c>
    </row>
    <row r="38" spans="1:10" x14ac:dyDescent="0.25">
      <c r="A38" s="22" t="s">
        <v>30</v>
      </c>
      <c r="B38" s="24" t="s">
        <v>8</v>
      </c>
      <c r="C38" s="22" t="s">
        <v>1768</v>
      </c>
      <c r="D38" s="22" t="s">
        <v>1769</v>
      </c>
      <c r="E38" s="22" t="s">
        <v>1770</v>
      </c>
      <c r="F38" s="22" t="s">
        <v>1771</v>
      </c>
      <c r="G38" s="22" t="s">
        <v>1772</v>
      </c>
      <c r="H38" s="22" t="s">
        <v>825</v>
      </c>
      <c r="I38" s="22" t="s">
        <v>1773</v>
      </c>
      <c r="J38" s="22" t="s">
        <v>553</v>
      </c>
    </row>
    <row r="39" spans="1:10" x14ac:dyDescent="0.25">
      <c r="A39" s="22" t="s">
        <v>30</v>
      </c>
      <c r="B39" s="24" t="s">
        <v>9</v>
      </c>
      <c r="C39" s="22" t="s">
        <v>1774</v>
      </c>
      <c r="D39" s="22" t="s">
        <v>1775</v>
      </c>
      <c r="E39" s="22" t="s">
        <v>1776</v>
      </c>
      <c r="F39" s="22" t="s">
        <v>1777</v>
      </c>
      <c r="G39" s="22" t="s">
        <v>1778</v>
      </c>
      <c r="H39" s="22" t="s">
        <v>1779</v>
      </c>
      <c r="I39" s="22" t="s">
        <v>1780</v>
      </c>
      <c r="J39" s="22" t="s">
        <v>201</v>
      </c>
    </row>
    <row r="40" spans="1:10" x14ac:dyDescent="0.25">
      <c r="A40" s="22" t="s">
        <v>30</v>
      </c>
      <c r="B40" s="24" t="s">
        <v>10</v>
      </c>
      <c r="C40" s="22" t="s">
        <v>1781</v>
      </c>
      <c r="D40" s="22" t="s">
        <v>1782</v>
      </c>
      <c r="E40" s="22" t="s">
        <v>1783</v>
      </c>
      <c r="F40" s="22" t="s">
        <v>1784</v>
      </c>
      <c r="G40" s="22" t="s">
        <v>1715</v>
      </c>
      <c r="H40" s="22" t="s">
        <v>1060</v>
      </c>
      <c r="I40" s="22" t="s">
        <v>1785</v>
      </c>
      <c r="J40" s="22" t="s">
        <v>1786</v>
      </c>
    </row>
    <row r="41" spans="1:10" x14ac:dyDescent="0.25">
      <c r="A41" s="22" t="s">
        <v>30</v>
      </c>
      <c r="B41" s="24" t="s">
        <v>11</v>
      </c>
      <c r="C41" s="22" t="s">
        <v>1787</v>
      </c>
      <c r="D41" s="22" t="s">
        <v>1788</v>
      </c>
      <c r="E41" s="22" t="s">
        <v>1789</v>
      </c>
      <c r="F41" s="22" t="s">
        <v>1790</v>
      </c>
      <c r="G41" s="22" t="s">
        <v>1791</v>
      </c>
      <c r="H41" s="22" t="s">
        <v>461</v>
      </c>
      <c r="I41" s="22" t="s">
        <v>1792</v>
      </c>
      <c r="J41" s="22" t="s">
        <v>1793</v>
      </c>
    </row>
    <row r="42" spans="1:10" x14ac:dyDescent="0.25">
      <c r="A42" s="22" t="s">
        <v>44</v>
      </c>
      <c r="B42" s="24" t="s">
        <v>8</v>
      </c>
      <c r="C42" s="22" t="s">
        <v>1883</v>
      </c>
      <c r="D42" s="22" t="s">
        <v>1884</v>
      </c>
      <c r="E42" s="22" t="s">
        <v>1195</v>
      </c>
      <c r="F42" s="22" t="s">
        <v>1885</v>
      </c>
      <c r="G42" s="22" t="s">
        <v>1791</v>
      </c>
      <c r="H42" s="22" t="s">
        <v>1721</v>
      </c>
      <c r="I42" s="22" t="s">
        <v>1886</v>
      </c>
      <c r="J42" s="22" t="s">
        <v>1887</v>
      </c>
    </row>
    <row r="43" spans="1:10" x14ac:dyDescent="0.25">
      <c r="A43" s="22" t="s">
        <v>44</v>
      </c>
      <c r="B43" s="24" t="s">
        <v>9</v>
      </c>
      <c r="C43" s="22" t="s">
        <v>1888</v>
      </c>
      <c r="D43" s="22" t="s">
        <v>1889</v>
      </c>
      <c r="E43" s="22" t="s">
        <v>1201</v>
      </c>
      <c r="F43" s="22" t="s">
        <v>1890</v>
      </c>
      <c r="G43" s="22" t="s">
        <v>1523</v>
      </c>
      <c r="H43" s="22" t="s">
        <v>1268</v>
      </c>
      <c r="I43" s="22" t="s">
        <v>1891</v>
      </c>
      <c r="J43" s="22" t="s">
        <v>1892</v>
      </c>
    </row>
    <row r="44" spans="1:10" x14ac:dyDescent="0.25">
      <c r="A44" s="22" t="s">
        <v>44</v>
      </c>
      <c r="B44" s="24" t="s">
        <v>10</v>
      </c>
      <c r="C44" s="22" t="s">
        <v>1893</v>
      </c>
      <c r="D44" s="22" t="s">
        <v>1894</v>
      </c>
      <c r="E44" s="22" t="s">
        <v>1208</v>
      </c>
      <c r="F44" s="22" t="s">
        <v>1895</v>
      </c>
      <c r="G44" s="22" t="s">
        <v>1171</v>
      </c>
      <c r="H44" s="22" t="s">
        <v>1268</v>
      </c>
      <c r="I44" s="22" t="s">
        <v>1896</v>
      </c>
      <c r="J44" s="22" t="s">
        <v>1218</v>
      </c>
    </row>
    <row r="45" spans="1:10" x14ac:dyDescent="0.25">
      <c r="A45" s="22" t="s">
        <v>44</v>
      </c>
      <c r="B45" s="24" t="s">
        <v>11</v>
      </c>
      <c r="C45" s="22" t="s">
        <v>1897</v>
      </c>
      <c r="D45" s="22" t="s">
        <v>1898</v>
      </c>
      <c r="E45" s="22" t="s">
        <v>1215</v>
      </c>
      <c r="F45" s="22" t="s">
        <v>1899</v>
      </c>
      <c r="G45" s="22" t="s">
        <v>1900</v>
      </c>
      <c r="H45" s="22" t="s">
        <v>1649</v>
      </c>
      <c r="I45" s="22" t="s">
        <v>1901</v>
      </c>
      <c r="J45" s="22" t="s">
        <v>1902</v>
      </c>
    </row>
    <row r="46" spans="1:10" x14ac:dyDescent="0.25">
      <c r="A46" s="22" t="s">
        <v>33</v>
      </c>
      <c r="B46" s="24" t="s">
        <v>8</v>
      </c>
      <c r="C46" s="22" t="s">
        <v>1976</v>
      </c>
      <c r="D46" s="22" t="s">
        <v>372</v>
      </c>
      <c r="E46" s="22" t="s">
        <v>1977</v>
      </c>
      <c r="F46" s="22" t="s">
        <v>1978</v>
      </c>
      <c r="G46" s="22" t="s">
        <v>374</v>
      </c>
      <c r="H46" s="22" t="s">
        <v>302</v>
      </c>
      <c r="I46" s="22" t="s">
        <v>1979</v>
      </c>
      <c r="J46" s="22" t="s">
        <v>373</v>
      </c>
    </row>
    <row r="47" spans="1:10" x14ac:dyDescent="0.25">
      <c r="A47" s="22" t="s">
        <v>33</v>
      </c>
      <c r="B47" s="24" t="s">
        <v>9</v>
      </c>
      <c r="C47" s="22" t="s">
        <v>1980</v>
      </c>
      <c r="D47" s="22" t="s">
        <v>376</v>
      </c>
      <c r="E47" s="22" t="s">
        <v>1981</v>
      </c>
      <c r="F47" s="22" t="s">
        <v>1982</v>
      </c>
      <c r="G47" s="22" t="s">
        <v>379</v>
      </c>
      <c r="H47" s="22" t="s">
        <v>378</v>
      </c>
      <c r="I47" s="22" t="s">
        <v>1983</v>
      </c>
      <c r="J47" s="22" t="s">
        <v>377</v>
      </c>
    </row>
    <row r="48" spans="1:10" x14ac:dyDescent="0.25">
      <c r="A48" s="22" t="s">
        <v>33</v>
      </c>
      <c r="B48" s="24" t="s">
        <v>10</v>
      </c>
      <c r="C48" s="22" t="s">
        <v>1984</v>
      </c>
      <c r="D48" s="22" t="s">
        <v>382</v>
      </c>
      <c r="E48" s="22" t="s">
        <v>1985</v>
      </c>
      <c r="F48" s="22" t="s">
        <v>1986</v>
      </c>
      <c r="G48" s="22" t="s">
        <v>302</v>
      </c>
      <c r="H48" s="22" t="s">
        <v>384</v>
      </c>
      <c r="I48" s="22" t="s">
        <v>1987</v>
      </c>
      <c r="J48" s="22" t="s">
        <v>383</v>
      </c>
    </row>
    <row r="49" spans="1:10" x14ac:dyDescent="0.25">
      <c r="A49" s="22" t="s">
        <v>33</v>
      </c>
      <c r="B49" s="24" t="s">
        <v>11</v>
      </c>
      <c r="C49" s="22" t="s">
        <v>1988</v>
      </c>
      <c r="D49" s="22" t="s">
        <v>387</v>
      </c>
      <c r="E49" s="22" t="s">
        <v>1989</v>
      </c>
      <c r="F49" s="22" t="s">
        <v>1990</v>
      </c>
      <c r="G49" s="22" t="s">
        <v>302</v>
      </c>
      <c r="H49" s="22" t="s">
        <v>365</v>
      </c>
      <c r="I49" s="22" t="s">
        <v>1991</v>
      </c>
      <c r="J49" s="22" t="s">
        <v>377</v>
      </c>
    </row>
    <row r="50" spans="1:10" x14ac:dyDescent="0.25">
      <c r="A50" s="22" t="s">
        <v>39</v>
      </c>
      <c r="B50" s="24" t="s">
        <v>8</v>
      </c>
      <c r="C50" s="22" t="s">
        <v>2067</v>
      </c>
      <c r="D50" s="22" t="s">
        <v>1812</v>
      </c>
      <c r="E50" s="22" t="s">
        <v>2068</v>
      </c>
      <c r="F50" s="22" t="s">
        <v>2069</v>
      </c>
      <c r="G50" s="22" t="s">
        <v>686</v>
      </c>
      <c r="H50" s="22" t="s">
        <v>384</v>
      </c>
      <c r="I50" s="22" t="s">
        <v>2070</v>
      </c>
      <c r="J50" s="22" t="s">
        <v>838</v>
      </c>
    </row>
    <row r="51" spans="1:10" x14ac:dyDescent="0.25">
      <c r="A51" s="22" t="s">
        <v>39</v>
      </c>
      <c r="B51" s="24" t="s">
        <v>9</v>
      </c>
      <c r="C51" s="22" t="s">
        <v>2071</v>
      </c>
      <c r="D51" s="22" t="s">
        <v>2072</v>
      </c>
      <c r="E51" s="22" t="s">
        <v>2073</v>
      </c>
      <c r="F51" s="22" t="s">
        <v>2074</v>
      </c>
      <c r="G51" s="22" t="s">
        <v>2075</v>
      </c>
      <c r="H51" s="22" t="s">
        <v>369</v>
      </c>
      <c r="I51" s="22" t="s">
        <v>2076</v>
      </c>
      <c r="J51" s="22" t="s">
        <v>1518</v>
      </c>
    </row>
    <row r="52" spans="1:10" x14ac:dyDescent="0.25">
      <c r="A52" s="22" t="s">
        <v>39</v>
      </c>
      <c r="B52" s="24" t="s">
        <v>10</v>
      </c>
      <c r="C52" s="22" t="s">
        <v>2077</v>
      </c>
      <c r="D52" s="22" t="s">
        <v>2078</v>
      </c>
      <c r="E52" s="22" t="s">
        <v>2079</v>
      </c>
      <c r="F52" s="22" t="s">
        <v>2080</v>
      </c>
      <c r="G52" s="22" t="s">
        <v>2081</v>
      </c>
      <c r="H52" s="22" t="s">
        <v>1171</v>
      </c>
      <c r="I52" s="22" t="s">
        <v>2082</v>
      </c>
      <c r="J52" s="22" t="s">
        <v>557</v>
      </c>
    </row>
    <row r="53" spans="1:10" x14ac:dyDescent="0.25">
      <c r="A53" s="22" t="s">
        <v>39</v>
      </c>
      <c r="B53" s="24" t="s">
        <v>11</v>
      </c>
      <c r="C53" s="22" t="s">
        <v>2083</v>
      </c>
      <c r="D53" s="22" t="s">
        <v>2084</v>
      </c>
      <c r="E53" s="22" t="s">
        <v>2085</v>
      </c>
      <c r="F53" s="22" t="s">
        <v>2086</v>
      </c>
      <c r="G53" s="22" t="s">
        <v>1463</v>
      </c>
      <c r="H53" s="22" t="s">
        <v>661</v>
      </c>
      <c r="I53" s="22" t="s">
        <v>2087</v>
      </c>
      <c r="J53" s="22" t="s">
        <v>1124</v>
      </c>
    </row>
    <row r="54" spans="1:10" x14ac:dyDescent="0.25">
      <c r="A54" s="22" t="s">
        <v>36</v>
      </c>
      <c r="B54" s="24" t="s">
        <v>8</v>
      </c>
      <c r="C54" s="22" t="s">
        <v>2179</v>
      </c>
      <c r="D54" s="22" t="s">
        <v>2180</v>
      </c>
      <c r="E54" s="22" t="s">
        <v>2181</v>
      </c>
      <c r="F54" s="22" t="s">
        <v>2182</v>
      </c>
      <c r="G54" s="22" t="s">
        <v>509</v>
      </c>
      <c r="H54" s="22" t="s">
        <v>508</v>
      </c>
      <c r="I54" s="22" t="s">
        <v>2183</v>
      </c>
      <c r="J54" s="22" t="s">
        <v>364</v>
      </c>
    </row>
    <row r="55" spans="1:10" x14ac:dyDescent="0.25">
      <c r="A55" s="22" t="s">
        <v>36</v>
      </c>
      <c r="B55" s="24" t="s">
        <v>9</v>
      </c>
      <c r="C55" s="22" t="s">
        <v>2184</v>
      </c>
      <c r="D55" s="22" t="s">
        <v>2185</v>
      </c>
      <c r="E55" s="22" t="s">
        <v>2186</v>
      </c>
      <c r="F55" s="22" t="s">
        <v>2187</v>
      </c>
      <c r="G55" s="22" t="s">
        <v>310</v>
      </c>
      <c r="H55" s="22" t="s">
        <v>512</v>
      </c>
      <c r="I55" s="22" t="s">
        <v>2188</v>
      </c>
      <c r="J55" s="22" t="s">
        <v>2189</v>
      </c>
    </row>
    <row r="56" spans="1:10" x14ac:dyDescent="0.25">
      <c r="A56" s="22" t="s">
        <v>36</v>
      </c>
      <c r="B56" s="24" t="s">
        <v>10</v>
      </c>
      <c r="C56" s="22" t="s">
        <v>2190</v>
      </c>
      <c r="D56" s="22" t="s">
        <v>2191</v>
      </c>
      <c r="E56" s="22" t="s">
        <v>2192</v>
      </c>
      <c r="F56" s="22" t="s">
        <v>2193</v>
      </c>
      <c r="G56" s="22" t="s">
        <v>245</v>
      </c>
      <c r="H56" s="22" t="s">
        <v>495</v>
      </c>
      <c r="I56" s="22" t="s">
        <v>2194</v>
      </c>
      <c r="J56" s="22" t="s">
        <v>2195</v>
      </c>
    </row>
    <row r="57" spans="1:10" x14ac:dyDescent="0.25">
      <c r="A57" s="22" t="s">
        <v>36</v>
      </c>
      <c r="B57" s="24" t="s">
        <v>11</v>
      </c>
      <c r="C57" s="22" t="s">
        <v>2196</v>
      </c>
      <c r="D57" s="22" t="s">
        <v>2197</v>
      </c>
      <c r="E57" s="22" t="s">
        <v>2198</v>
      </c>
      <c r="F57" s="22" t="s">
        <v>2199</v>
      </c>
      <c r="G57" s="22" t="s">
        <v>518</v>
      </c>
      <c r="H57" s="22" t="s">
        <v>517</v>
      </c>
      <c r="I57" s="22" t="s">
        <v>2200</v>
      </c>
      <c r="J57" s="22" t="s">
        <v>2201</v>
      </c>
    </row>
    <row r="58" spans="1:10" x14ac:dyDescent="0.25">
      <c r="A58" s="22" t="s">
        <v>38</v>
      </c>
      <c r="B58" s="24" t="s">
        <v>8</v>
      </c>
      <c r="C58" s="22" t="s">
        <v>2284</v>
      </c>
      <c r="D58" s="22" t="s">
        <v>2285</v>
      </c>
      <c r="E58" s="22" t="s">
        <v>2286</v>
      </c>
      <c r="F58" s="22" t="s">
        <v>2287</v>
      </c>
      <c r="G58" s="22" t="s">
        <v>2276</v>
      </c>
      <c r="H58" s="22" t="s">
        <v>370</v>
      </c>
      <c r="I58" s="22" t="s">
        <v>2288</v>
      </c>
      <c r="J58" s="22" t="s">
        <v>1476</v>
      </c>
    </row>
    <row r="59" spans="1:10" x14ac:dyDescent="0.25">
      <c r="A59" s="22" t="s">
        <v>38</v>
      </c>
      <c r="B59" s="24" t="s">
        <v>9</v>
      </c>
      <c r="C59" s="22" t="s">
        <v>2289</v>
      </c>
      <c r="D59" s="22" t="s">
        <v>2290</v>
      </c>
      <c r="E59" s="22" t="s">
        <v>2291</v>
      </c>
      <c r="F59" s="22" t="s">
        <v>2292</v>
      </c>
      <c r="G59" s="22" t="s">
        <v>2293</v>
      </c>
      <c r="H59" s="22" t="s">
        <v>436</v>
      </c>
      <c r="I59" s="22" t="s">
        <v>2294</v>
      </c>
      <c r="J59" s="22" t="s">
        <v>1954</v>
      </c>
    </row>
    <row r="60" spans="1:10" x14ac:dyDescent="0.25">
      <c r="A60" s="22" t="s">
        <v>38</v>
      </c>
      <c r="B60" s="24" t="s">
        <v>10</v>
      </c>
      <c r="C60" s="22" t="s">
        <v>2295</v>
      </c>
      <c r="D60" s="22" t="s">
        <v>2296</v>
      </c>
      <c r="E60" s="22" t="s">
        <v>2297</v>
      </c>
      <c r="F60" s="22" t="s">
        <v>2298</v>
      </c>
      <c r="G60" s="22" t="s">
        <v>2299</v>
      </c>
      <c r="H60" s="22" t="s">
        <v>374</v>
      </c>
      <c r="I60" s="22" t="s">
        <v>2300</v>
      </c>
      <c r="J60" s="22" t="s">
        <v>461</v>
      </c>
    </row>
    <row r="61" spans="1:10" x14ac:dyDescent="0.25">
      <c r="A61" s="22" t="s">
        <v>38</v>
      </c>
      <c r="B61" s="24" t="s">
        <v>11</v>
      </c>
      <c r="C61" s="22" t="s">
        <v>2301</v>
      </c>
      <c r="D61" s="22" t="s">
        <v>2302</v>
      </c>
      <c r="E61" s="22" t="s">
        <v>2303</v>
      </c>
      <c r="F61" s="22" t="s">
        <v>2304</v>
      </c>
      <c r="G61" s="22" t="s">
        <v>436</v>
      </c>
      <c r="H61" s="22" t="s">
        <v>209</v>
      </c>
      <c r="I61" s="22" t="s">
        <v>2305</v>
      </c>
      <c r="J61" s="22" t="s">
        <v>900</v>
      </c>
    </row>
    <row r="62" spans="1:10" x14ac:dyDescent="0.25">
      <c r="A62" s="22" t="s">
        <v>41</v>
      </c>
      <c r="B62" s="24" t="s">
        <v>8</v>
      </c>
      <c r="C62" s="22" t="s">
        <v>2388</v>
      </c>
      <c r="D62" s="22" t="s">
        <v>2389</v>
      </c>
      <c r="E62" s="22" t="s">
        <v>2390</v>
      </c>
      <c r="F62" s="22" t="s">
        <v>2391</v>
      </c>
      <c r="G62" s="22" t="s">
        <v>1122</v>
      </c>
      <c r="H62" s="22" t="s">
        <v>1325</v>
      </c>
      <c r="I62" s="22" t="s">
        <v>2392</v>
      </c>
      <c r="J62" s="22" t="s">
        <v>233</v>
      </c>
    </row>
    <row r="63" spans="1:10" x14ac:dyDescent="0.25">
      <c r="A63" s="22" t="s">
        <v>41</v>
      </c>
      <c r="B63" s="24" t="s">
        <v>9</v>
      </c>
      <c r="C63" s="22" t="s">
        <v>2393</v>
      </c>
      <c r="D63" s="22" t="s">
        <v>1824</v>
      </c>
      <c r="E63" s="22" t="s">
        <v>2394</v>
      </c>
      <c r="F63" s="22" t="s">
        <v>2395</v>
      </c>
      <c r="G63" s="22" t="s">
        <v>534</v>
      </c>
      <c r="H63" s="22" t="s">
        <v>1705</v>
      </c>
      <c r="I63" s="22" t="s">
        <v>2396</v>
      </c>
      <c r="J63" s="22" t="s">
        <v>233</v>
      </c>
    </row>
    <row r="64" spans="1:10" x14ac:dyDescent="0.25">
      <c r="A64" s="22" t="s">
        <v>41</v>
      </c>
      <c r="B64" s="24" t="s">
        <v>10</v>
      </c>
      <c r="C64" s="22" t="s">
        <v>2397</v>
      </c>
      <c r="D64" s="22" t="s">
        <v>2398</v>
      </c>
      <c r="E64" s="22" t="s">
        <v>2399</v>
      </c>
      <c r="F64" s="22" t="s">
        <v>2400</v>
      </c>
      <c r="G64" s="22" t="s">
        <v>2401</v>
      </c>
      <c r="H64" s="22" t="s">
        <v>2402</v>
      </c>
      <c r="I64" s="22" t="s">
        <v>2403</v>
      </c>
      <c r="J64" s="22" t="s">
        <v>233</v>
      </c>
    </row>
    <row r="65" spans="1:10" x14ac:dyDescent="0.25">
      <c r="A65" s="22" t="s">
        <v>41</v>
      </c>
      <c r="B65" s="24" t="s">
        <v>11</v>
      </c>
      <c r="C65" s="22" t="s">
        <v>2404</v>
      </c>
      <c r="D65" s="22" t="s">
        <v>2405</v>
      </c>
      <c r="E65" s="22" t="s">
        <v>2406</v>
      </c>
      <c r="F65" s="22" t="s">
        <v>2407</v>
      </c>
      <c r="G65" s="22" t="s">
        <v>2408</v>
      </c>
      <c r="H65" s="22" t="s">
        <v>2409</v>
      </c>
      <c r="I65" s="22" t="s">
        <v>2410</v>
      </c>
      <c r="J65" s="22" t="s">
        <v>825</v>
      </c>
    </row>
    <row r="66" spans="1:10" x14ac:dyDescent="0.25">
      <c r="A66" s="22" t="s">
        <v>37</v>
      </c>
      <c r="B66" s="24" t="s">
        <v>8</v>
      </c>
      <c r="C66" s="22" t="s">
        <v>2509</v>
      </c>
      <c r="D66" s="22" t="s">
        <v>2510</v>
      </c>
      <c r="E66" s="22" t="s">
        <v>2511</v>
      </c>
      <c r="F66" s="22" t="s">
        <v>2512</v>
      </c>
      <c r="G66" s="22" t="s">
        <v>2513</v>
      </c>
      <c r="H66" s="22" t="s">
        <v>951</v>
      </c>
      <c r="I66" s="22" t="s">
        <v>2514</v>
      </c>
      <c r="J66" s="22" t="s">
        <v>2515</v>
      </c>
    </row>
    <row r="67" spans="1:10" x14ac:dyDescent="0.25">
      <c r="A67" s="22" t="s">
        <v>37</v>
      </c>
      <c r="B67" s="24" t="s">
        <v>9</v>
      </c>
      <c r="C67" s="22" t="s">
        <v>2516</v>
      </c>
      <c r="D67" s="22" t="s">
        <v>2517</v>
      </c>
      <c r="E67" s="22" t="s">
        <v>2518</v>
      </c>
      <c r="F67" s="22" t="s">
        <v>2519</v>
      </c>
      <c r="G67" s="22" t="s">
        <v>2520</v>
      </c>
      <c r="H67" s="22" t="s">
        <v>2521</v>
      </c>
      <c r="I67" s="22" t="s">
        <v>2522</v>
      </c>
      <c r="J67" s="22" t="s">
        <v>1523</v>
      </c>
    </row>
    <row r="68" spans="1:10" x14ac:dyDescent="0.25">
      <c r="A68" s="22" t="s">
        <v>37</v>
      </c>
      <c r="B68" s="24" t="s">
        <v>10</v>
      </c>
      <c r="C68" s="22" t="s">
        <v>2523</v>
      </c>
      <c r="D68" s="22" t="s">
        <v>2524</v>
      </c>
      <c r="E68" s="22" t="s">
        <v>2525</v>
      </c>
      <c r="F68" s="22" t="s">
        <v>2526</v>
      </c>
      <c r="G68" s="22" t="s">
        <v>2527</v>
      </c>
      <c r="H68" s="22" t="s">
        <v>861</v>
      </c>
      <c r="I68" s="22" t="s">
        <v>2528</v>
      </c>
      <c r="J68" s="22" t="s">
        <v>1082</v>
      </c>
    </row>
    <row r="69" spans="1:10" x14ac:dyDescent="0.25">
      <c r="A69" s="22" t="s">
        <v>37</v>
      </c>
      <c r="B69" s="24" t="s">
        <v>11</v>
      </c>
      <c r="C69" s="22" t="s">
        <v>2529</v>
      </c>
      <c r="D69" s="22" t="s">
        <v>2530</v>
      </c>
      <c r="E69" s="22" t="s">
        <v>2531</v>
      </c>
      <c r="F69" s="22" t="s">
        <v>2532</v>
      </c>
      <c r="G69" s="22" t="s">
        <v>2533</v>
      </c>
      <c r="H69" s="22" t="s">
        <v>2534</v>
      </c>
      <c r="I69" s="22" t="s">
        <v>2535</v>
      </c>
      <c r="J69" s="22" t="s">
        <v>2276</v>
      </c>
    </row>
    <row r="70" spans="1:10" x14ac:dyDescent="0.25">
      <c r="A70" s="22" t="s">
        <v>42</v>
      </c>
      <c r="B70" s="24" t="s">
        <v>8</v>
      </c>
      <c r="C70" s="22" t="s">
        <v>2633</v>
      </c>
      <c r="D70" s="22" t="s">
        <v>2634</v>
      </c>
      <c r="E70" s="22" t="s">
        <v>2635</v>
      </c>
      <c r="F70" s="22" t="s">
        <v>2636</v>
      </c>
      <c r="G70" s="22" t="s">
        <v>2637</v>
      </c>
      <c r="H70" s="22" t="s">
        <v>781</v>
      </c>
      <c r="I70" s="22" t="s">
        <v>2638</v>
      </c>
      <c r="J70" s="22" t="s">
        <v>477</v>
      </c>
    </row>
    <row r="71" spans="1:10" x14ac:dyDescent="0.25">
      <c r="A71" s="22" t="s">
        <v>42</v>
      </c>
      <c r="B71" s="24" t="s">
        <v>9</v>
      </c>
      <c r="C71" s="22" t="s">
        <v>2639</v>
      </c>
      <c r="D71" s="22" t="s">
        <v>2640</v>
      </c>
      <c r="E71" s="22" t="s">
        <v>2641</v>
      </c>
      <c r="F71" s="22" t="s">
        <v>2642</v>
      </c>
      <c r="G71" s="22" t="s">
        <v>2643</v>
      </c>
      <c r="H71" s="22" t="s">
        <v>2644</v>
      </c>
      <c r="I71" s="22" t="s">
        <v>2645</v>
      </c>
      <c r="J71" s="22" t="s">
        <v>1270</v>
      </c>
    </row>
    <row r="72" spans="1:10" x14ac:dyDescent="0.25">
      <c r="A72" s="22" t="s">
        <v>42</v>
      </c>
      <c r="B72" s="24" t="s">
        <v>10</v>
      </c>
      <c r="C72" s="22" t="s">
        <v>2646</v>
      </c>
      <c r="D72" s="22" t="s">
        <v>2647</v>
      </c>
      <c r="E72" s="22" t="s">
        <v>2648</v>
      </c>
      <c r="F72" s="22" t="s">
        <v>2649</v>
      </c>
      <c r="G72" s="22" t="s">
        <v>2611</v>
      </c>
      <c r="H72" s="22" t="s">
        <v>2081</v>
      </c>
      <c r="I72" s="22" t="s">
        <v>2650</v>
      </c>
      <c r="J72" s="22" t="s">
        <v>1656</v>
      </c>
    </row>
    <row r="73" spans="1:10" x14ac:dyDescent="0.25">
      <c r="A73" s="22" t="s">
        <v>42</v>
      </c>
      <c r="B73" s="24" t="s">
        <v>11</v>
      </c>
      <c r="C73" s="22" t="s">
        <v>2651</v>
      </c>
      <c r="D73" s="22" t="s">
        <v>2652</v>
      </c>
      <c r="E73" s="22" t="s">
        <v>2653</v>
      </c>
      <c r="F73" s="22" t="s">
        <v>2654</v>
      </c>
      <c r="G73" s="22" t="s">
        <v>2655</v>
      </c>
      <c r="H73" s="22" t="s">
        <v>693</v>
      </c>
      <c r="I73" s="22" t="s">
        <v>2656</v>
      </c>
      <c r="J73" s="22" t="s">
        <v>2657</v>
      </c>
    </row>
    <row r="74" spans="1:10" x14ac:dyDescent="0.25">
      <c r="A74" s="22" t="s">
        <v>45</v>
      </c>
      <c r="B74" s="24" t="s">
        <v>8</v>
      </c>
      <c r="C74" s="22" t="s">
        <v>2751</v>
      </c>
      <c r="D74" s="22" t="s">
        <v>2752</v>
      </c>
      <c r="E74" s="22" t="s">
        <v>2753</v>
      </c>
      <c r="F74" s="22" t="s">
        <v>2754</v>
      </c>
      <c r="G74" s="22" t="s">
        <v>2643</v>
      </c>
      <c r="H74" s="22" t="s">
        <v>2755</v>
      </c>
      <c r="I74" s="22" t="s">
        <v>2756</v>
      </c>
      <c r="J74" s="22" t="s">
        <v>2461</v>
      </c>
    </row>
    <row r="75" spans="1:10" x14ac:dyDescent="0.25">
      <c r="A75" s="22" t="s">
        <v>45</v>
      </c>
      <c r="B75" s="24" t="s">
        <v>9</v>
      </c>
      <c r="C75" s="22" t="s">
        <v>2757</v>
      </c>
      <c r="D75" s="22" t="s">
        <v>2758</v>
      </c>
      <c r="E75" s="22" t="s">
        <v>2759</v>
      </c>
      <c r="F75" s="22" t="s">
        <v>2760</v>
      </c>
      <c r="G75" s="22" t="s">
        <v>1210</v>
      </c>
      <c r="H75" s="22" t="s">
        <v>2761</v>
      </c>
      <c r="I75" s="22" t="s">
        <v>2762</v>
      </c>
      <c r="J75" s="22" t="s">
        <v>2763</v>
      </c>
    </row>
    <row r="76" spans="1:10" x14ac:dyDescent="0.25">
      <c r="A76" s="22" t="s">
        <v>45</v>
      </c>
      <c r="B76" s="24" t="s">
        <v>10</v>
      </c>
      <c r="C76" s="22" t="s">
        <v>2764</v>
      </c>
      <c r="D76" s="22" t="s">
        <v>2765</v>
      </c>
      <c r="E76" s="22" t="s">
        <v>2766</v>
      </c>
      <c r="F76" s="22" t="s">
        <v>2767</v>
      </c>
      <c r="G76" s="22" t="s">
        <v>2768</v>
      </c>
      <c r="H76" s="22" t="s">
        <v>2761</v>
      </c>
      <c r="I76" s="22" t="s">
        <v>2769</v>
      </c>
      <c r="J76" s="22" t="s">
        <v>772</v>
      </c>
    </row>
    <row r="77" spans="1:10" x14ac:dyDescent="0.25">
      <c r="A77" s="22" t="s">
        <v>45</v>
      </c>
      <c r="B77" s="24" t="s">
        <v>11</v>
      </c>
      <c r="C77" s="22" t="s">
        <v>2770</v>
      </c>
      <c r="D77" s="22" t="s">
        <v>2771</v>
      </c>
      <c r="E77" s="22" t="s">
        <v>2772</v>
      </c>
      <c r="F77" s="22" t="s">
        <v>2773</v>
      </c>
      <c r="G77" s="22" t="s">
        <v>2774</v>
      </c>
      <c r="H77" s="22" t="s">
        <v>1450</v>
      </c>
      <c r="I77" s="22" t="s">
        <v>2775</v>
      </c>
      <c r="J77" s="22" t="s">
        <v>1561</v>
      </c>
    </row>
    <row r="78" spans="1:10" x14ac:dyDescent="0.25">
      <c r="A78" s="22" t="s">
        <v>35</v>
      </c>
      <c r="B78" s="24" t="s">
        <v>8</v>
      </c>
      <c r="C78" s="22" t="s">
        <v>2857</v>
      </c>
      <c r="D78" s="22" t="s">
        <v>2858</v>
      </c>
      <c r="E78" s="22" t="s">
        <v>2859</v>
      </c>
      <c r="F78" s="22" t="s">
        <v>2860</v>
      </c>
      <c r="G78" s="22" t="s">
        <v>1697</v>
      </c>
      <c r="H78" s="22" t="s">
        <v>969</v>
      </c>
      <c r="I78" s="22" t="s">
        <v>2861</v>
      </c>
      <c r="J78" s="22" t="s">
        <v>2862</v>
      </c>
    </row>
    <row r="79" spans="1:10" x14ac:dyDescent="0.25">
      <c r="A79" s="22" t="s">
        <v>35</v>
      </c>
      <c r="B79" s="24" t="s">
        <v>9</v>
      </c>
      <c r="C79" s="22" t="s">
        <v>2863</v>
      </c>
      <c r="D79" s="22" t="s">
        <v>2864</v>
      </c>
      <c r="E79" s="22" t="s">
        <v>2865</v>
      </c>
      <c r="F79" s="22" t="s">
        <v>2866</v>
      </c>
      <c r="G79" s="22" t="s">
        <v>1834</v>
      </c>
      <c r="H79" s="22" t="s">
        <v>1524</v>
      </c>
      <c r="I79" s="22" t="s">
        <v>2867</v>
      </c>
      <c r="J79" s="22" t="s">
        <v>467</v>
      </c>
    </row>
    <row r="80" spans="1:10" x14ac:dyDescent="0.25">
      <c r="A80" s="22" t="s">
        <v>35</v>
      </c>
      <c r="B80" s="24" t="s">
        <v>10</v>
      </c>
      <c r="C80" s="22" t="s">
        <v>2868</v>
      </c>
      <c r="D80" s="22" t="s">
        <v>2869</v>
      </c>
      <c r="E80" s="22" t="s">
        <v>2870</v>
      </c>
      <c r="F80" s="22" t="s">
        <v>2871</v>
      </c>
      <c r="G80" s="22" t="s">
        <v>1834</v>
      </c>
      <c r="H80" s="22" t="s">
        <v>969</v>
      </c>
      <c r="I80" s="22" t="s">
        <v>2872</v>
      </c>
      <c r="J80" s="22" t="s">
        <v>279</v>
      </c>
    </row>
    <row r="81" spans="1:10" x14ac:dyDescent="0.25">
      <c r="A81" s="22" t="s">
        <v>35</v>
      </c>
      <c r="B81" s="24" t="s">
        <v>11</v>
      </c>
      <c r="C81" s="22" t="s">
        <v>2873</v>
      </c>
      <c r="D81" s="22" t="s">
        <v>2874</v>
      </c>
      <c r="E81" s="22" t="s">
        <v>2875</v>
      </c>
      <c r="F81" s="22" t="s">
        <v>2876</v>
      </c>
      <c r="G81" s="22" t="s">
        <v>1772</v>
      </c>
      <c r="H81" s="22" t="s">
        <v>2877</v>
      </c>
      <c r="I81" s="22" t="s">
        <v>2878</v>
      </c>
      <c r="J81" s="22" t="s">
        <v>558</v>
      </c>
    </row>
    <row r="82" spans="1:10" x14ac:dyDescent="0.25">
      <c r="A82" s="22" t="s">
        <v>43</v>
      </c>
      <c r="B82" s="24" t="s">
        <v>8</v>
      </c>
      <c r="C82" s="22" t="s">
        <v>2964</v>
      </c>
      <c r="D82" s="22" t="s">
        <v>2965</v>
      </c>
      <c r="E82" s="22" t="s">
        <v>2966</v>
      </c>
      <c r="F82" s="22" t="s">
        <v>2967</v>
      </c>
      <c r="G82" s="22" t="s">
        <v>2968</v>
      </c>
      <c r="H82" s="22" t="s">
        <v>958</v>
      </c>
      <c r="I82" s="22" t="s">
        <v>2969</v>
      </c>
      <c r="J82" s="22" t="s">
        <v>233</v>
      </c>
    </row>
    <row r="83" spans="1:10" x14ac:dyDescent="0.25">
      <c r="A83" s="22" t="s">
        <v>43</v>
      </c>
      <c r="B83" s="24" t="s">
        <v>9</v>
      </c>
      <c r="C83" s="22" t="s">
        <v>2970</v>
      </c>
      <c r="D83" s="22" t="s">
        <v>2971</v>
      </c>
      <c r="E83" s="22" t="s">
        <v>2972</v>
      </c>
      <c r="F83" s="22" t="s">
        <v>2973</v>
      </c>
      <c r="G83" s="22" t="s">
        <v>2974</v>
      </c>
      <c r="H83" s="22" t="s">
        <v>2975</v>
      </c>
      <c r="I83" s="22" t="s">
        <v>2976</v>
      </c>
      <c r="J83" s="22" t="s">
        <v>2612</v>
      </c>
    </row>
    <row r="84" spans="1:10" x14ac:dyDescent="0.25">
      <c r="A84" s="22" t="s">
        <v>43</v>
      </c>
      <c r="B84" s="24" t="s">
        <v>10</v>
      </c>
      <c r="C84" s="22" t="s">
        <v>2977</v>
      </c>
      <c r="D84" s="22" t="s">
        <v>2582</v>
      </c>
      <c r="E84" s="22" t="s">
        <v>2978</v>
      </c>
      <c r="F84" s="22" t="s">
        <v>2979</v>
      </c>
      <c r="G84" s="22" t="s">
        <v>2980</v>
      </c>
      <c r="H84" s="22" t="s">
        <v>2981</v>
      </c>
      <c r="I84" s="22" t="s">
        <v>2982</v>
      </c>
      <c r="J84" s="22" t="s">
        <v>244</v>
      </c>
    </row>
    <row r="85" spans="1:10" x14ac:dyDescent="0.25">
      <c r="A85" s="22" t="s">
        <v>43</v>
      </c>
      <c r="B85" s="24" t="s">
        <v>11</v>
      </c>
      <c r="C85" s="22" t="s">
        <v>2983</v>
      </c>
      <c r="D85" s="22" t="s">
        <v>2504</v>
      </c>
      <c r="E85" s="22" t="s">
        <v>2984</v>
      </c>
      <c r="F85" s="22" t="s">
        <v>2985</v>
      </c>
      <c r="G85" s="22" t="s">
        <v>2986</v>
      </c>
      <c r="H85" s="22" t="s">
        <v>2987</v>
      </c>
      <c r="I85" s="22" t="s">
        <v>2988</v>
      </c>
      <c r="J85" s="22" t="s">
        <v>661</v>
      </c>
    </row>
    <row r="86" spans="1:10" x14ac:dyDescent="0.25">
      <c r="A86" s="22" t="s">
        <v>46</v>
      </c>
      <c r="B86" s="24" t="s">
        <v>8</v>
      </c>
      <c r="C86" s="22" t="s">
        <v>3081</v>
      </c>
      <c r="D86" s="22" t="s">
        <v>1478</v>
      </c>
      <c r="E86" s="22" t="s">
        <v>3082</v>
      </c>
      <c r="F86" s="22" t="s">
        <v>3083</v>
      </c>
      <c r="G86" s="22" t="s">
        <v>3084</v>
      </c>
      <c r="H86" s="22" t="s">
        <v>1443</v>
      </c>
      <c r="I86" s="22" t="s">
        <v>3085</v>
      </c>
      <c r="J86" s="22" t="s">
        <v>1656</v>
      </c>
    </row>
    <row r="87" spans="1:10" x14ac:dyDescent="0.25">
      <c r="A87" s="22" t="s">
        <v>46</v>
      </c>
      <c r="B87" s="24" t="s">
        <v>9</v>
      </c>
      <c r="C87" s="22" t="s">
        <v>3086</v>
      </c>
      <c r="D87" s="22" t="s">
        <v>3087</v>
      </c>
      <c r="E87" s="22" t="s">
        <v>3088</v>
      </c>
      <c r="F87" s="22" t="s">
        <v>3089</v>
      </c>
      <c r="G87" s="22" t="s">
        <v>3090</v>
      </c>
      <c r="H87" s="22" t="s">
        <v>2461</v>
      </c>
      <c r="I87" s="22" t="s">
        <v>3091</v>
      </c>
      <c r="J87" s="22" t="s">
        <v>660</v>
      </c>
    </row>
    <row r="88" spans="1:10" x14ac:dyDescent="0.25">
      <c r="A88" s="22" t="s">
        <v>46</v>
      </c>
      <c r="B88" s="24" t="s">
        <v>10</v>
      </c>
      <c r="C88" s="22" t="s">
        <v>3092</v>
      </c>
      <c r="D88" s="22" t="s">
        <v>3093</v>
      </c>
      <c r="E88" s="22" t="s">
        <v>3094</v>
      </c>
      <c r="F88" s="22" t="s">
        <v>3095</v>
      </c>
      <c r="G88" s="22" t="s">
        <v>3096</v>
      </c>
      <c r="H88" s="22" t="s">
        <v>692</v>
      </c>
      <c r="I88" s="22" t="s">
        <v>3097</v>
      </c>
      <c r="J88" s="22" t="s">
        <v>988</v>
      </c>
    </row>
    <row r="89" spans="1:10" x14ac:dyDescent="0.25">
      <c r="A89" s="22" t="s">
        <v>46</v>
      </c>
      <c r="B89" s="24" t="s">
        <v>11</v>
      </c>
      <c r="C89" s="22" t="s">
        <v>3098</v>
      </c>
      <c r="D89" s="22" t="s">
        <v>3099</v>
      </c>
      <c r="E89" s="22" t="s">
        <v>3100</v>
      </c>
      <c r="F89" s="22" t="s">
        <v>3101</v>
      </c>
      <c r="G89" s="22" t="s">
        <v>3025</v>
      </c>
      <c r="H89" s="22" t="s">
        <v>1443</v>
      </c>
      <c r="I89" s="22" t="s">
        <v>3102</v>
      </c>
      <c r="J89" s="22" t="s">
        <v>3103</v>
      </c>
    </row>
    <row r="90" spans="1:10" x14ac:dyDescent="0.25">
      <c r="A90" s="22" t="s">
        <v>47</v>
      </c>
      <c r="B90" s="24" t="s">
        <v>8</v>
      </c>
      <c r="C90" s="22" t="s">
        <v>3200</v>
      </c>
      <c r="D90" s="22" t="s">
        <v>3201</v>
      </c>
      <c r="E90" s="22" t="s">
        <v>3202</v>
      </c>
      <c r="F90" s="22" t="s">
        <v>3203</v>
      </c>
      <c r="G90" s="22" t="s">
        <v>3204</v>
      </c>
      <c r="H90" s="22" t="s">
        <v>3205</v>
      </c>
      <c r="I90" s="22" t="s">
        <v>3206</v>
      </c>
      <c r="J90" s="22" t="s">
        <v>1286</v>
      </c>
    </row>
    <row r="91" spans="1:10" x14ac:dyDescent="0.25">
      <c r="A91" s="22" t="s">
        <v>47</v>
      </c>
      <c r="B91" s="24" t="s">
        <v>9</v>
      </c>
      <c r="C91" s="22" t="s">
        <v>3207</v>
      </c>
      <c r="D91" s="22" t="s">
        <v>3208</v>
      </c>
      <c r="E91" s="22" t="s">
        <v>3209</v>
      </c>
      <c r="F91" s="22" t="s">
        <v>3210</v>
      </c>
      <c r="G91" s="22" t="s">
        <v>3211</v>
      </c>
      <c r="H91" s="22" t="s">
        <v>2167</v>
      </c>
      <c r="I91" s="22" t="s">
        <v>3212</v>
      </c>
      <c r="J91" s="22" t="s">
        <v>512</v>
      </c>
    </row>
    <row r="92" spans="1:10" x14ac:dyDescent="0.25">
      <c r="A92" s="22" t="s">
        <v>47</v>
      </c>
      <c r="B92" s="24" t="s">
        <v>10</v>
      </c>
      <c r="C92" s="22" t="s">
        <v>3213</v>
      </c>
      <c r="D92" s="22" t="s">
        <v>3214</v>
      </c>
      <c r="E92" s="22" t="s">
        <v>3215</v>
      </c>
      <c r="F92" s="22" t="s">
        <v>3216</v>
      </c>
      <c r="G92" s="22" t="s">
        <v>3217</v>
      </c>
      <c r="H92" s="22" t="s">
        <v>3218</v>
      </c>
      <c r="I92" s="22" t="s">
        <v>3219</v>
      </c>
      <c r="J92" s="22" t="s">
        <v>693</v>
      </c>
    </row>
    <row r="93" spans="1:10" x14ac:dyDescent="0.25">
      <c r="A93" s="22" t="s">
        <v>47</v>
      </c>
      <c r="B93" s="24" t="s">
        <v>11</v>
      </c>
      <c r="C93" s="22" t="s">
        <v>3220</v>
      </c>
      <c r="D93" s="22" t="s">
        <v>3221</v>
      </c>
      <c r="E93" s="22" t="s">
        <v>3222</v>
      </c>
      <c r="F93" s="22" t="s">
        <v>3223</v>
      </c>
      <c r="G93" s="22" t="s">
        <v>3224</v>
      </c>
      <c r="H93" s="22" t="s">
        <v>344</v>
      </c>
      <c r="I93" s="22" t="s">
        <v>3225</v>
      </c>
      <c r="J93" s="22" t="s">
        <v>344</v>
      </c>
    </row>
    <row r="94" spans="1:10" x14ac:dyDescent="0.25">
      <c r="A94" s="22" t="s">
        <v>40</v>
      </c>
      <c r="B94" s="24" t="s">
        <v>8</v>
      </c>
      <c r="C94" s="22" t="s">
        <v>3325</v>
      </c>
      <c r="D94" s="22" t="s">
        <v>428</v>
      </c>
      <c r="E94" s="22" t="s">
        <v>3326</v>
      </c>
      <c r="F94" s="22" t="s">
        <v>3327</v>
      </c>
      <c r="G94" s="22" t="s">
        <v>1524</v>
      </c>
      <c r="H94" s="22" t="s">
        <v>1950</v>
      </c>
      <c r="I94" s="22" t="s">
        <v>3328</v>
      </c>
      <c r="J94" s="22" t="s">
        <v>3329</v>
      </c>
    </row>
    <row r="95" spans="1:10" x14ac:dyDescent="0.25">
      <c r="A95" s="22" t="s">
        <v>40</v>
      </c>
      <c r="B95" s="24" t="s">
        <v>9</v>
      </c>
      <c r="C95" s="22" t="s">
        <v>3330</v>
      </c>
      <c r="D95" s="22" t="s">
        <v>3331</v>
      </c>
      <c r="E95" s="22" t="s">
        <v>3332</v>
      </c>
      <c r="F95" s="22" t="s">
        <v>3333</v>
      </c>
      <c r="G95" s="22" t="s">
        <v>485</v>
      </c>
      <c r="H95" s="22" t="s">
        <v>1722</v>
      </c>
      <c r="I95" s="22" t="s">
        <v>3334</v>
      </c>
      <c r="J95" s="22" t="s">
        <v>1225</v>
      </c>
    </row>
    <row r="96" spans="1:10" x14ac:dyDescent="0.25">
      <c r="A96" s="22" t="s">
        <v>40</v>
      </c>
      <c r="B96" s="24" t="s">
        <v>10</v>
      </c>
      <c r="C96" s="22" t="s">
        <v>3335</v>
      </c>
      <c r="D96" s="22" t="s">
        <v>833</v>
      </c>
      <c r="E96" s="22" t="s">
        <v>3336</v>
      </c>
      <c r="F96" s="22" t="s">
        <v>3337</v>
      </c>
      <c r="G96" s="22" t="s">
        <v>3338</v>
      </c>
      <c r="H96" s="22" t="s">
        <v>1356</v>
      </c>
      <c r="I96" s="22" t="s">
        <v>3339</v>
      </c>
      <c r="J96" s="22" t="s">
        <v>1239</v>
      </c>
    </row>
    <row r="97" spans="1:10" x14ac:dyDescent="0.25">
      <c r="A97" s="22" t="s">
        <v>40</v>
      </c>
      <c r="B97" s="24" t="s">
        <v>11</v>
      </c>
      <c r="C97" s="22" t="s">
        <v>3340</v>
      </c>
      <c r="D97" s="22" t="s">
        <v>3341</v>
      </c>
      <c r="E97" s="22" t="s">
        <v>3342</v>
      </c>
      <c r="F97" s="22" t="s">
        <v>3343</v>
      </c>
      <c r="G97" s="22" t="s">
        <v>3344</v>
      </c>
      <c r="H97" s="22" t="s">
        <v>3345</v>
      </c>
      <c r="I97" s="22" t="s">
        <v>3346</v>
      </c>
      <c r="J97" s="22" t="s">
        <v>1173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67CF-01BB-424E-B60E-4A9EE24B4BF9}">
  <dimension ref="A1:J97"/>
  <sheetViews>
    <sheetView topLeftCell="A84" workbookViewId="0">
      <selection activeCell="A94" sqref="A94:XFD97"/>
    </sheetView>
  </sheetViews>
  <sheetFormatPr defaultRowHeight="15" x14ac:dyDescent="0.25"/>
  <sheetData>
    <row r="1" spans="1:10" x14ac:dyDescent="0.25">
      <c r="A1" s="22" t="s">
        <v>634</v>
      </c>
      <c r="B1" s="22" t="s">
        <v>1</v>
      </c>
      <c r="C1" s="23" t="s">
        <v>49</v>
      </c>
      <c r="D1" s="23" t="s">
        <v>51</v>
      </c>
      <c r="E1" s="22" t="s">
        <v>638</v>
      </c>
      <c r="F1" s="22" t="s">
        <v>53</v>
      </c>
      <c r="G1" s="23" t="s">
        <v>54</v>
      </c>
      <c r="H1" s="23" t="s">
        <v>55</v>
      </c>
      <c r="I1" s="22" t="s">
        <v>56</v>
      </c>
      <c r="J1" s="23" t="s">
        <v>57</v>
      </c>
    </row>
    <row r="2" spans="1:10" x14ac:dyDescent="0.25">
      <c r="A2" s="22" t="s">
        <v>24</v>
      </c>
      <c r="B2" s="24" t="s">
        <v>12</v>
      </c>
      <c r="C2" s="22" t="s">
        <v>696</v>
      </c>
      <c r="D2" s="22" t="s">
        <v>697</v>
      </c>
      <c r="E2" s="22" t="s">
        <v>698</v>
      </c>
      <c r="F2" s="22" t="s">
        <v>699</v>
      </c>
      <c r="G2" s="22" t="s">
        <v>303</v>
      </c>
      <c r="H2" s="22" t="s">
        <v>700</v>
      </c>
      <c r="I2" s="22" t="s">
        <v>701</v>
      </c>
      <c r="J2" s="22" t="s">
        <v>702</v>
      </c>
    </row>
    <row r="3" spans="1:10" x14ac:dyDescent="0.25">
      <c r="A3" s="22" t="s">
        <v>24</v>
      </c>
      <c r="B3" s="24" t="s">
        <v>13</v>
      </c>
      <c r="C3" s="22" t="s">
        <v>703</v>
      </c>
      <c r="D3" s="22" t="s">
        <v>704</v>
      </c>
      <c r="E3" s="22" t="s">
        <v>705</v>
      </c>
      <c r="F3" s="22" t="s">
        <v>706</v>
      </c>
      <c r="G3" s="22" t="s">
        <v>707</v>
      </c>
      <c r="H3" s="22" t="s">
        <v>708</v>
      </c>
      <c r="I3" s="22" t="s">
        <v>709</v>
      </c>
      <c r="J3" s="22" t="s">
        <v>710</v>
      </c>
    </row>
    <row r="4" spans="1:10" x14ac:dyDescent="0.25">
      <c r="A4" s="22" t="s">
        <v>24</v>
      </c>
      <c r="B4" s="24" t="s">
        <v>14</v>
      </c>
      <c r="C4" s="22" t="s">
        <v>711</v>
      </c>
      <c r="D4" s="22" t="s">
        <v>712</v>
      </c>
      <c r="E4" s="22" t="s">
        <v>713</v>
      </c>
      <c r="F4" s="22" t="s">
        <v>714</v>
      </c>
      <c r="G4" s="22" t="s">
        <v>350</v>
      </c>
      <c r="H4" s="22" t="s">
        <v>715</v>
      </c>
      <c r="I4" s="22" t="s">
        <v>716</v>
      </c>
      <c r="J4" s="22" t="s">
        <v>717</v>
      </c>
    </row>
    <row r="5" spans="1:10" x14ac:dyDescent="0.25">
      <c r="A5" s="22" t="s">
        <v>24</v>
      </c>
      <c r="B5" s="24" t="s">
        <v>15</v>
      </c>
      <c r="C5" s="22" t="s">
        <v>718</v>
      </c>
      <c r="D5" s="22" t="s">
        <v>347</v>
      </c>
      <c r="E5" s="22" t="s">
        <v>719</v>
      </c>
      <c r="F5" s="22" t="s">
        <v>720</v>
      </c>
      <c r="G5" s="22" t="s">
        <v>309</v>
      </c>
      <c r="H5" s="22" t="s">
        <v>686</v>
      </c>
      <c r="I5" s="22" t="s">
        <v>721</v>
      </c>
      <c r="J5" s="22" t="s">
        <v>722</v>
      </c>
    </row>
    <row r="6" spans="1:10" x14ac:dyDescent="0.25">
      <c r="A6" s="22" t="s">
        <v>25</v>
      </c>
      <c r="B6" s="24" t="s">
        <v>12</v>
      </c>
      <c r="C6" s="22" t="s">
        <v>832</v>
      </c>
      <c r="D6" s="22" t="s">
        <v>833</v>
      </c>
      <c r="E6" s="22" t="s">
        <v>834</v>
      </c>
      <c r="F6" s="22" t="s">
        <v>835</v>
      </c>
      <c r="G6" s="22" t="s">
        <v>315</v>
      </c>
      <c r="H6" s="22" t="s">
        <v>836</v>
      </c>
      <c r="I6" s="22" t="s">
        <v>837</v>
      </c>
      <c r="J6" s="22" t="s">
        <v>838</v>
      </c>
    </row>
    <row r="7" spans="1:10" x14ac:dyDescent="0.25">
      <c r="A7" s="22" t="s">
        <v>25</v>
      </c>
      <c r="B7" s="24" t="s">
        <v>13</v>
      </c>
      <c r="C7" s="22" t="s">
        <v>839</v>
      </c>
      <c r="D7" s="22" t="s">
        <v>840</v>
      </c>
      <c r="E7" s="22" t="s">
        <v>841</v>
      </c>
      <c r="F7" s="22" t="s">
        <v>842</v>
      </c>
      <c r="G7" s="22" t="s">
        <v>843</v>
      </c>
      <c r="H7" s="22" t="s">
        <v>685</v>
      </c>
      <c r="I7" s="22" t="s">
        <v>844</v>
      </c>
      <c r="J7" s="22" t="s">
        <v>484</v>
      </c>
    </row>
    <row r="8" spans="1:10" x14ac:dyDescent="0.25">
      <c r="A8" s="22" t="s">
        <v>25</v>
      </c>
      <c r="B8" s="24" t="s">
        <v>14</v>
      </c>
      <c r="C8" s="22" t="s">
        <v>845</v>
      </c>
      <c r="D8" s="22" t="s">
        <v>704</v>
      </c>
      <c r="E8" s="22" t="s">
        <v>846</v>
      </c>
      <c r="F8" s="22" t="s">
        <v>847</v>
      </c>
      <c r="G8" s="22" t="s">
        <v>530</v>
      </c>
      <c r="H8" s="22" t="s">
        <v>692</v>
      </c>
      <c r="I8" s="22" t="s">
        <v>848</v>
      </c>
      <c r="J8" s="22" t="s">
        <v>849</v>
      </c>
    </row>
    <row r="9" spans="1:10" x14ac:dyDescent="0.25">
      <c r="A9" s="22" t="s">
        <v>25</v>
      </c>
      <c r="B9" s="24" t="s">
        <v>15</v>
      </c>
      <c r="C9" s="22" t="s">
        <v>850</v>
      </c>
      <c r="D9" s="22" t="s">
        <v>851</v>
      </c>
      <c r="E9" s="22" t="s">
        <v>852</v>
      </c>
      <c r="F9" s="22" t="s">
        <v>853</v>
      </c>
      <c r="G9" s="22" t="s">
        <v>209</v>
      </c>
      <c r="H9" s="22" t="s">
        <v>743</v>
      </c>
      <c r="I9" s="22" t="s">
        <v>854</v>
      </c>
      <c r="J9" s="22" t="s">
        <v>545</v>
      </c>
    </row>
    <row r="10" spans="1:10" x14ac:dyDescent="0.25">
      <c r="A10" s="22" t="s">
        <v>29</v>
      </c>
      <c r="B10" s="24" t="s">
        <v>12</v>
      </c>
      <c r="C10" s="22" t="s">
        <v>966</v>
      </c>
      <c r="D10" s="22" t="s">
        <v>822</v>
      </c>
      <c r="E10" s="22" t="s">
        <v>967</v>
      </c>
      <c r="F10" s="22" t="s">
        <v>968</v>
      </c>
      <c r="G10" s="22" t="s">
        <v>196</v>
      </c>
      <c r="H10" s="22" t="s">
        <v>969</v>
      </c>
      <c r="I10" s="22" t="s">
        <v>970</v>
      </c>
      <c r="J10" s="22" t="s">
        <v>939</v>
      </c>
    </row>
    <row r="11" spans="1:10" x14ac:dyDescent="0.25">
      <c r="A11" s="22" t="s">
        <v>29</v>
      </c>
      <c r="B11" s="24" t="s">
        <v>13</v>
      </c>
      <c r="C11" s="22" t="s">
        <v>971</v>
      </c>
      <c r="D11" s="22" t="s">
        <v>972</v>
      </c>
      <c r="E11" s="22" t="s">
        <v>973</v>
      </c>
      <c r="F11" s="22" t="s">
        <v>974</v>
      </c>
      <c r="G11" s="22" t="s">
        <v>728</v>
      </c>
      <c r="H11" s="22" t="s">
        <v>357</v>
      </c>
      <c r="I11" s="22" t="s">
        <v>975</v>
      </c>
      <c r="J11" s="22" t="s">
        <v>976</v>
      </c>
    </row>
    <row r="12" spans="1:10" x14ac:dyDescent="0.25">
      <c r="A12" s="22" t="s">
        <v>29</v>
      </c>
      <c r="B12" s="24" t="s">
        <v>14</v>
      </c>
      <c r="C12" s="22" t="s">
        <v>977</v>
      </c>
      <c r="D12" s="22" t="s">
        <v>236</v>
      </c>
      <c r="E12" s="22" t="s">
        <v>978</v>
      </c>
      <c r="F12" s="22" t="s">
        <v>979</v>
      </c>
      <c r="G12" s="22" t="s">
        <v>502</v>
      </c>
      <c r="H12" s="22" t="s">
        <v>980</v>
      </c>
      <c r="I12" s="22" t="s">
        <v>981</v>
      </c>
      <c r="J12" s="22" t="s">
        <v>440</v>
      </c>
    </row>
    <row r="13" spans="1:10" x14ac:dyDescent="0.25">
      <c r="A13" s="22" t="s">
        <v>29</v>
      </c>
      <c r="B13" s="24" t="s">
        <v>15</v>
      </c>
      <c r="C13" s="22" t="s">
        <v>982</v>
      </c>
      <c r="D13" s="22" t="s">
        <v>983</v>
      </c>
      <c r="E13" s="22" t="s">
        <v>984</v>
      </c>
      <c r="F13" s="22" t="s">
        <v>985</v>
      </c>
      <c r="G13" s="22" t="s">
        <v>765</v>
      </c>
      <c r="H13" s="22" t="s">
        <v>986</v>
      </c>
      <c r="I13" s="22" t="s">
        <v>987</v>
      </c>
      <c r="J13" s="22" t="s">
        <v>988</v>
      </c>
    </row>
    <row r="14" spans="1:10" x14ac:dyDescent="0.25">
      <c r="A14" s="22" t="s">
        <v>26</v>
      </c>
      <c r="B14" s="24" t="s">
        <v>12</v>
      </c>
      <c r="C14" s="22" t="s">
        <v>1091</v>
      </c>
      <c r="D14" s="22" t="s">
        <v>1092</v>
      </c>
      <c r="E14" s="22" t="s">
        <v>1093</v>
      </c>
      <c r="F14" s="22" t="s">
        <v>1094</v>
      </c>
      <c r="G14" s="22" t="s">
        <v>1095</v>
      </c>
      <c r="H14" s="22" t="s">
        <v>735</v>
      </c>
      <c r="I14" s="22" t="s">
        <v>1096</v>
      </c>
      <c r="J14" s="22" t="s">
        <v>1097</v>
      </c>
    </row>
    <row r="15" spans="1:10" x14ac:dyDescent="0.25">
      <c r="A15" s="22" t="s">
        <v>26</v>
      </c>
      <c r="B15" s="24" t="s">
        <v>13</v>
      </c>
      <c r="C15" s="22" t="s">
        <v>1098</v>
      </c>
      <c r="D15" s="22" t="s">
        <v>1099</v>
      </c>
      <c r="E15" s="22" t="s">
        <v>1100</v>
      </c>
      <c r="F15" s="22" t="s">
        <v>1101</v>
      </c>
      <c r="G15" s="22" t="s">
        <v>1102</v>
      </c>
      <c r="H15" s="22" t="s">
        <v>267</v>
      </c>
      <c r="I15" s="22" t="s">
        <v>1103</v>
      </c>
      <c r="J15" s="22" t="s">
        <v>1104</v>
      </c>
    </row>
    <row r="16" spans="1:10" x14ac:dyDescent="0.25">
      <c r="A16" s="22" t="s">
        <v>26</v>
      </c>
      <c r="B16" s="24" t="s">
        <v>14</v>
      </c>
      <c r="C16" s="22" t="s">
        <v>1105</v>
      </c>
      <c r="D16" s="22" t="s">
        <v>1106</v>
      </c>
      <c r="E16" s="22" t="s">
        <v>1107</v>
      </c>
      <c r="F16" s="22" t="s">
        <v>1108</v>
      </c>
      <c r="G16" s="22" t="s">
        <v>1109</v>
      </c>
      <c r="H16" s="22" t="s">
        <v>758</v>
      </c>
      <c r="I16" s="22" t="s">
        <v>1110</v>
      </c>
      <c r="J16" s="22" t="s">
        <v>1111</v>
      </c>
    </row>
    <row r="17" spans="1:10" x14ac:dyDescent="0.25">
      <c r="A17" s="22" t="s">
        <v>26</v>
      </c>
      <c r="B17" s="24" t="s">
        <v>15</v>
      </c>
      <c r="C17" s="22" t="s">
        <v>1112</v>
      </c>
      <c r="D17" s="22" t="s">
        <v>1113</v>
      </c>
      <c r="E17" s="22" t="s">
        <v>1114</v>
      </c>
      <c r="F17" s="22" t="s">
        <v>1115</v>
      </c>
      <c r="G17" s="22" t="s">
        <v>1116</v>
      </c>
      <c r="H17" s="22" t="s">
        <v>207</v>
      </c>
      <c r="I17" s="22" t="s">
        <v>1117</v>
      </c>
      <c r="J17" s="22" t="s">
        <v>849</v>
      </c>
    </row>
    <row r="18" spans="1:10" x14ac:dyDescent="0.25">
      <c r="A18" s="22" t="s">
        <v>27</v>
      </c>
      <c r="B18" s="24" t="s">
        <v>12</v>
      </c>
      <c r="C18" s="22" t="s">
        <v>1220</v>
      </c>
      <c r="D18" s="22" t="s">
        <v>1221</v>
      </c>
      <c r="E18" s="22" t="s">
        <v>1222</v>
      </c>
      <c r="F18" s="22" t="s">
        <v>1223</v>
      </c>
      <c r="G18" s="22" t="s">
        <v>1224</v>
      </c>
      <c r="H18" s="22" t="s">
        <v>1225</v>
      </c>
      <c r="I18" s="22" t="s">
        <v>1226</v>
      </c>
      <c r="J18" s="22" t="s">
        <v>795</v>
      </c>
    </row>
    <row r="19" spans="1:10" x14ac:dyDescent="0.25">
      <c r="A19" s="22" t="s">
        <v>27</v>
      </c>
      <c r="B19" s="24" t="s">
        <v>13</v>
      </c>
      <c r="C19" s="22" t="s">
        <v>1227</v>
      </c>
      <c r="D19" s="22" t="s">
        <v>1228</v>
      </c>
      <c r="E19" s="22" t="s">
        <v>1229</v>
      </c>
      <c r="F19" s="22" t="s">
        <v>1230</v>
      </c>
      <c r="G19" s="22" t="s">
        <v>1231</v>
      </c>
      <c r="H19" s="22" t="s">
        <v>1232</v>
      </c>
      <c r="I19" s="22" t="s">
        <v>1233</v>
      </c>
      <c r="J19" s="22" t="s">
        <v>512</v>
      </c>
    </row>
    <row r="20" spans="1:10" x14ac:dyDescent="0.25">
      <c r="A20" s="22" t="s">
        <v>27</v>
      </c>
      <c r="B20" s="24" t="s">
        <v>14</v>
      </c>
      <c r="C20" s="22" t="s">
        <v>1234</v>
      </c>
      <c r="D20" s="22" t="s">
        <v>1235</v>
      </c>
      <c r="E20" s="22" t="s">
        <v>1236</v>
      </c>
      <c r="F20" s="22" t="s">
        <v>1237</v>
      </c>
      <c r="G20" s="22" t="s">
        <v>1238</v>
      </c>
      <c r="H20" s="22" t="s">
        <v>1239</v>
      </c>
      <c r="I20" s="22" t="s">
        <v>1240</v>
      </c>
      <c r="J20" s="22" t="s">
        <v>795</v>
      </c>
    </row>
    <row r="21" spans="1:10" x14ac:dyDescent="0.25">
      <c r="A21" s="22" t="s">
        <v>27</v>
      </c>
      <c r="B21" s="24" t="s">
        <v>15</v>
      </c>
      <c r="C21" s="22" t="s">
        <v>1241</v>
      </c>
      <c r="D21" s="22" t="s">
        <v>1242</v>
      </c>
      <c r="E21" s="22" t="s">
        <v>1243</v>
      </c>
      <c r="F21" s="22" t="s">
        <v>1244</v>
      </c>
      <c r="G21" s="22" t="s">
        <v>1245</v>
      </c>
      <c r="H21" s="22" t="s">
        <v>1246</v>
      </c>
      <c r="I21" s="22" t="s">
        <v>1247</v>
      </c>
      <c r="J21" s="22" t="s">
        <v>233</v>
      </c>
    </row>
    <row r="22" spans="1:10" x14ac:dyDescent="0.25">
      <c r="A22" s="22" t="s">
        <v>32</v>
      </c>
      <c r="B22" s="24" t="s">
        <v>12</v>
      </c>
      <c r="C22" s="22" t="s">
        <v>1338</v>
      </c>
      <c r="D22" s="22" t="s">
        <v>1339</v>
      </c>
      <c r="E22" s="22" t="s">
        <v>1340</v>
      </c>
      <c r="F22" s="22" t="s">
        <v>1341</v>
      </c>
      <c r="G22" s="22" t="s">
        <v>1045</v>
      </c>
      <c r="H22" s="22" t="s">
        <v>267</v>
      </c>
      <c r="I22" s="22" t="s">
        <v>1342</v>
      </c>
      <c r="J22" s="22" t="s">
        <v>1343</v>
      </c>
    </row>
    <row r="23" spans="1:10" x14ac:dyDescent="0.25">
      <c r="A23" s="22" t="s">
        <v>32</v>
      </c>
      <c r="B23" s="24" t="s">
        <v>13</v>
      </c>
      <c r="C23" s="22" t="s">
        <v>1344</v>
      </c>
      <c r="D23" s="22" t="s">
        <v>1242</v>
      </c>
      <c r="E23" s="22" t="s">
        <v>1345</v>
      </c>
      <c r="F23" s="22" t="s">
        <v>1346</v>
      </c>
      <c r="G23" s="22" t="s">
        <v>410</v>
      </c>
      <c r="H23" s="22" t="s">
        <v>1347</v>
      </c>
      <c r="I23" s="22" t="s">
        <v>1348</v>
      </c>
      <c r="J23" s="22" t="s">
        <v>1349</v>
      </c>
    </row>
    <row r="24" spans="1:10" x14ac:dyDescent="0.25">
      <c r="A24" s="22" t="s">
        <v>32</v>
      </c>
      <c r="B24" s="24" t="s">
        <v>14</v>
      </c>
      <c r="C24" s="22" t="s">
        <v>1350</v>
      </c>
      <c r="D24" s="22" t="s">
        <v>1351</v>
      </c>
      <c r="E24" s="22" t="s">
        <v>1352</v>
      </c>
      <c r="F24" s="22" t="s">
        <v>1353</v>
      </c>
      <c r="G24" s="22" t="s">
        <v>1354</v>
      </c>
      <c r="H24" s="22" t="s">
        <v>1347</v>
      </c>
      <c r="I24" s="22" t="s">
        <v>1355</v>
      </c>
      <c r="J24" s="22" t="s">
        <v>1356</v>
      </c>
    </row>
    <row r="25" spans="1:10" x14ac:dyDescent="0.25">
      <c r="A25" s="22" t="s">
        <v>32</v>
      </c>
      <c r="B25" s="24" t="s">
        <v>15</v>
      </c>
      <c r="C25" s="22" t="s">
        <v>1357</v>
      </c>
      <c r="D25" s="22" t="s">
        <v>1358</v>
      </c>
      <c r="E25" s="22" t="s">
        <v>1359</v>
      </c>
      <c r="F25" s="22" t="s">
        <v>1360</v>
      </c>
      <c r="G25" s="22" t="s">
        <v>1361</v>
      </c>
      <c r="H25" s="22" t="s">
        <v>461</v>
      </c>
      <c r="I25" s="22" t="s">
        <v>1362</v>
      </c>
      <c r="J25" s="22" t="s">
        <v>1097</v>
      </c>
    </row>
    <row r="26" spans="1:10" x14ac:dyDescent="0.25">
      <c r="A26" s="22" t="s">
        <v>31</v>
      </c>
      <c r="B26" s="24" t="s">
        <v>12</v>
      </c>
      <c r="C26" s="22" t="s">
        <v>1452</v>
      </c>
      <c r="D26" s="22" t="s">
        <v>1453</v>
      </c>
      <c r="E26" s="22" t="s">
        <v>1454</v>
      </c>
      <c r="F26" s="22" t="s">
        <v>1455</v>
      </c>
      <c r="G26" s="22" t="s">
        <v>1456</v>
      </c>
      <c r="H26" s="22" t="s">
        <v>495</v>
      </c>
      <c r="I26" s="22" t="s">
        <v>1457</v>
      </c>
      <c r="J26" s="22" t="s">
        <v>549</v>
      </c>
    </row>
    <row r="27" spans="1:10" x14ac:dyDescent="0.25">
      <c r="A27" s="22" t="s">
        <v>31</v>
      </c>
      <c r="B27" s="24" t="s">
        <v>13</v>
      </c>
      <c r="C27" s="22" t="s">
        <v>1458</v>
      </c>
      <c r="D27" s="22" t="s">
        <v>1459</v>
      </c>
      <c r="E27" s="22" t="s">
        <v>1460</v>
      </c>
      <c r="F27" s="22" t="s">
        <v>1461</v>
      </c>
      <c r="G27" s="22" t="s">
        <v>1462</v>
      </c>
      <c r="H27" s="22" t="s">
        <v>1463</v>
      </c>
      <c r="I27" s="22" t="s">
        <v>1464</v>
      </c>
      <c r="J27" s="22" t="s">
        <v>1427</v>
      </c>
    </row>
    <row r="28" spans="1:10" x14ac:dyDescent="0.25">
      <c r="A28" s="22" t="s">
        <v>31</v>
      </c>
      <c r="B28" s="24" t="s">
        <v>14</v>
      </c>
      <c r="C28" s="22" t="s">
        <v>1465</v>
      </c>
      <c r="D28" s="22" t="s">
        <v>1466</v>
      </c>
      <c r="E28" s="22" t="s">
        <v>1467</v>
      </c>
      <c r="F28" s="22" t="s">
        <v>1468</v>
      </c>
      <c r="G28" s="22" t="s">
        <v>316</v>
      </c>
      <c r="H28" s="22" t="s">
        <v>492</v>
      </c>
      <c r="I28" s="22" t="s">
        <v>1469</v>
      </c>
      <c r="J28" s="22" t="s">
        <v>1434</v>
      </c>
    </row>
    <row r="29" spans="1:10" x14ac:dyDescent="0.25">
      <c r="A29" s="22" t="s">
        <v>31</v>
      </c>
      <c r="B29" s="24" t="s">
        <v>15</v>
      </c>
      <c r="C29" s="22" t="s">
        <v>1470</v>
      </c>
      <c r="D29" s="22" t="s">
        <v>1471</v>
      </c>
      <c r="E29" s="22" t="s">
        <v>1472</v>
      </c>
      <c r="F29" s="22" t="s">
        <v>1473</v>
      </c>
      <c r="G29" s="22" t="s">
        <v>357</v>
      </c>
      <c r="H29" s="22" t="s">
        <v>1474</v>
      </c>
      <c r="I29" s="22" t="s">
        <v>1475</v>
      </c>
      <c r="J29" s="22" t="s">
        <v>1476</v>
      </c>
    </row>
    <row r="30" spans="1:10" x14ac:dyDescent="0.25">
      <c r="A30" s="22" t="s">
        <v>34</v>
      </c>
      <c r="B30" s="24" t="s">
        <v>12</v>
      </c>
      <c r="C30" s="22" t="s">
        <v>1567</v>
      </c>
      <c r="D30" s="22" t="s">
        <v>1568</v>
      </c>
      <c r="E30" s="22" t="s">
        <v>1569</v>
      </c>
      <c r="F30" s="22" t="s">
        <v>1570</v>
      </c>
      <c r="G30" s="22" t="s">
        <v>468</v>
      </c>
      <c r="H30" s="22" t="s">
        <v>1083</v>
      </c>
      <c r="I30" s="22" t="s">
        <v>1571</v>
      </c>
      <c r="J30" s="22" t="s">
        <v>1347</v>
      </c>
    </row>
    <row r="31" spans="1:10" x14ac:dyDescent="0.25">
      <c r="A31" s="22" t="s">
        <v>34</v>
      </c>
      <c r="B31" s="24" t="s">
        <v>13</v>
      </c>
      <c r="C31" s="22" t="s">
        <v>1572</v>
      </c>
      <c r="D31" s="22" t="s">
        <v>791</v>
      </c>
      <c r="E31" s="22" t="s">
        <v>1573</v>
      </c>
      <c r="F31" s="22" t="s">
        <v>1574</v>
      </c>
      <c r="G31" s="22" t="s">
        <v>1146</v>
      </c>
      <c r="H31" s="22" t="s">
        <v>1552</v>
      </c>
      <c r="I31" s="22" t="s">
        <v>1575</v>
      </c>
      <c r="J31" s="22" t="s">
        <v>1270</v>
      </c>
    </row>
    <row r="32" spans="1:10" x14ac:dyDescent="0.25">
      <c r="A32" s="22" t="s">
        <v>34</v>
      </c>
      <c r="B32" s="24" t="s">
        <v>14</v>
      </c>
      <c r="C32" s="22" t="s">
        <v>1576</v>
      </c>
      <c r="D32" s="22" t="s">
        <v>1334</v>
      </c>
      <c r="E32" s="22" t="s">
        <v>1577</v>
      </c>
      <c r="F32" s="22" t="s">
        <v>1578</v>
      </c>
      <c r="G32" s="22" t="s">
        <v>469</v>
      </c>
      <c r="H32" s="22" t="s">
        <v>1579</v>
      </c>
      <c r="I32" s="22" t="s">
        <v>1580</v>
      </c>
      <c r="J32" s="22" t="s">
        <v>928</v>
      </c>
    </row>
    <row r="33" spans="1:10" x14ac:dyDescent="0.25">
      <c r="A33" s="22" t="s">
        <v>34</v>
      </c>
      <c r="B33" s="24" t="s">
        <v>15</v>
      </c>
      <c r="C33" s="22" t="s">
        <v>1581</v>
      </c>
      <c r="D33" s="22" t="s">
        <v>466</v>
      </c>
      <c r="E33" s="22" t="s">
        <v>1582</v>
      </c>
      <c r="F33" s="22" t="s">
        <v>1583</v>
      </c>
      <c r="G33" s="22" t="s">
        <v>944</v>
      </c>
      <c r="H33" s="22" t="s">
        <v>980</v>
      </c>
      <c r="I33" s="22" t="s">
        <v>1584</v>
      </c>
      <c r="J33" s="22" t="s">
        <v>272</v>
      </c>
    </row>
    <row r="34" spans="1:10" x14ac:dyDescent="0.25">
      <c r="A34" s="22" t="s">
        <v>28</v>
      </c>
      <c r="B34" s="24" t="s">
        <v>12</v>
      </c>
      <c r="C34" s="22" t="s">
        <v>1676</v>
      </c>
      <c r="D34" s="22" t="s">
        <v>1677</v>
      </c>
      <c r="E34" s="22" t="s">
        <v>1678</v>
      </c>
      <c r="F34" s="22" t="s">
        <v>1679</v>
      </c>
      <c r="G34" s="22" t="s">
        <v>1245</v>
      </c>
      <c r="H34" s="22" t="s">
        <v>245</v>
      </c>
      <c r="I34" s="22" t="s">
        <v>1680</v>
      </c>
      <c r="J34" s="22" t="s">
        <v>1629</v>
      </c>
    </row>
    <row r="35" spans="1:10" x14ac:dyDescent="0.25">
      <c r="A35" s="22" t="s">
        <v>28</v>
      </c>
      <c r="B35" s="24" t="s">
        <v>13</v>
      </c>
      <c r="C35" s="22" t="s">
        <v>1681</v>
      </c>
      <c r="D35" s="22" t="s">
        <v>1682</v>
      </c>
      <c r="E35" s="22" t="s">
        <v>1683</v>
      </c>
      <c r="F35" s="22" t="s">
        <v>1684</v>
      </c>
      <c r="G35" s="22" t="s">
        <v>1685</v>
      </c>
      <c r="H35" s="22" t="s">
        <v>467</v>
      </c>
      <c r="I35" s="22" t="s">
        <v>1686</v>
      </c>
      <c r="J35" s="22" t="s">
        <v>1687</v>
      </c>
    </row>
    <row r="36" spans="1:10" x14ac:dyDescent="0.25">
      <c r="A36" s="22" t="s">
        <v>28</v>
      </c>
      <c r="B36" s="24" t="s">
        <v>14</v>
      </c>
      <c r="C36" s="22" t="s">
        <v>1688</v>
      </c>
      <c r="D36" s="22" t="s">
        <v>1689</v>
      </c>
      <c r="E36" s="22" t="s">
        <v>1690</v>
      </c>
      <c r="F36" s="22" t="s">
        <v>1691</v>
      </c>
      <c r="G36" s="22" t="s">
        <v>1256</v>
      </c>
      <c r="H36" s="22" t="s">
        <v>1656</v>
      </c>
      <c r="I36" s="22" t="s">
        <v>1692</v>
      </c>
      <c r="J36" s="22" t="s">
        <v>537</v>
      </c>
    </row>
    <row r="37" spans="1:10" x14ac:dyDescent="0.25">
      <c r="A37" s="22" t="s">
        <v>28</v>
      </c>
      <c r="B37" s="24" t="s">
        <v>15</v>
      </c>
      <c r="C37" s="22" t="s">
        <v>1693</v>
      </c>
      <c r="D37" s="22" t="s">
        <v>1694</v>
      </c>
      <c r="E37" s="22" t="s">
        <v>1695</v>
      </c>
      <c r="F37" s="22" t="s">
        <v>1696</v>
      </c>
      <c r="G37" s="22" t="s">
        <v>1697</v>
      </c>
      <c r="H37" s="22" t="s">
        <v>1463</v>
      </c>
      <c r="I37" s="22" t="s">
        <v>1698</v>
      </c>
      <c r="J37" s="22" t="s">
        <v>1699</v>
      </c>
    </row>
    <row r="38" spans="1:10" x14ac:dyDescent="0.25">
      <c r="A38" s="22" t="s">
        <v>30</v>
      </c>
      <c r="B38" s="24" t="s">
        <v>12</v>
      </c>
      <c r="C38" s="22" t="s">
        <v>1794</v>
      </c>
      <c r="D38" s="22" t="s">
        <v>1795</v>
      </c>
      <c r="E38" s="22" t="s">
        <v>1796</v>
      </c>
      <c r="F38" s="22" t="s">
        <v>1797</v>
      </c>
      <c r="G38" s="22" t="s">
        <v>1171</v>
      </c>
      <c r="H38" s="22" t="s">
        <v>772</v>
      </c>
      <c r="I38" s="22" t="s">
        <v>1798</v>
      </c>
      <c r="J38" s="22" t="s">
        <v>553</v>
      </c>
    </row>
    <row r="39" spans="1:10" x14ac:dyDescent="0.25">
      <c r="A39" s="22" t="s">
        <v>30</v>
      </c>
      <c r="B39" s="24" t="s">
        <v>13</v>
      </c>
      <c r="C39" s="22" t="s">
        <v>1799</v>
      </c>
      <c r="D39" s="22" t="s">
        <v>466</v>
      </c>
      <c r="E39" s="22" t="s">
        <v>1800</v>
      </c>
      <c r="F39" s="22" t="s">
        <v>1801</v>
      </c>
      <c r="G39" s="22" t="s">
        <v>1802</v>
      </c>
      <c r="H39" s="22" t="s">
        <v>1803</v>
      </c>
      <c r="I39" s="22" t="s">
        <v>1804</v>
      </c>
      <c r="J39" s="22" t="s">
        <v>1805</v>
      </c>
    </row>
    <row r="40" spans="1:10" x14ac:dyDescent="0.25">
      <c r="A40" s="22" t="s">
        <v>30</v>
      </c>
      <c r="B40" s="24" t="s">
        <v>14</v>
      </c>
      <c r="C40" s="22" t="s">
        <v>1806</v>
      </c>
      <c r="D40" s="22" t="s">
        <v>1807</v>
      </c>
      <c r="E40" s="22" t="s">
        <v>1808</v>
      </c>
      <c r="F40" s="22" t="s">
        <v>1809</v>
      </c>
      <c r="G40" s="22" t="s">
        <v>1109</v>
      </c>
      <c r="H40" s="22" t="s">
        <v>1148</v>
      </c>
      <c r="I40" s="22" t="s">
        <v>1810</v>
      </c>
      <c r="J40" s="22" t="s">
        <v>1561</v>
      </c>
    </row>
    <row r="41" spans="1:10" x14ac:dyDescent="0.25">
      <c r="A41" s="22" t="s">
        <v>30</v>
      </c>
      <c r="B41" s="24" t="s">
        <v>15</v>
      </c>
      <c r="C41" s="22" t="s">
        <v>1811</v>
      </c>
      <c r="D41" s="22" t="s">
        <v>1812</v>
      </c>
      <c r="E41" s="22" t="s">
        <v>1813</v>
      </c>
      <c r="F41" s="22" t="s">
        <v>1814</v>
      </c>
      <c r="G41" s="22" t="s">
        <v>1715</v>
      </c>
      <c r="H41" s="22" t="s">
        <v>1805</v>
      </c>
      <c r="I41" s="22" t="s">
        <v>1815</v>
      </c>
      <c r="J41" s="22" t="s">
        <v>272</v>
      </c>
    </row>
    <row r="42" spans="1:10" x14ac:dyDescent="0.25">
      <c r="A42" s="22" t="s">
        <v>44</v>
      </c>
      <c r="B42" s="24" t="s">
        <v>12</v>
      </c>
      <c r="C42" s="22" t="s">
        <v>1903</v>
      </c>
      <c r="D42" s="22" t="s">
        <v>1904</v>
      </c>
      <c r="E42" s="22" t="s">
        <v>1222</v>
      </c>
      <c r="F42" s="22" t="s">
        <v>1905</v>
      </c>
      <c r="G42" s="22" t="s">
        <v>944</v>
      </c>
      <c r="H42" s="22" t="s">
        <v>1251</v>
      </c>
      <c r="I42" s="22" t="s">
        <v>1906</v>
      </c>
      <c r="J42" s="22" t="s">
        <v>1907</v>
      </c>
    </row>
    <row r="43" spans="1:10" x14ac:dyDescent="0.25">
      <c r="A43" s="22" t="s">
        <v>44</v>
      </c>
      <c r="B43" s="24" t="s">
        <v>13</v>
      </c>
      <c r="C43" s="22" t="s">
        <v>1908</v>
      </c>
      <c r="D43" s="22" t="s">
        <v>1909</v>
      </c>
      <c r="E43" s="22" t="s">
        <v>1229</v>
      </c>
      <c r="F43" s="22" t="s">
        <v>1910</v>
      </c>
      <c r="G43" s="22" t="s">
        <v>1135</v>
      </c>
      <c r="H43" s="22" t="s">
        <v>607</v>
      </c>
      <c r="I43" s="22" t="s">
        <v>1911</v>
      </c>
      <c r="J43" s="22" t="s">
        <v>1827</v>
      </c>
    </row>
    <row r="44" spans="1:10" x14ac:dyDescent="0.25">
      <c r="A44" s="22" t="s">
        <v>44</v>
      </c>
      <c r="B44" s="24" t="s">
        <v>14</v>
      </c>
      <c r="C44" s="22" t="s">
        <v>1912</v>
      </c>
      <c r="D44" s="22" t="s">
        <v>1913</v>
      </c>
      <c r="E44" s="22" t="s">
        <v>1236</v>
      </c>
      <c r="F44" s="22" t="s">
        <v>1914</v>
      </c>
      <c r="G44" s="22" t="s">
        <v>1171</v>
      </c>
      <c r="H44" s="22" t="s">
        <v>1915</v>
      </c>
      <c r="I44" s="22" t="s">
        <v>1916</v>
      </c>
      <c r="J44" s="22" t="s">
        <v>526</v>
      </c>
    </row>
    <row r="45" spans="1:10" x14ac:dyDescent="0.25">
      <c r="A45" s="22" t="s">
        <v>44</v>
      </c>
      <c r="B45" s="24" t="s">
        <v>15</v>
      </c>
      <c r="C45" s="22" t="s">
        <v>1917</v>
      </c>
      <c r="D45" s="22" t="s">
        <v>1918</v>
      </c>
      <c r="E45" s="22" t="s">
        <v>1243</v>
      </c>
      <c r="F45" s="22" t="s">
        <v>1919</v>
      </c>
      <c r="G45" s="22" t="s">
        <v>1802</v>
      </c>
      <c r="H45" s="22" t="s">
        <v>1820</v>
      </c>
      <c r="I45" s="22" t="s">
        <v>1920</v>
      </c>
      <c r="J45" s="22" t="s">
        <v>1434</v>
      </c>
    </row>
    <row r="46" spans="1:10" x14ac:dyDescent="0.25">
      <c r="A46" s="22" t="s">
        <v>33</v>
      </c>
      <c r="B46" s="24" t="s">
        <v>12</v>
      </c>
      <c r="C46" s="22" t="s">
        <v>1992</v>
      </c>
      <c r="D46" s="22" t="s">
        <v>389</v>
      </c>
      <c r="E46" s="22" t="s">
        <v>1993</v>
      </c>
      <c r="F46" s="22" t="s">
        <v>1994</v>
      </c>
      <c r="G46" s="22" t="s">
        <v>379</v>
      </c>
      <c r="H46" s="22" t="s">
        <v>369</v>
      </c>
      <c r="I46" s="22" t="s">
        <v>1995</v>
      </c>
      <c r="J46" s="22" t="s">
        <v>390</v>
      </c>
    </row>
    <row r="47" spans="1:10" x14ac:dyDescent="0.25">
      <c r="A47" s="22" t="s">
        <v>33</v>
      </c>
      <c r="B47" s="24" t="s">
        <v>13</v>
      </c>
      <c r="C47" s="22" t="s">
        <v>1996</v>
      </c>
      <c r="D47" s="22" t="s">
        <v>393</v>
      </c>
      <c r="E47" s="22" t="s">
        <v>1997</v>
      </c>
      <c r="F47" s="22" t="s">
        <v>1998</v>
      </c>
      <c r="G47" s="22" t="s">
        <v>369</v>
      </c>
      <c r="H47" s="22" t="s">
        <v>197</v>
      </c>
      <c r="I47" s="22" t="s">
        <v>1999</v>
      </c>
      <c r="J47" s="22" t="s">
        <v>394</v>
      </c>
    </row>
    <row r="48" spans="1:10" x14ac:dyDescent="0.25">
      <c r="A48" s="22" t="s">
        <v>33</v>
      </c>
      <c r="B48" s="24" t="s">
        <v>14</v>
      </c>
      <c r="C48" s="22" t="s">
        <v>2000</v>
      </c>
      <c r="D48" s="22" t="s">
        <v>397</v>
      </c>
      <c r="E48" s="22" t="s">
        <v>2001</v>
      </c>
      <c r="F48" s="22" t="s">
        <v>2002</v>
      </c>
      <c r="G48" s="22" t="s">
        <v>361</v>
      </c>
      <c r="H48" s="22" t="s">
        <v>399</v>
      </c>
      <c r="I48" s="22" t="s">
        <v>2003</v>
      </c>
      <c r="J48" s="22" t="s">
        <v>398</v>
      </c>
    </row>
    <row r="49" spans="1:10" x14ac:dyDescent="0.25">
      <c r="A49" s="22" t="s">
        <v>33</v>
      </c>
      <c r="B49" s="24" t="s">
        <v>15</v>
      </c>
      <c r="C49" s="22" t="s">
        <v>2004</v>
      </c>
      <c r="D49" s="22" t="s">
        <v>402</v>
      </c>
      <c r="E49" s="22" t="s">
        <v>2005</v>
      </c>
      <c r="F49" s="22" t="s">
        <v>2006</v>
      </c>
      <c r="G49" s="22" t="s">
        <v>405</v>
      </c>
      <c r="H49" s="22" t="s">
        <v>404</v>
      </c>
      <c r="I49" s="22" t="s">
        <v>2007</v>
      </c>
      <c r="J49" s="22" t="s">
        <v>403</v>
      </c>
    </row>
    <row r="50" spans="1:10" x14ac:dyDescent="0.25">
      <c r="A50" s="22" t="s">
        <v>39</v>
      </c>
      <c r="B50" s="24" t="s">
        <v>12</v>
      </c>
      <c r="C50" s="22" t="s">
        <v>2088</v>
      </c>
      <c r="D50" s="22" t="s">
        <v>2089</v>
      </c>
      <c r="E50" s="22" t="s">
        <v>2090</v>
      </c>
      <c r="F50" s="22" t="s">
        <v>2091</v>
      </c>
      <c r="G50" s="22" t="s">
        <v>743</v>
      </c>
      <c r="H50" s="22" t="s">
        <v>1607</v>
      </c>
      <c r="I50" s="22" t="s">
        <v>2092</v>
      </c>
      <c r="J50" s="22" t="s">
        <v>491</v>
      </c>
    </row>
    <row r="51" spans="1:10" x14ac:dyDescent="0.25">
      <c r="A51" s="22" t="s">
        <v>39</v>
      </c>
      <c r="B51" s="24" t="s">
        <v>13</v>
      </c>
      <c r="C51" s="22" t="s">
        <v>2093</v>
      </c>
      <c r="D51" s="22" t="s">
        <v>2094</v>
      </c>
      <c r="E51" s="22" t="s">
        <v>2095</v>
      </c>
      <c r="F51" s="22" t="s">
        <v>2096</v>
      </c>
      <c r="G51" s="22" t="s">
        <v>1474</v>
      </c>
      <c r="H51" s="22" t="s">
        <v>2097</v>
      </c>
      <c r="I51" s="22" t="s">
        <v>2098</v>
      </c>
      <c r="J51" s="22" t="s">
        <v>861</v>
      </c>
    </row>
    <row r="52" spans="1:10" x14ac:dyDescent="0.25">
      <c r="A52" s="22" t="s">
        <v>39</v>
      </c>
      <c r="B52" s="24" t="s">
        <v>14</v>
      </c>
      <c r="C52" s="22" t="s">
        <v>2099</v>
      </c>
      <c r="D52" s="22" t="s">
        <v>1831</v>
      </c>
      <c r="E52" s="22" t="s">
        <v>2100</v>
      </c>
      <c r="F52" s="22" t="s">
        <v>2101</v>
      </c>
      <c r="G52" s="22" t="s">
        <v>1197</v>
      </c>
      <c r="H52" s="22" t="s">
        <v>1178</v>
      </c>
      <c r="I52" s="22" t="s">
        <v>2102</v>
      </c>
      <c r="J52" s="22" t="s">
        <v>1934</v>
      </c>
    </row>
    <row r="53" spans="1:10" x14ac:dyDescent="0.25">
      <c r="A53" s="22" t="s">
        <v>39</v>
      </c>
      <c r="B53" s="24" t="s">
        <v>15</v>
      </c>
      <c r="C53" s="22" t="s">
        <v>2103</v>
      </c>
      <c r="D53" s="22" t="s">
        <v>2104</v>
      </c>
      <c r="E53" s="22" t="s">
        <v>2105</v>
      </c>
      <c r="F53" s="22" t="s">
        <v>2106</v>
      </c>
      <c r="G53" s="22" t="s">
        <v>2107</v>
      </c>
      <c r="H53" s="22" t="s">
        <v>463</v>
      </c>
      <c r="I53" s="22" t="s">
        <v>2108</v>
      </c>
      <c r="J53" s="22" t="s">
        <v>537</v>
      </c>
    </row>
    <row r="54" spans="1:10" x14ac:dyDescent="0.25">
      <c r="A54" s="22" t="s">
        <v>36</v>
      </c>
      <c r="B54" s="24" t="s">
        <v>12</v>
      </c>
      <c r="C54" s="22" t="s">
        <v>2202</v>
      </c>
      <c r="D54" s="22" t="s">
        <v>2203</v>
      </c>
      <c r="E54" s="22" t="s">
        <v>2204</v>
      </c>
      <c r="F54" s="22" t="s">
        <v>2205</v>
      </c>
      <c r="G54" s="22" t="s">
        <v>478</v>
      </c>
      <c r="H54" s="22" t="s">
        <v>520</v>
      </c>
      <c r="I54" s="22" t="s">
        <v>2206</v>
      </c>
      <c r="J54" s="22" t="s">
        <v>923</v>
      </c>
    </row>
    <row r="55" spans="1:10" x14ac:dyDescent="0.25">
      <c r="A55" s="22" t="s">
        <v>36</v>
      </c>
      <c r="B55" s="24" t="s">
        <v>13</v>
      </c>
      <c r="C55" s="22" t="s">
        <v>2207</v>
      </c>
      <c r="D55" s="22" t="s">
        <v>2208</v>
      </c>
      <c r="E55" s="22" t="s">
        <v>2209</v>
      </c>
      <c r="F55" s="22" t="s">
        <v>2210</v>
      </c>
      <c r="G55" s="22" t="s">
        <v>518</v>
      </c>
      <c r="H55" s="22" t="s">
        <v>523</v>
      </c>
      <c r="I55" s="22" t="s">
        <v>2211</v>
      </c>
      <c r="J55" s="22" t="s">
        <v>2212</v>
      </c>
    </row>
    <row r="56" spans="1:10" x14ac:dyDescent="0.25">
      <c r="A56" s="22" t="s">
        <v>36</v>
      </c>
      <c r="B56" s="24" t="s">
        <v>14</v>
      </c>
      <c r="C56" s="22" t="s">
        <v>2213</v>
      </c>
      <c r="D56" s="22" t="s">
        <v>2214</v>
      </c>
      <c r="E56" s="22" t="s">
        <v>2215</v>
      </c>
      <c r="F56" s="22" t="s">
        <v>2216</v>
      </c>
      <c r="G56" s="22" t="s">
        <v>527</v>
      </c>
      <c r="H56" s="22" t="s">
        <v>526</v>
      </c>
      <c r="I56" s="22" t="s">
        <v>2217</v>
      </c>
      <c r="J56" s="22" t="s">
        <v>988</v>
      </c>
    </row>
    <row r="57" spans="1:10" x14ac:dyDescent="0.25">
      <c r="A57" s="22" t="s">
        <v>36</v>
      </c>
      <c r="B57" s="24" t="s">
        <v>15</v>
      </c>
      <c r="C57" s="22" t="s">
        <v>2218</v>
      </c>
      <c r="D57" s="22" t="s">
        <v>2219</v>
      </c>
      <c r="E57" s="22" t="s">
        <v>2220</v>
      </c>
      <c r="F57" s="22" t="s">
        <v>2221</v>
      </c>
      <c r="G57" s="22" t="s">
        <v>530</v>
      </c>
      <c r="H57" s="22" t="s">
        <v>1554</v>
      </c>
      <c r="I57" s="22" t="s">
        <v>2222</v>
      </c>
      <c r="J57" s="22" t="s">
        <v>814</v>
      </c>
    </row>
    <row r="58" spans="1:10" x14ac:dyDescent="0.25">
      <c r="A58" s="22" t="s">
        <v>38</v>
      </c>
      <c r="B58" s="24" t="s">
        <v>12</v>
      </c>
      <c r="C58" s="22" t="s">
        <v>2306</v>
      </c>
      <c r="D58" s="22" t="s">
        <v>2307</v>
      </c>
      <c r="E58" s="22" t="s">
        <v>2308</v>
      </c>
      <c r="F58" s="22" t="s">
        <v>2309</v>
      </c>
      <c r="G58" s="22" t="s">
        <v>994</v>
      </c>
      <c r="H58" s="22" t="s">
        <v>1524</v>
      </c>
      <c r="I58" s="22" t="s">
        <v>2310</v>
      </c>
      <c r="J58" s="22" t="s">
        <v>715</v>
      </c>
    </row>
    <row r="59" spans="1:10" x14ac:dyDescent="0.25">
      <c r="A59" s="22" t="s">
        <v>38</v>
      </c>
      <c r="B59" s="24" t="s">
        <v>13</v>
      </c>
      <c r="C59" s="22" t="s">
        <v>2311</v>
      </c>
      <c r="D59" s="22" t="s">
        <v>1265</v>
      </c>
      <c r="E59" s="22" t="s">
        <v>2312</v>
      </c>
      <c r="F59" s="22" t="s">
        <v>2313</v>
      </c>
      <c r="G59" s="22" t="s">
        <v>986</v>
      </c>
      <c r="H59" s="22" t="s">
        <v>2314</v>
      </c>
      <c r="I59" s="22" t="s">
        <v>2315</v>
      </c>
      <c r="J59" s="22" t="s">
        <v>2316</v>
      </c>
    </row>
    <row r="60" spans="1:10" x14ac:dyDescent="0.25">
      <c r="A60" s="22" t="s">
        <v>38</v>
      </c>
      <c r="B60" s="24" t="s">
        <v>14</v>
      </c>
      <c r="C60" s="22" t="s">
        <v>2317</v>
      </c>
      <c r="D60" s="22" t="s">
        <v>1775</v>
      </c>
      <c r="E60" s="22" t="s">
        <v>2318</v>
      </c>
      <c r="F60" s="22" t="s">
        <v>2319</v>
      </c>
      <c r="G60" s="22" t="s">
        <v>1432</v>
      </c>
      <c r="H60" s="22" t="s">
        <v>1943</v>
      </c>
      <c r="I60" s="22" t="s">
        <v>2320</v>
      </c>
      <c r="J60" s="22" t="s">
        <v>900</v>
      </c>
    </row>
    <row r="61" spans="1:10" x14ac:dyDescent="0.25">
      <c r="A61" s="22" t="s">
        <v>38</v>
      </c>
      <c r="B61" s="24" t="s">
        <v>15</v>
      </c>
      <c r="C61" s="22" t="s">
        <v>2321</v>
      </c>
      <c r="D61" s="22" t="s">
        <v>2322</v>
      </c>
      <c r="E61" s="22" t="s">
        <v>2323</v>
      </c>
      <c r="F61" s="22" t="s">
        <v>2324</v>
      </c>
      <c r="G61" s="22" t="s">
        <v>1330</v>
      </c>
      <c r="H61" s="22" t="s">
        <v>2131</v>
      </c>
      <c r="I61" s="22" t="s">
        <v>2325</v>
      </c>
      <c r="J61" s="22" t="s">
        <v>278</v>
      </c>
    </row>
    <row r="62" spans="1:10" x14ac:dyDescent="0.25">
      <c r="A62" s="22" t="s">
        <v>41</v>
      </c>
      <c r="B62" s="24" t="s">
        <v>12</v>
      </c>
      <c r="C62" s="22" t="s">
        <v>2411</v>
      </c>
      <c r="D62" s="22" t="s">
        <v>755</v>
      </c>
      <c r="E62" s="22" t="s">
        <v>2412</v>
      </c>
      <c r="F62" s="22" t="s">
        <v>2413</v>
      </c>
      <c r="G62" s="22" t="s">
        <v>2414</v>
      </c>
      <c r="H62" s="22" t="s">
        <v>2415</v>
      </c>
      <c r="I62" s="22" t="s">
        <v>2416</v>
      </c>
      <c r="J62" s="22" t="s">
        <v>1443</v>
      </c>
    </row>
    <row r="63" spans="1:10" x14ac:dyDescent="0.25">
      <c r="A63" s="22" t="s">
        <v>41</v>
      </c>
      <c r="B63" s="24" t="s">
        <v>13</v>
      </c>
      <c r="C63" s="22" t="s">
        <v>2417</v>
      </c>
      <c r="D63" s="22" t="s">
        <v>2418</v>
      </c>
      <c r="E63" s="22" t="s">
        <v>2419</v>
      </c>
      <c r="F63" s="22" t="s">
        <v>2420</v>
      </c>
      <c r="G63" s="22" t="s">
        <v>2421</v>
      </c>
      <c r="H63" s="22" t="s">
        <v>2422</v>
      </c>
      <c r="I63" s="22" t="s">
        <v>2423</v>
      </c>
      <c r="J63" s="22" t="s">
        <v>2424</v>
      </c>
    </row>
    <row r="64" spans="1:10" x14ac:dyDescent="0.25">
      <c r="A64" s="22" t="s">
        <v>41</v>
      </c>
      <c r="B64" s="24" t="s">
        <v>14</v>
      </c>
      <c r="C64" s="22" t="s">
        <v>2425</v>
      </c>
      <c r="D64" s="22" t="s">
        <v>2426</v>
      </c>
      <c r="E64" s="22" t="s">
        <v>2427</v>
      </c>
      <c r="F64" s="22" t="s">
        <v>2428</v>
      </c>
      <c r="G64" s="22" t="s">
        <v>2429</v>
      </c>
      <c r="H64" s="22" t="s">
        <v>2430</v>
      </c>
      <c r="I64" s="22" t="s">
        <v>2431</v>
      </c>
      <c r="J64" s="22" t="s">
        <v>646</v>
      </c>
    </row>
    <row r="65" spans="1:10" x14ac:dyDescent="0.25">
      <c r="A65" s="22" t="s">
        <v>41</v>
      </c>
      <c r="B65" s="24" t="s">
        <v>15</v>
      </c>
      <c r="C65" s="22" t="s">
        <v>2432</v>
      </c>
      <c r="D65" s="22" t="s">
        <v>2433</v>
      </c>
      <c r="E65" s="22" t="s">
        <v>2434</v>
      </c>
      <c r="F65" s="22" t="s">
        <v>2435</v>
      </c>
      <c r="G65" s="22" t="s">
        <v>2421</v>
      </c>
      <c r="H65" s="22" t="s">
        <v>2119</v>
      </c>
      <c r="I65" s="22" t="s">
        <v>2436</v>
      </c>
      <c r="J65" s="22" t="s">
        <v>836</v>
      </c>
    </row>
    <row r="66" spans="1:10" x14ac:dyDescent="0.25">
      <c r="A66" s="22" t="s">
        <v>37</v>
      </c>
      <c r="B66" s="24" t="s">
        <v>12</v>
      </c>
      <c r="C66" s="22" t="s">
        <v>2536</v>
      </c>
      <c r="D66" s="22" t="s">
        <v>2296</v>
      </c>
      <c r="E66" s="22" t="s">
        <v>2537</v>
      </c>
      <c r="F66" s="22" t="s">
        <v>2538</v>
      </c>
      <c r="G66" s="22" t="s">
        <v>2539</v>
      </c>
      <c r="H66" s="22" t="s">
        <v>2540</v>
      </c>
      <c r="I66" s="22" t="s">
        <v>2541</v>
      </c>
      <c r="J66" s="22" t="s">
        <v>1552</v>
      </c>
    </row>
    <row r="67" spans="1:10" x14ac:dyDescent="0.25">
      <c r="A67" s="22" t="s">
        <v>37</v>
      </c>
      <c r="B67" s="24" t="s">
        <v>13</v>
      </c>
      <c r="C67" s="22" t="s">
        <v>2542</v>
      </c>
      <c r="D67" s="22" t="s">
        <v>2543</v>
      </c>
      <c r="E67" s="22" t="s">
        <v>2544</v>
      </c>
      <c r="F67" s="22" t="s">
        <v>2545</v>
      </c>
      <c r="G67" s="22" t="s">
        <v>2546</v>
      </c>
      <c r="H67" s="22" t="s">
        <v>2547</v>
      </c>
      <c r="I67" s="22" t="s">
        <v>2548</v>
      </c>
      <c r="J67" s="22" t="s">
        <v>2549</v>
      </c>
    </row>
    <row r="68" spans="1:10" x14ac:dyDescent="0.25">
      <c r="A68" s="22" t="s">
        <v>37</v>
      </c>
      <c r="B68" s="24" t="s">
        <v>14</v>
      </c>
      <c r="C68" s="22" t="s">
        <v>2550</v>
      </c>
      <c r="D68" s="22" t="s">
        <v>2551</v>
      </c>
      <c r="E68" s="22" t="s">
        <v>2552</v>
      </c>
      <c r="F68" s="22" t="s">
        <v>2553</v>
      </c>
      <c r="G68" s="22" t="s">
        <v>2554</v>
      </c>
      <c r="H68" s="22" t="s">
        <v>680</v>
      </c>
      <c r="I68" s="22" t="s">
        <v>2555</v>
      </c>
      <c r="J68" s="22" t="s">
        <v>1938</v>
      </c>
    </row>
    <row r="69" spans="1:10" x14ac:dyDescent="0.25">
      <c r="A69" s="22" t="s">
        <v>37</v>
      </c>
      <c r="B69" s="24" t="s">
        <v>15</v>
      </c>
      <c r="C69" s="22" t="s">
        <v>2556</v>
      </c>
      <c r="D69" s="22" t="s">
        <v>990</v>
      </c>
      <c r="E69" s="22" t="s">
        <v>2557</v>
      </c>
      <c r="F69" s="22" t="s">
        <v>2558</v>
      </c>
      <c r="G69" s="22" t="s">
        <v>2559</v>
      </c>
      <c r="H69" s="22" t="s">
        <v>1827</v>
      </c>
      <c r="I69" s="22" t="s">
        <v>2560</v>
      </c>
      <c r="J69" s="22" t="s">
        <v>361</v>
      </c>
    </row>
    <row r="70" spans="1:10" x14ac:dyDescent="0.25">
      <c r="A70" s="22" t="s">
        <v>42</v>
      </c>
      <c r="B70" s="24" t="s">
        <v>12</v>
      </c>
      <c r="C70" s="22" t="s">
        <v>2658</v>
      </c>
      <c r="D70" s="22" t="s">
        <v>2659</v>
      </c>
      <c r="E70" s="22" t="s">
        <v>2660</v>
      </c>
      <c r="F70" s="22" t="s">
        <v>2661</v>
      </c>
      <c r="G70" s="22" t="s">
        <v>2662</v>
      </c>
      <c r="H70" s="22" t="s">
        <v>2424</v>
      </c>
      <c r="I70" s="22" t="s">
        <v>2663</v>
      </c>
      <c r="J70" s="22" t="s">
        <v>1286</v>
      </c>
    </row>
    <row r="71" spans="1:10" x14ac:dyDescent="0.25">
      <c r="A71" s="22" t="s">
        <v>42</v>
      </c>
      <c r="B71" s="24" t="s">
        <v>13</v>
      </c>
      <c r="C71" s="22" t="s">
        <v>2664</v>
      </c>
      <c r="D71" s="22" t="s">
        <v>382</v>
      </c>
      <c r="E71" s="22" t="s">
        <v>2665</v>
      </c>
      <c r="F71" s="22" t="s">
        <v>2666</v>
      </c>
      <c r="G71" s="22" t="s">
        <v>2667</v>
      </c>
      <c r="H71" s="22" t="s">
        <v>825</v>
      </c>
      <c r="I71" s="22" t="s">
        <v>2668</v>
      </c>
      <c r="J71" s="22" t="s">
        <v>686</v>
      </c>
    </row>
    <row r="72" spans="1:10" x14ac:dyDescent="0.25">
      <c r="A72" s="22" t="s">
        <v>42</v>
      </c>
      <c r="B72" s="24" t="s">
        <v>14</v>
      </c>
      <c r="C72" s="22" t="s">
        <v>2669</v>
      </c>
      <c r="D72" s="22" t="s">
        <v>2670</v>
      </c>
      <c r="E72" s="22" t="s">
        <v>2671</v>
      </c>
      <c r="F72" s="22" t="s">
        <v>2672</v>
      </c>
      <c r="G72" s="22" t="s">
        <v>2673</v>
      </c>
      <c r="H72" s="22" t="s">
        <v>708</v>
      </c>
      <c r="I72" s="22" t="s">
        <v>2674</v>
      </c>
      <c r="J72" s="22" t="s">
        <v>2675</v>
      </c>
    </row>
    <row r="73" spans="1:10" x14ac:dyDescent="0.25">
      <c r="A73" s="22" t="s">
        <v>42</v>
      </c>
      <c r="B73" s="24" t="s">
        <v>15</v>
      </c>
      <c r="C73" s="22" t="s">
        <v>2676</v>
      </c>
      <c r="D73" s="22" t="s">
        <v>2677</v>
      </c>
      <c r="E73" s="22" t="s">
        <v>2678</v>
      </c>
      <c r="F73" s="22" t="s">
        <v>2679</v>
      </c>
      <c r="G73" s="22" t="s">
        <v>2680</v>
      </c>
      <c r="H73" s="22" t="s">
        <v>686</v>
      </c>
      <c r="I73" s="22" t="s">
        <v>2681</v>
      </c>
      <c r="J73" s="22" t="s">
        <v>2675</v>
      </c>
    </row>
    <row r="74" spans="1:10" x14ac:dyDescent="0.25">
      <c r="A74" s="22" t="s">
        <v>45</v>
      </c>
      <c r="B74" s="24" t="s">
        <v>12</v>
      </c>
      <c r="C74" s="22" t="s">
        <v>2776</v>
      </c>
      <c r="D74" s="22" t="s">
        <v>2777</v>
      </c>
      <c r="E74" s="22" t="s">
        <v>2778</v>
      </c>
      <c r="F74" s="22" t="s">
        <v>2779</v>
      </c>
      <c r="G74" s="22" t="s">
        <v>1256</v>
      </c>
      <c r="H74" s="22" t="s">
        <v>2051</v>
      </c>
      <c r="I74" s="22" t="s">
        <v>2780</v>
      </c>
      <c r="J74" s="22" t="s">
        <v>337</v>
      </c>
    </row>
    <row r="75" spans="1:10" x14ac:dyDescent="0.25">
      <c r="A75" s="22" t="s">
        <v>45</v>
      </c>
      <c r="B75" s="24" t="s">
        <v>13</v>
      </c>
      <c r="C75" s="22" t="s">
        <v>2781</v>
      </c>
      <c r="D75" s="22" t="s">
        <v>2782</v>
      </c>
      <c r="E75" s="22" t="s">
        <v>2783</v>
      </c>
      <c r="F75" s="22" t="s">
        <v>2784</v>
      </c>
      <c r="G75" s="22" t="s">
        <v>2785</v>
      </c>
      <c r="H75" s="22" t="s">
        <v>2786</v>
      </c>
      <c r="I75" s="22" t="s">
        <v>2787</v>
      </c>
      <c r="J75" s="22" t="s">
        <v>880</v>
      </c>
    </row>
    <row r="76" spans="1:10" x14ac:dyDescent="0.25">
      <c r="A76" s="22" t="s">
        <v>45</v>
      </c>
      <c r="B76" s="24" t="s">
        <v>14</v>
      </c>
      <c r="C76" s="22" t="s">
        <v>2788</v>
      </c>
      <c r="D76" s="22" t="s">
        <v>2789</v>
      </c>
      <c r="E76" s="22" t="s">
        <v>2790</v>
      </c>
      <c r="F76" s="22" t="s">
        <v>2791</v>
      </c>
      <c r="G76" s="22" t="s">
        <v>1245</v>
      </c>
      <c r="H76" s="22" t="s">
        <v>302</v>
      </c>
      <c r="I76" s="22" t="s">
        <v>2792</v>
      </c>
      <c r="J76" s="22" t="s">
        <v>2107</v>
      </c>
    </row>
    <row r="77" spans="1:10" x14ac:dyDescent="0.25">
      <c r="A77" s="22" t="s">
        <v>45</v>
      </c>
      <c r="B77" s="24" t="s">
        <v>15</v>
      </c>
      <c r="C77" s="22" t="s">
        <v>2793</v>
      </c>
      <c r="D77" s="22" t="s">
        <v>2794</v>
      </c>
      <c r="E77" s="22" t="s">
        <v>2795</v>
      </c>
      <c r="F77" s="22" t="s">
        <v>2796</v>
      </c>
      <c r="G77" s="22" t="s">
        <v>1643</v>
      </c>
      <c r="H77" s="22" t="s">
        <v>2797</v>
      </c>
      <c r="I77" s="22" t="s">
        <v>2798</v>
      </c>
      <c r="J77" s="22" t="s">
        <v>461</v>
      </c>
    </row>
    <row r="78" spans="1:10" x14ac:dyDescent="0.25">
      <c r="A78" s="22" t="s">
        <v>35</v>
      </c>
      <c r="B78" s="24" t="s">
        <v>12</v>
      </c>
      <c r="C78" s="22" t="s">
        <v>2879</v>
      </c>
      <c r="D78" s="22" t="s">
        <v>2880</v>
      </c>
      <c r="E78" s="22" t="s">
        <v>2881</v>
      </c>
      <c r="F78" s="22" t="s">
        <v>2882</v>
      </c>
      <c r="G78" s="22" t="s">
        <v>2731</v>
      </c>
      <c r="H78" s="22" t="s">
        <v>937</v>
      </c>
      <c r="I78" s="22" t="s">
        <v>2883</v>
      </c>
      <c r="J78" s="22" t="s">
        <v>1286</v>
      </c>
    </row>
    <row r="79" spans="1:10" x14ac:dyDescent="0.25">
      <c r="A79" s="22" t="s">
        <v>35</v>
      </c>
      <c r="B79" s="24" t="s">
        <v>13</v>
      </c>
      <c r="C79" s="22" t="s">
        <v>2884</v>
      </c>
      <c r="D79" s="22" t="s">
        <v>2885</v>
      </c>
      <c r="E79" s="22" t="s">
        <v>2886</v>
      </c>
      <c r="F79" s="22" t="s">
        <v>2887</v>
      </c>
      <c r="G79" s="22" t="s">
        <v>1715</v>
      </c>
      <c r="H79" s="22" t="s">
        <v>1559</v>
      </c>
      <c r="I79" s="22" t="s">
        <v>2888</v>
      </c>
      <c r="J79" s="22" t="s">
        <v>508</v>
      </c>
    </row>
    <row r="80" spans="1:10" x14ac:dyDescent="0.25">
      <c r="A80" s="22" t="s">
        <v>35</v>
      </c>
      <c r="B80" s="24" t="s">
        <v>14</v>
      </c>
      <c r="C80" s="22" t="s">
        <v>2889</v>
      </c>
      <c r="D80" s="22" t="s">
        <v>2444</v>
      </c>
      <c r="E80" s="22" t="s">
        <v>2890</v>
      </c>
      <c r="F80" s="22" t="s">
        <v>2891</v>
      </c>
      <c r="G80" s="22" t="s">
        <v>2892</v>
      </c>
      <c r="H80" s="22" t="s">
        <v>2424</v>
      </c>
      <c r="I80" s="22" t="s">
        <v>2893</v>
      </c>
      <c r="J80" s="22" t="s">
        <v>1669</v>
      </c>
    </row>
    <row r="81" spans="1:10" x14ac:dyDescent="0.25">
      <c r="A81" s="22" t="s">
        <v>35</v>
      </c>
      <c r="B81" s="24" t="s">
        <v>15</v>
      </c>
      <c r="C81" s="22" t="s">
        <v>2894</v>
      </c>
      <c r="D81" s="22" t="s">
        <v>2895</v>
      </c>
      <c r="E81" s="22" t="s">
        <v>2896</v>
      </c>
      <c r="F81" s="22" t="s">
        <v>2897</v>
      </c>
      <c r="G81" s="22" t="s">
        <v>1245</v>
      </c>
      <c r="H81" s="22" t="s">
        <v>1095</v>
      </c>
      <c r="I81" s="22" t="s">
        <v>2898</v>
      </c>
      <c r="J81" s="22" t="s">
        <v>1180</v>
      </c>
    </row>
    <row r="82" spans="1:10" x14ac:dyDescent="0.25">
      <c r="A82" s="22" t="s">
        <v>43</v>
      </c>
      <c r="B82" s="24" t="s">
        <v>12</v>
      </c>
      <c r="C82" s="22" t="s">
        <v>2989</v>
      </c>
      <c r="D82" s="22" t="s">
        <v>2990</v>
      </c>
      <c r="E82" s="22" t="s">
        <v>2991</v>
      </c>
      <c r="F82" s="22" t="s">
        <v>2992</v>
      </c>
      <c r="G82" s="22" t="s">
        <v>2993</v>
      </c>
      <c r="H82" s="22" t="s">
        <v>2994</v>
      </c>
      <c r="I82" s="22" t="s">
        <v>2995</v>
      </c>
      <c r="J82" s="22" t="s">
        <v>202</v>
      </c>
    </row>
    <row r="83" spans="1:10" x14ac:dyDescent="0.25">
      <c r="A83" s="22" t="s">
        <v>43</v>
      </c>
      <c r="B83" s="24" t="s">
        <v>13</v>
      </c>
      <c r="C83" s="22" t="s">
        <v>2996</v>
      </c>
      <c r="D83" s="22" t="s">
        <v>2575</v>
      </c>
      <c r="E83" s="22" t="s">
        <v>2997</v>
      </c>
      <c r="F83" s="22" t="s">
        <v>2998</v>
      </c>
      <c r="G83" s="22" t="s">
        <v>2999</v>
      </c>
      <c r="H83" s="22" t="s">
        <v>3000</v>
      </c>
      <c r="I83" s="22" t="s">
        <v>3001</v>
      </c>
      <c r="J83" s="22" t="s">
        <v>1095</v>
      </c>
    </row>
    <row r="84" spans="1:10" x14ac:dyDescent="0.25">
      <c r="A84" s="22" t="s">
        <v>43</v>
      </c>
      <c r="B84" s="24" t="s">
        <v>14</v>
      </c>
      <c r="C84" s="22" t="s">
        <v>3002</v>
      </c>
      <c r="D84" s="22" t="s">
        <v>3003</v>
      </c>
      <c r="E84" s="22" t="s">
        <v>3004</v>
      </c>
      <c r="F84" s="22" t="s">
        <v>3005</v>
      </c>
      <c r="G84" s="22" t="s">
        <v>3006</v>
      </c>
      <c r="H84" s="22" t="s">
        <v>3007</v>
      </c>
      <c r="I84" s="22" t="s">
        <v>3008</v>
      </c>
      <c r="J84" s="22" t="s">
        <v>1159</v>
      </c>
    </row>
    <row r="85" spans="1:10" x14ac:dyDescent="0.25">
      <c r="A85" s="22" t="s">
        <v>43</v>
      </c>
      <c r="B85" s="24" t="s">
        <v>15</v>
      </c>
      <c r="C85" s="22" t="s">
        <v>3009</v>
      </c>
      <c r="D85" s="22" t="s">
        <v>3010</v>
      </c>
      <c r="E85" s="22" t="s">
        <v>3011</v>
      </c>
      <c r="F85" s="22" t="s">
        <v>3012</v>
      </c>
      <c r="G85" s="22" t="s">
        <v>3013</v>
      </c>
      <c r="H85" s="22" t="s">
        <v>2053</v>
      </c>
      <c r="I85" s="22" t="s">
        <v>3014</v>
      </c>
      <c r="J85" s="22" t="s">
        <v>357</v>
      </c>
    </row>
    <row r="86" spans="1:10" x14ac:dyDescent="0.25">
      <c r="A86" s="22" t="s">
        <v>46</v>
      </c>
      <c r="B86" s="24" t="s">
        <v>12</v>
      </c>
      <c r="C86" s="22" t="s">
        <v>3104</v>
      </c>
      <c r="D86" s="22" t="s">
        <v>3105</v>
      </c>
      <c r="E86" s="22" t="s">
        <v>3106</v>
      </c>
      <c r="F86" s="22" t="s">
        <v>3107</v>
      </c>
      <c r="G86" s="22" t="s">
        <v>3108</v>
      </c>
      <c r="H86" s="22" t="s">
        <v>780</v>
      </c>
      <c r="I86" s="22" t="s">
        <v>3109</v>
      </c>
      <c r="J86" s="22" t="s">
        <v>3110</v>
      </c>
    </row>
    <row r="87" spans="1:10" x14ac:dyDescent="0.25">
      <c r="A87" s="22" t="s">
        <v>46</v>
      </c>
      <c r="B87" s="24" t="s">
        <v>13</v>
      </c>
      <c r="C87" s="22" t="s">
        <v>3111</v>
      </c>
      <c r="D87" s="22" t="s">
        <v>3112</v>
      </c>
      <c r="E87" s="22" t="s">
        <v>3113</v>
      </c>
      <c r="F87" s="22" t="s">
        <v>3114</v>
      </c>
      <c r="G87" s="22" t="s">
        <v>2637</v>
      </c>
      <c r="H87" s="22" t="s">
        <v>1385</v>
      </c>
      <c r="I87" s="22" t="s">
        <v>3115</v>
      </c>
      <c r="J87" s="22" t="s">
        <v>418</v>
      </c>
    </row>
    <row r="88" spans="1:10" x14ac:dyDescent="0.25">
      <c r="A88" s="22" t="s">
        <v>46</v>
      </c>
      <c r="B88" s="24" t="s">
        <v>14</v>
      </c>
      <c r="C88" s="22" t="s">
        <v>3116</v>
      </c>
      <c r="D88" s="22" t="s">
        <v>3117</v>
      </c>
      <c r="E88" s="22" t="s">
        <v>3118</v>
      </c>
      <c r="F88" s="22" t="s">
        <v>3119</v>
      </c>
      <c r="G88" s="22" t="s">
        <v>3120</v>
      </c>
      <c r="H88" s="22" t="s">
        <v>685</v>
      </c>
      <c r="I88" s="22" t="s">
        <v>3121</v>
      </c>
      <c r="J88" s="22" t="s">
        <v>838</v>
      </c>
    </row>
    <row r="89" spans="1:10" x14ac:dyDescent="0.25">
      <c r="A89" s="22" t="s">
        <v>46</v>
      </c>
      <c r="B89" s="24" t="s">
        <v>15</v>
      </c>
      <c r="C89" s="22" t="s">
        <v>3122</v>
      </c>
      <c r="D89" s="22" t="s">
        <v>3123</v>
      </c>
      <c r="E89" s="22" t="s">
        <v>3124</v>
      </c>
      <c r="F89" s="22" t="s">
        <v>3125</v>
      </c>
      <c r="G89" s="22" t="s">
        <v>3120</v>
      </c>
      <c r="H89" s="22" t="s">
        <v>1263</v>
      </c>
      <c r="I89" s="22" t="s">
        <v>3126</v>
      </c>
      <c r="J89" s="22" t="s">
        <v>1002</v>
      </c>
    </row>
    <row r="90" spans="1:10" x14ac:dyDescent="0.25">
      <c r="A90" s="22" t="s">
        <v>47</v>
      </c>
      <c r="B90" s="24" t="s">
        <v>12</v>
      </c>
      <c r="C90" s="22" t="s">
        <v>3226</v>
      </c>
      <c r="D90" s="22" t="s">
        <v>3227</v>
      </c>
      <c r="E90" s="22" t="s">
        <v>3228</v>
      </c>
      <c r="F90" s="22" t="s">
        <v>3229</v>
      </c>
      <c r="G90" s="22" t="s">
        <v>3230</v>
      </c>
      <c r="H90" s="22" t="s">
        <v>1324</v>
      </c>
      <c r="I90" s="22" t="s">
        <v>3231</v>
      </c>
      <c r="J90" s="22" t="s">
        <v>272</v>
      </c>
    </row>
    <row r="91" spans="1:10" x14ac:dyDescent="0.25">
      <c r="A91" s="22" t="s">
        <v>47</v>
      </c>
      <c r="B91" s="24" t="s">
        <v>13</v>
      </c>
      <c r="C91" s="22" t="s">
        <v>3232</v>
      </c>
      <c r="D91" s="22" t="s">
        <v>3233</v>
      </c>
      <c r="E91" s="22" t="s">
        <v>3234</v>
      </c>
      <c r="F91" s="22" t="s">
        <v>3235</v>
      </c>
      <c r="G91" s="22" t="s">
        <v>3236</v>
      </c>
      <c r="H91" s="22" t="s">
        <v>2662</v>
      </c>
      <c r="I91" s="22" t="s">
        <v>3237</v>
      </c>
      <c r="J91" s="22" t="s">
        <v>1793</v>
      </c>
    </row>
    <row r="92" spans="1:10" x14ac:dyDescent="0.25">
      <c r="A92" s="22" t="s">
        <v>47</v>
      </c>
      <c r="B92" s="24" t="s">
        <v>14</v>
      </c>
      <c r="C92" s="22" t="s">
        <v>3238</v>
      </c>
      <c r="D92" s="22" t="s">
        <v>3239</v>
      </c>
      <c r="E92" s="22" t="s">
        <v>3240</v>
      </c>
      <c r="F92" s="22" t="s">
        <v>3241</v>
      </c>
      <c r="G92" s="22" t="s">
        <v>3242</v>
      </c>
      <c r="H92" s="22" t="s">
        <v>1948</v>
      </c>
      <c r="I92" s="22" t="s">
        <v>3243</v>
      </c>
      <c r="J92" s="22" t="s">
        <v>1246</v>
      </c>
    </row>
    <row r="93" spans="1:10" x14ac:dyDescent="0.25">
      <c r="A93" s="22" t="s">
        <v>47</v>
      </c>
      <c r="B93" s="24" t="s">
        <v>15</v>
      </c>
      <c r="C93" s="22" t="s">
        <v>3244</v>
      </c>
      <c r="D93" s="22" t="s">
        <v>3245</v>
      </c>
      <c r="E93" s="22" t="s">
        <v>3246</v>
      </c>
      <c r="F93" s="22" t="s">
        <v>3247</v>
      </c>
      <c r="G93" s="22" t="s">
        <v>3248</v>
      </c>
      <c r="H93" s="22" t="s">
        <v>2732</v>
      </c>
      <c r="I93" s="22" t="s">
        <v>3249</v>
      </c>
      <c r="J93" s="22" t="s">
        <v>1699</v>
      </c>
    </row>
    <row r="94" spans="1:10" x14ac:dyDescent="0.25">
      <c r="A94" s="22" t="s">
        <v>40</v>
      </c>
      <c r="B94" s="24" t="s">
        <v>12</v>
      </c>
      <c r="C94" s="22" t="s">
        <v>3347</v>
      </c>
      <c r="D94" s="22" t="s">
        <v>3348</v>
      </c>
      <c r="E94" s="22" t="s">
        <v>3349</v>
      </c>
      <c r="F94" s="22" t="s">
        <v>3350</v>
      </c>
      <c r="G94" s="22" t="s">
        <v>2401</v>
      </c>
      <c r="H94" s="22" t="s">
        <v>3000</v>
      </c>
      <c r="I94" s="22" t="s">
        <v>3351</v>
      </c>
      <c r="J94" s="22" t="s">
        <v>736</v>
      </c>
    </row>
    <row r="95" spans="1:10" x14ac:dyDescent="0.25">
      <c r="A95" s="22" t="s">
        <v>40</v>
      </c>
      <c r="B95" s="24" t="s">
        <v>13</v>
      </c>
      <c r="C95" s="22" t="s">
        <v>3352</v>
      </c>
      <c r="D95" s="22" t="s">
        <v>3353</v>
      </c>
      <c r="E95" s="22" t="s">
        <v>3354</v>
      </c>
      <c r="F95" s="22" t="s">
        <v>3355</v>
      </c>
      <c r="G95" s="22" t="s">
        <v>492</v>
      </c>
      <c r="H95" s="22" t="s">
        <v>3356</v>
      </c>
      <c r="I95" s="22" t="s">
        <v>3357</v>
      </c>
      <c r="J95" s="22" t="s">
        <v>686</v>
      </c>
    </row>
    <row r="96" spans="1:10" x14ac:dyDescent="0.25">
      <c r="A96" s="22" t="s">
        <v>40</v>
      </c>
      <c r="B96" s="24" t="s">
        <v>14</v>
      </c>
      <c r="C96" s="22" t="s">
        <v>3358</v>
      </c>
      <c r="D96" s="22" t="s">
        <v>3359</v>
      </c>
      <c r="E96" s="22" t="s">
        <v>3360</v>
      </c>
      <c r="F96" s="22" t="s">
        <v>3361</v>
      </c>
      <c r="G96" s="22" t="s">
        <v>1425</v>
      </c>
      <c r="H96" s="22" t="s">
        <v>1379</v>
      </c>
      <c r="I96" s="22" t="s">
        <v>3362</v>
      </c>
      <c r="J96" s="22" t="s">
        <v>1082</v>
      </c>
    </row>
    <row r="97" spans="1:10" x14ac:dyDescent="0.25">
      <c r="A97" s="22" t="s">
        <v>40</v>
      </c>
      <c r="B97" s="24" t="s">
        <v>15</v>
      </c>
      <c r="C97" s="22" t="s">
        <v>3363</v>
      </c>
      <c r="D97" s="22" t="s">
        <v>1677</v>
      </c>
      <c r="E97" s="22" t="s">
        <v>3364</v>
      </c>
      <c r="F97" s="22" t="s">
        <v>3365</v>
      </c>
      <c r="G97" s="22" t="s">
        <v>1324</v>
      </c>
      <c r="H97" s="22" t="s">
        <v>1052</v>
      </c>
      <c r="I97" s="22" t="s">
        <v>3366</v>
      </c>
      <c r="J97" s="22" t="s">
        <v>1075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D59C-59B3-4141-8294-8C71F6883116}">
  <dimension ref="A1:J97"/>
  <sheetViews>
    <sheetView topLeftCell="A87" workbookViewId="0">
      <selection activeCell="A94" sqref="A94:XFD97"/>
    </sheetView>
  </sheetViews>
  <sheetFormatPr defaultRowHeight="15" x14ac:dyDescent="0.25"/>
  <sheetData>
    <row r="1" spans="1:10" x14ac:dyDescent="0.25">
      <c r="A1" s="22" t="s">
        <v>634</v>
      </c>
      <c r="B1" s="22" t="s">
        <v>1</v>
      </c>
      <c r="C1" s="23" t="s">
        <v>49</v>
      </c>
      <c r="D1" s="23" t="s">
        <v>51</v>
      </c>
      <c r="E1" s="22" t="s">
        <v>638</v>
      </c>
      <c r="F1" s="22" t="s">
        <v>53</v>
      </c>
      <c r="G1" s="23" t="s">
        <v>54</v>
      </c>
      <c r="H1" s="23" t="s">
        <v>55</v>
      </c>
      <c r="I1" s="22" t="s">
        <v>56</v>
      </c>
      <c r="J1" s="23" t="s">
        <v>57</v>
      </c>
    </row>
    <row r="2" spans="1:10" x14ac:dyDescent="0.25">
      <c r="A2" s="22" t="s">
        <v>24</v>
      </c>
      <c r="B2" s="24" t="s">
        <v>16</v>
      </c>
      <c r="C2" s="22" t="s">
        <v>723</v>
      </c>
      <c r="D2" s="22" t="s">
        <v>724</v>
      </c>
      <c r="E2" s="22" t="s">
        <v>725</v>
      </c>
      <c r="F2" s="22" t="s">
        <v>726</v>
      </c>
      <c r="G2" s="22" t="s">
        <v>727</v>
      </c>
      <c r="H2" s="22" t="s">
        <v>728</v>
      </c>
      <c r="I2" s="22" t="s">
        <v>729</v>
      </c>
      <c r="J2" s="22" t="s">
        <v>730</v>
      </c>
    </row>
    <row r="3" spans="1:10" x14ac:dyDescent="0.25">
      <c r="A3" s="22" t="s">
        <v>24</v>
      </c>
      <c r="B3" s="24" t="s">
        <v>17</v>
      </c>
      <c r="C3" s="22" t="s">
        <v>731</v>
      </c>
      <c r="D3" s="22" t="s">
        <v>732</v>
      </c>
      <c r="E3" s="22" t="s">
        <v>733</v>
      </c>
      <c r="F3" s="22" t="s">
        <v>734</v>
      </c>
      <c r="G3" s="22" t="s">
        <v>735</v>
      </c>
      <c r="H3" s="22" t="s">
        <v>736</v>
      </c>
      <c r="I3" s="22" t="s">
        <v>737</v>
      </c>
      <c r="J3" s="22" t="s">
        <v>680</v>
      </c>
    </row>
    <row r="4" spans="1:10" x14ac:dyDescent="0.25">
      <c r="A4" s="22" t="s">
        <v>24</v>
      </c>
      <c r="B4" s="24" t="s">
        <v>18</v>
      </c>
      <c r="C4" s="22" t="s">
        <v>738</v>
      </c>
      <c r="D4" s="22" t="s">
        <v>739</v>
      </c>
      <c r="E4" s="22" t="s">
        <v>740</v>
      </c>
      <c r="F4" s="22" t="s">
        <v>741</v>
      </c>
      <c r="G4" s="22" t="s">
        <v>742</v>
      </c>
      <c r="H4" s="22" t="s">
        <v>743</v>
      </c>
      <c r="I4" s="22" t="s">
        <v>744</v>
      </c>
      <c r="J4" s="22" t="s">
        <v>745</v>
      </c>
    </row>
    <row r="5" spans="1:10" x14ac:dyDescent="0.25">
      <c r="A5" s="22" t="s">
        <v>24</v>
      </c>
      <c r="B5" s="24" t="s">
        <v>19</v>
      </c>
      <c r="C5" s="22" t="s">
        <v>746</v>
      </c>
      <c r="D5" s="22" t="s">
        <v>747</v>
      </c>
      <c r="E5" s="22" t="s">
        <v>748</v>
      </c>
      <c r="F5" s="22" t="s">
        <v>749</v>
      </c>
      <c r="G5" s="22" t="s">
        <v>750</v>
      </c>
      <c r="H5" s="22" t="s">
        <v>751</v>
      </c>
      <c r="I5" s="22" t="s">
        <v>752</v>
      </c>
      <c r="J5" s="22" t="s">
        <v>753</v>
      </c>
    </row>
    <row r="6" spans="1:10" x14ac:dyDescent="0.25">
      <c r="A6" s="22" t="s">
        <v>25</v>
      </c>
      <c r="B6" s="24" t="s">
        <v>16</v>
      </c>
      <c r="C6" s="22" t="s">
        <v>855</v>
      </c>
      <c r="D6" s="22" t="s">
        <v>856</v>
      </c>
      <c r="E6" s="22" t="s">
        <v>857</v>
      </c>
      <c r="F6" s="22" t="s">
        <v>858</v>
      </c>
      <c r="G6" s="22" t="s">
        <v>542</v>
      </c>
      <c r="H6" s="22" t="s">
        <v>859</v>
      </c>
      <c r="I6" s="22" t="s">
        <v>860</v>
      </c>
      <c r="J6" s="22" t="s">
        <v>861</v>
      </c>
    </row>
    <row r="7" spans="1:10" x14ac:dyDescent="0.25">
      <c r="A7" s="22" t="s">
        <v>25</v>
      </c>
      <c r="B7" s="24" t="s">
        <v>17</v>
      </c>
      <c r="C7" s="22" t="s">
        <v>862</v>
      </c>
      <c r="D7" s="22" t="s">
        <v>863</v>
      </c>
      <c r="E7" s="22" t="s">
        <v>864</v>
      </c>
      <c r="F7" s="22" t="s">
        <v>865</v>
      </c>
      <c r="G7" s="22" t="s">
        <v>866</v>
      </c>
      <c r="H7" s="22" t="s">
        <v>303</v>
      </c>
      <c r="I7" s="22" t="s">
        <v>867</v>
      </c>
      <c r="J7" s="22" t="s">
        <v>868</v>
      </c>
    </row>
    <row r="8" spans="1:10" x14ac:dyDescent="0.25">
      <c r="A8" s="22" t="s">
        <v>25</v>
      </c>
      <c r="B8" s="24" t="s">
        <v>18</v>
      </c>
      <c r="C8" s="22" t="s">
        <v>869</v>
      </c>
      <c r="D8" s="22" t="s">
        <v>724</v>
      </c>
      <c r="E8" s="22" t="s">
        <v>870</v>
      </c>
      <c r="F8" s="22" t="s">
        <v>871</v>
      </c>
      <c r="G8" s="22" t="s">
        <v>468</v>
      </c>
      <c r="H8" s="22" t="s">
        <v>233</v>
      </c>
      <c r="I8" s="22" t="s">
        <v>872</v>
      </c>
      <c r="J8" s="22" t="s">
        <v>873</v>
      </c>
    </row>
    <row r="9" spans="1:10" x14ac:dyDescent="0.25">
      <c r="A9" s="22" t="s">
        <v>25</v>
      </c>
      <c r="B9" s="24" t="s">
        <v>19</v>
      </c>
      <c r="C9" s="22" t="s">
        <v>874</v>
      </c>
      <c r="D9" s="22" t="s">
        <v>875</v>
      </c>
      <c r="E9" s="22" t="s">
        <v>876</v>
      </c>
      <c r="F9" s="22" t="s">
        <v>877</v>
      </c>
      <c r="G9" s="22" t="s">
        <v>878</v>
      </c>
      <c r="H9" s="22" t="s">
        <v>700</v>
      </c>
      <c r="I9" s="22" t="s">
        <v>879</v>
      </c>
      <c r="J9" s="22" t="s">
        <v>880</v>
      </c>
    </row>
    <row r="10" spans="1:10" x14ac:dyDescent="0.25">
      <c r="A10" s="22" t="s">
        <v>29</v>
      </c>
      <c r="B10" s="24" t="s">
        <v>16</v>
      </c>
      <c r="C10" s="22" t="s">
        <v>989</v>
      </c>
      <c r="D10" s="22" t="s">
        <v>990</v>
      </c>
      <c r="E10" s="22" t="s">
        <v>991</v>
      </c>
      <c r="F10" s="22" t="s">
        <v>992</v>
      </c>
      <c r="G10" s="22" t="s">
        <v>993</v>
      </c>
      <c r="H10" s="22" t="s">
        <v>994</v>
      </c>
      <c r="I10" s="22" t="s">
        <v>995</v>
      </c>
      <c r="J10" s="22" t="s">
        <v>996</v>
      </c>
    </row>
    <row r="11" spans="1:10" x14ac:dyDescent="0.25">
      <c r="A11" s="22" t="s">
        <v>29</v>
      </c>
      <c r="B11" s="24" t="s">
        <v>17</v>
      </c>
      <c r="C11" s="22" t="s">
        <v>997</v>
      </c>
      <c r="D11" s="22" t="s">
        <v>998</v>
      </c>
      <c r="E11" s="22" t="s">
        <v>999</v>
      </c>
      <c r="F11" s="22" t="s">
        <v>1000</v>
      </c>
      <c r="G11" s="22" t="s">
        <v>773</v>
      </c>
      <c r="H11" s="22" t="s">
        <v>646</v>
      </c>
      <c r="I11" s="22" t="s">
        <v>1001</v>
      </c>
      <c r="J11" s="22" t="s">
        <v>1002</v>
      </c>
    </row>
    <row r="12" spans="1:10" x14ac:dyDescent="0.25">
      <c r="A12" s="22" t="s">
        <v>29</v>
      </c>
      <c r="B12" s="24" t="s">
        <v>18</v>
      </c>
      <c r="C12" s="22" t="s">
        <v>1003</v>
      </c>
      <c r="D12" s="22" t="s">
        <v>1004</v>
      </c>
      <c r="E12" s="22" t="s">
        <v>1005</v>
      </c>
      <c r="F12" s="22" t="s">
        <v>1006</v>
      </c>
      <c r="G12" s="22" t="s">
        <v>1007</v>
      </c>
      <c r="H12" s="22" t="s">
        <v>1008</v>
      </c>
      <c r="I12" s="22" t="s">
        <v>1009</v>
      </c>
      <c r="J12" s="22" t="s">
        <v>557</v>
      </c>
    </row>
    <row r="13" spans="1:10" x14ac:dyDescent="0.25">
      <c r="A13" s="22" t="s">
        <v>29</v>
      </c>
      <c r="B13" s="24" t="s">
        <v>19</v>
      </c>
      <c r="C13" s="22" t="s">
        <v>1010</v>
      </c>
      <c r="D13" s="22" t="s">
        <v>1011</v>
      </c>
      <c r="E13" s="22" t="s">
        <v>1012</v>
      </c>
      <c r="F13" s="22" t="s">
        <v>1013</v>
      </c>
      <c r="G13" s="22" t="s">
        <v>1014</v>
      </c>
      <c r="H13" s="22" t="s">
        <v>243</v>
      </c>
      <c r="I13" s="22" t="s">
        <v>1015</v>
      </c>
      <c r="J13" s="22" t="s">
        <v>1016</v>
      </c>
    </row>
    <row r="14" spans="1:10" x14ac:dyDescent="0.25">
      <c r="A14" s="22" t="s">
        <v>26</v>
      </c>
      <c r="B14" s="24" t="s">
        <v>16</v>
      </c>
      <c r="C14" s="22" t="s">
        <v>1118</v>
      </c>
      <c r="D14" s="22" t="s">
        <v>1119</v>
      </c>
      <c r="E14" s="22" t="s">
        <v>1120</v>
      </c>
      <c r="F14" s="22" t="s">
        <v>1121</v>
      </c>
      <c r="G14" s="22" t="s">
        <v>1122</v>
      </c>
      <c r="H14" s="22" t="s">
        <v>553</v>
      </c>
      <c r="I14" s="22" t="s">
        <v>1123</v>
      </c>
      <c r="J14" s="22" t="s">
        <v>1124</v>
      </c>
    </row>
    <row r="15" spans="1:10" x14ac:dyDescent="0.25">
      <c r="A15" s="22" t="s">
        <v>26</v>
      </c>
      <c r="B15" s="24" t="s">
        <v>17</v>
      </c>
      <c r="C15" s="22" t="s">
        <v>1125</v>
      </c>
      <c r="D15" s="22" t="s">
        <v>1126</v>
      </c>
      <c r="E15" s="22" t="s">
        <v>1127</v>
      </c>
      <c r="F15" s="22" t="s">
        <v>1128</v>
      </c>
      <c r="G15" s="22" t="s">
        <v>1129</v>
      </c>
      <c r="H15" s="22" t="s">
        <v>1130</v>
      </c>
      <c r="I15" s="22" t="s">
        <v>1131</v>
      </c>
      <c r="J15" s="22" t="s">
        <v>482</v>
      </c>
    </row>
    <row r="16" spans="1:10" x14ac:dyDescent="0.25">
      <c r="A16" s="22" t="s">
        <v>26</v>
      </c>
      <c r="B16" s="24" t="s">
        <v>18</v>
      </c>
      <c r="C16" s="22" t="s">
        <v>1132</v>
      </c>
      <c r="D16" s="22" t="s">
        <v>851</v>
      </c>
      <c r="E16" s="22" t="s">
        <v>1133</v>
      </c>
      <c r="F16" s="22" t="s">
        <v>1134</v>
      </c>
      <c r="G16" s="22" t="s">
        <v>1135</v>
      </c>
      <c r="H16" s="22" t="s">
        <v>195</v>
      </c>
      <c r="I16" s="22" t="s">
        <v>1136</v>
      </c>
      <c r="J16" s="22" t="s">
        <v>484</v>
      </c>
    </row>
    <row r="17" spans="1:10" x14ac:dyDescent="0.25">
      <c r="A17" s="22" t="s">
        <v>26</v>
      </c>
      <c r="B17" s="24" t="s">
        <v>19</v>
      </c>
      <c r="C17" s="22" t="s">
        <v>1137</v>
      </c>
      <c r="D17" s="22" t="s">
        <v>1138</v>
      </c>
      <c r="E17" s="22" t="s">
        <v>1139</v>
      </c>
      <c r="F17" s="22" t="s">
        <v>1140</v>
      </c>
      <c r="G17" s="22" t="s">
        <v>921</v>
      </c>
      <c r="H17" s="22" t="s">
        <v>951</v>
      </c>
      <c r="I17" s="22" t="s">
        <v>1141</v>
      </c>
      <c r="J17" s="22" t="s">
        <v>873</v>
      </c>
    </row>
    <row r="18" spans="1:10" x14ac:dyDescent="0.25">
      <c r="A18" s="22" t="s">
        <v>27</v>
      </c>
      <c r="B18" s="24" t="s">
        <v>16</v>
      </c>
      <c r="C18" s="22" t="s">
        <v>1248</v>
      </c>
      <c r="D18" s="22" t="s">
        <v>833</v>
      </c>
      <c r="E18" s="22" t="s">
        <v>1249</v>
      </c>
      <c r="F18" s="22" t="s">
        <v>1250</v>
      </c>
      <c r="G18" s="22" t="s">
        <v>1251</v>
      </c>
      <c r="H18" s="22" t="s">
        <v>207</v>
      </c>
      <c r="I18" s="22" t="s">
        <v>1252</v>
      </c>
      <c r="J18" s="22" t="s">
        <v>301</v>
      </c>
    </row>
    <row r="19" spans="1:10" x14ac:dyDescent="0.25">
      <c r="A19" s="22" t="s">
        <v>27</v>
      </c>
      <c r="B19" s="24" t="s">
        <v>17</v>
      </c>
      <c r="C19" s="22" t="s">
        <v>1253</v>
      </c>
      <c r="D19" s="22" t="s">
        <v>1049</v>
      </c>
      <c r="E19" s="22" t="s">
        <v>1254</v>
      </c>
      <c r="F19" s="22" t="s">
        <v>1255</v>
      </c>
      <c r="G19" s="22" t="s">
        <v>1256</v>
      </c>
      <c r="H19" s="22" t="s">
        <v>1257</v>
      </c>
      <c r="I19" s="22" t="s">
        <v>1258</v>
      </c>
      <c r="J19" s="22" t="s">
        <v>1014</v>
      </c>
    </row>
    <row r="20" spans="1:10" x14ac:dyDescent="0.25">
      <c r="A20" s="22" t="s">
        <v>27</v>
      </c>
      <c r="B20" s="24" t="s">
        <v>18</v>
      </c>
      <c r="C20" s="22" t="s">
        <v>1259</v>
      </c>
      <c r="D20" s="22" t="s">
        <v>1182</v>
      </c>
      <c r="E20" s="22" t="s">
        <v>1260</v>
      </c>
      <c r="F20" s="22" t="s">
        <v>1261</v>
      </c>
      <c r="G20" s="22" t="s">
        <v>490</v>
      </c>
      <c r="H20" s="22" t="s">
        <v>1130</v>
      </c>
      <c r="I20" s="22" t="s">
        <v>1262</v>
      </c>
      <c r="J20" s="22" t="s">
        <v>1263</v>
      </c>
    </row>
    <row r="21" spans="1:10" x14ac:dyDescent="0.25">
      <c r="A21" s="22" t="s">
        <v>27</v>
      </c>
      <c r="B21" s="24" t="s">
        <v>19</v>
      </c>
      <c r="C21" s="22" t="s">
        <v>1264</v>
      </c>
      <c r="D21" s="22" t="s">
        <v>1265</v>
      </c>
      <c r="E21" s="22" t="s">
        <v>1266</v>
      </c>
      <c r="F21" s="22" t="s">
        <v>1267</v>
      </c>
      <c r="G21" s="22" t="s">
        <v>1268</v>
      </c>
      <c r="H21" s="22" t="s">
        <v>951</v>
      </c>
      <c r="I21" s="22" t="s">
        <v>1269</v>
      </c>
      <c r="J21" s="22" t="s">
        <v>1270</v>
      </c>
    </row>
    <row r="22" spans="1:10" x14ac:dyDescent="0.25">
      <c r="A22" s="22" t="s">
        <v>32</v>
      </c>
      <c r="B22" s="24" t="s">
        <v>16</v>
      </c>
      <c r="C22" s="22" t="s">
        <v>1363</v>
      </c>
      <c r="D22" s="22" t="s">
        <v>476</v>
      </c>
      <c r="E22" s="22" t="s">
        <v>1364</v>
      </c>
      <c r="F22" s="22" t="s">
        <v>1365</v>
      </c>
      <c r="G22" s="22" t="s">
        <v>430</v>
      </c>
      <c r="H22" s="22" t="s">
        <v>1366</v>
      </c>
      <c r="I22" s="22" t="s">
        <v>1367</v>
      </c>
      <c r="J22" s="22" t="s">
        <v>1070</v>
      </c>
    </row>
    <row r="23" spans="1:10" x14ac:dyDescent="0.25">
      <c r="A23" s="22" t="s">
        <v>32</v>
      </c>
      <c r="B23" s="24" t="s">
        <v>17</v>
      </c>
      <c r="C23" s="22" t="s">
        <v>1368</v>
      </c>
      <c r="D23" s="22" t="s">
        <v>1369</v>
      </c>
      <c r="E23" s="22" t="s">
        <v>1370</v>
      </c>
      <c r="F23" s="22" t="s">
        <v>1371</v>
      </c>
      <c r="G23" s="22" t="s">
        <v>1053</v>
      </c>
      <c r="H23" s="22" t="s">
        <v>1372</v>
      </c>
      <c r="I23" s="22" t="s">
        <v>1373</v>
      </c>
      <c r="J23" s="22" t="s">
        <v>1374</v>
      </c>
    </row>
    <row r="24" spans="1:10" x14ac:dyDescent="0.25">
      <c r="A24" s="22" t="s">
        <v>32</v>
      </c>
      <c r="B24" s="24" t="s">
        <v>18</v>
      </c>
      <c r="C24" s="22" t="s">
        <v>1375</v>
      </c>
      <c r="D24" s="22" t="s">
        <v>1376</v>
      </c>
      <c r="E24" s="22" t="s">
        <v>1377</v>
      </c>
      <c r="F24" s="22" t="s">
        <v>1378</v>
      </c>
      <c r="G24" s="22" t="s">
        <v>1061</v>
      </c>
      <c r="H24" s="22" t="s">
        <v>1379</v>
      </c>
      <c r="I24" s="22" t="s">
        <v>1380</v>
      </c>
      <c r="J24" s="22" t="s">
        <v>489</v>
      </c>
    </row>
    <row r="25" spans="1:10" x14ac:dyDescent="0.25">
      <c r="A25" s="22" t="s">
        <v>32</v>
      </c>
      <c r="B25" s="24" t="s">
        <v>19</v>
      </c>
      <c r="C25" s="22" t="s">
        <v>1381</v>
      </c>
      <c r="D25" s="22" t="s">
        <v>1382</v>
      </c>
      <c r="E25" s="22" t="s">
        <v>1383</v>
      </c>
      <c r="F25" s="22" t="s">
        <v>1384</v>
      </c>
      <c r="G25" s="22" t="s">
        <v>384</v>
      </c>
      <c r="H25" s="22" t="s">
        <v>1385</v>
      </c>
      <c r="I25" s="22" t="s">
        <v>1386</v>
      </c>
      <c r="J25" s="22" t="s">
        <v>1232</v>
      </c>
    </row>
    <row r="26" spans="1:10" x14ac:dyDescent="0.25">
      <c r="A26" s="22" t="s">
        <v>31</v>
      </c>
      <c r="B26" s="24" t="s">
        <v>16</v>
      </c>
      <c r="C26" s="22" t="s">
        <v>1477</v>
      </c>
      <c r="D26" s="22" t="s">
        <v>1478</v>
      </c>
      <c r="E26" s="22" t="s">
        <v>1479</v>
      </c>
      <c r="F26" s="22" t="s">
        <v>1480</v>
      </c>
      <c r="G26" s="22" t="s">
        <v>1481</v>
      </c>
      <c r="H26" s="22" t="s">
        <v>1263</v>
      </c>
      <c r="I26" s="22" t="s">
        <v>1482</v>
      </c>
      <c r="J26" s="22" t="s">
        <v>1154</v>
      </c>
    </row>
    <row r="27" spans="1:10" x14ac:dyDescent="0.25">
      <c r="A27" s="22" t="s">
        <v>31</v>
      </c>
      <c r="B27" s="24" t="s">
        <v>17</v>
      </c>
      <c r="C27" s="22" t="s">
        <v>1483</v>
      </c>
      <c r="D27" s="22" t="s">
        <v>1484</v>
      </c>
      <c r="E27" s="22" t="s">
        <v>1485</v>
      </c>
      <c r="F27" s="22" t="s">
        <v>1486</v>
      </c>
      <c r="G27" s="22" t="s">
        <v>1487</v>
      </c>
      <c r="H27" s="22" t="s">
        <v>245</v>
      </c>
      <c r="I27" s="22" t="s">
        <v>1488</v>
      </c>
      <c r="J27" s="22" t="s">
        <v>482</v>
      </c>
    </row>
    <row r="28" spans="1:10" x14ac:dyDescent="0.25">
      <c r="A28" s="22" t="s">
        <v>31</v>
      </c>
      <c r="B28" s="24" t="s">
        <v>18</v>
      </c>
      <c r="C28" s="22" t="s">
        <v>1489</v>
      </c>
      <c r="D28" s="22" t="s">
        <v>1490</v>
      </c>
      <c r="E28" s="22" t="s">
        <v>1491</v>
      </c>
      <c r="F28" s="22" t="s">
        <v>1492</v>
      </c>
      <c r="G28" s="22" t="s">
        <v>1493</v>
      </c>
      <c r="H28" s="22" t="s">
        <v>685</v>
      </c>
      <c r="I28" s="22" t="s">
        <v>1494</v>
      </c>
      <c r="J28" s="22" t="s">
        <v>1097</v>
      </c>
    </row>
    <row r="29" spans="1:10" x14ac:dyDescent="0.25">
      <c r="A29" s="22" t="s">
        <v>31</v>
      </c>
      <c r="B29" s="24" t="s">
        <v>19</v>
      </c>
      <c r="C29" s="22" t="s">
        <v>1495</v>
      </c>
      <c r="D29" s="22" t="s">
        <v>1496</v>
      </c>
      <c r="E29" s="22" t="s">
        <v>1497</v>
      </c>
      <c r="F29" s="22" t="s">
        <v>1498</v>
      </c>
      <c r="G29" s="22" t="s">
        <v>425</v>
      </c>
      <c r="H29" s="22" t="s">
        <v>279</v>
      </c>
      <c r="I29" s="22" t="s">
        <v>1499</v>
      </c>
      <c r="J29" s="22" t="s">
        <v>1097</v>
      </c>
    </row>
    <row r="30" spans="1:10" x14ac:dyDescent="0.25">
      <c r="A30" s="22" t="s">
        <v>34</v>
      </c>
      <c r="B30" s="24" t="s">
        <v>16</v>
      </c>
      <c r="C30" s="22" t="s">
        <v>1585</v>
      </c>
      <c r="D30" s="22" t="s">
        <v>1586</v>
      </c>
      <c r="E30" s="22" t="s">
        <v>1587</v>
      </c>
      <c r="F30" s="22" t="s">
        <v>1588</v>
      </c>
      <c r="G30" s="22" t="s">
        <v>1589</v>
      </c>
      <c r="H30" s="22" t="s">
        <v>1590</v>
      </c>
      <c r="I30" s="22" t="s">
        <v>1591</v>
      </c>
      <c r="J30" s="22" t="s">
        <v>1592</v>
      </c>
    </row>
    <row r="31" spans="1:10" x14ac:dyDescent="0.25">
      <c r="A31" s="22" t="s">
        <v>34</v>
      </c>
      <c r="B31" s="24" t="s">
        <v>17</v>
      </c>
      <c r="C31" s="22" t="s">
        <v>1593</v>
      </c>
      <c r="D31" s="22" t="s">
        <v>1594</v>
      </c>
      <c r="E31" s="22" t="s">
        <v>1595</v>
      </c>
      <c r="F31" s="22" t="s">
        <v>1596</v>
      </c>
      <c r="G31" s="22" t="s">
        <v>338</v>
      </c>
      <c r="H31" s="22" t="s">
        <v>878</v>
      </c>
      <c r="I31" s="22" t="s">
        <v>1597</v>
      </c>
      <c r="J31" s="22" t="s">
        <v>1561</v>
      </c>
    </row>
    <row r="32" spans="1:10" x14ac:dyDescent="0.25">
      <c r="A32" s="22" t="s">
        <v>34</v>
      </c>
      <c r="B32" s="24" t="s">
        <v>18</v>
      </c>
      <c r="C32" s="22" t="s">
        <v>1598</v>
      </c>
      <c r="D32" s="22" t="s">
        <v>1599</v>
      </c>
      <c r="E32" s="22" t="s">
        <v>1600</v>
      </c>
      <c r="F32" s="22" t="s">
        <v>1601</v>
      </c>
      <c r="G32" s="22" t="s">
        <v>1462</v>
      </c>
      <c r="H32" s="22" t="s">
        <v>646</v>
      </c>
      <c r="I32" s="22" t="s">
        <v>1602</v>
      </c>
      <c r="J32" s="22" t="s">
        <v>928</v>
      </c>
    </row>
    <row r="33" spans="1:10" x14ac:dyDescent="0.25">
      <c r="A33" s="22" t="s">
        <v>34</v>
      </c>
      <c r="B33" s="24" t="s">
        <v>19</v>
      </c>
      <c r="C33" s="22" t="s">
        <v>1603</v>
      </c>
      <c r="D33" s="22" t="s">
        <v>1604</v>
      </c>
      <c r="E33" s="22" t="s">
        <v>1605</v>
      </c>
      <c r="F33" s="22" t="s">
        <v>1606</v>
      </c>
      <c r="G33" s="22" t="s">
        <v>1607</v>
      </c>
      <c r="H33" s="22" t="s">
        <v>1008</v>
      </c>
      <c r="I33" s="22" t="s">
        <v>1608</v>
      </c>
      <c r="J33" s="22" t="s">
        <v>278</v>
      </c>
    </row>
    <row r="34" spans="1:10" x14ac:dyDescent="0.25">
      <c r="A34" s="22" t="s">
        <v>28</v>
      </c>
      <c r="B34" s="24" t="s">
        <v>16</v>
      </c>
      <c r="C34" s="22" t="s">
        <v>1700</v>
      </c>
      <c r="D34" s="22" t="s">
        <v>1701</v>
      </c>
      <c r="E34" s="22" t="s">
        <v>1702</v>
      </c>
      <c r="F34" s="22" t="s">
        <v>1703</v>
      </c>
      <c r="G34" s="22" t="s">
        <v>1655</v>
      </c>
      <c r="H34" s="22" t="s">
        <v>1474</v>
      </c>
      <c r="I34" s="22" t="s">
        <v>1704</v>
      </c>
      <c r="J34" s="22" t="s">
        <v>1705</v>
      </c>
    </row>
    <row r="35" spans="1:10" x14ac:dyDescent="0.25">
      <c r="A35" s="22" t="s">
        <v>28</v>
      </c>
      <c r="B35" s="24" t="s">
        <v>17</v>
      </c>
      <c r="C35" s="22" t="s">
        <v>1706</v>
      </c>
      <c r="D35" s="22" t="s">
        <v>1707</v>
      </c>
      <c r="E35" s="22" t="s">
        <v>1708</v>
      </c>
      <c r="F35" s="22" t="s">
        <v>1709</v>
      </c>
      <c r="G35" s="22" t="s">
        <v>268</v>
      </c>
      <c r="H35" s="22" t="s">
        <v>301</v>
      </c>
      <c r="I35" s="22" t="s">
        <v>1710</v>
      </c>
      <c r="J35" s="22" t="s">
        <v>348</v>
      </c>
    </row>
    <row r="36" spans="1:10" x14ac:dyDescent="0.25">
      <c r="A36" s="22" t="s">
        <v>28</v>
      </c>
      <c r="B36" s="24" t="s">
        <v>18</v>
      </c>
      <c r="C36" s="22" t="s">
        <v>1711</v>
      </c>
      <c r="D36" s="22" t="s">
        <v>1712</v>
      </c>
      <c r="E36" s="22" t="s">
        <v>1713</v>
      </c>
      <c r="F36" s="22" t="s">
        <v>1714</v>
      </c>
      <c r="G36" s="22" t="s">
        <v>1715</v>
      </c>
      <c r="H36" s="22" t="s">
        <v>859</v>
      </c>
      <c r="I36" s="22" t="s">
        <v>1716</v>
      </c>
      <c r="J36" s="22" t="s">
        <v>1675</v>
      </c>
    </row>
    <row r="37" spans="1:10" x14ac:dyDescent="0.25">
      <c r="A37" s="22" t="s">
        <v>28</v>
      </c>
      <c r="B37" s="24" t="s">
        <v>19</v>
      </c>
      <c r="C37" s="22" t="s">
        <v>1717</v>
      </c>
      <c r="D37" s="22" t="s">
        <v>1718</v>
      </c>
      <c r="E37" s="22" t="s">
        <v>1719</v>
      </c>
      <c r="F37" s="22" t="s">
        <v>1720</v>
      </c>
      <c r="G37" s="22" t="s">
        <v>1721</v>
      </c>
      <c r="H37" s="22" t="s">
        <v>1722</v>
      </c>
      <c r="I37" s="22" t="s">
        <v>1723</v>
      </c>
      <c r="J37" s="22" t="s">
        <v>201</v>
      </c>
    </row>
    <row r="38" spans="1:10" x14ac:dyDescent="0.25">
      <c r="A38" s="22" t="s">
        <v>30</v>
      </c>
      <c r="B38" s="24" t="s">
        <v>16</v>
      </c>
      <c r="C38" s="22" t="s">
        <v>1816</v>
      </c>
      <c r="D38" s="22" t="s">
        <v>1817</v>
      </c>
      <c r="E38" s="22" t="s">
        <v>1818</v>
      </c>
      <c r="F38" s="22" t="s">
        <v>1819</v>
      </c>
      <c r="G38" s="22" t="s">
        <v>1820</v>
      </c>
      <c r="H38" s="22" t="s">
        <v>1821</v>
      </c>
      <c r="I38" s="22" t="s">
        <v>1822</v>
      </c>
      <c r="J38" s="22" t="s">
        <v>1187</v>
      </c>
    </row>
    <row r="39" spans="1:10" x14ac:dyDescent="0.25">
      <c r="A39" s="22" t="s">
        <v>30</v>
      </c>
      <c r="B39" s="24" t="s">
        <v>17</v>
      </c>
      <c r="C39" s="22" t="s">
        <v>1823</v>
      </c>
      <c r="D39" s="22" t="s">
        <v>1824</v>
      </c>
      <c r="E39" s="22" t="s">
        <v>1825</v>
      </c>
      <c r="F39" s="22" t="s">
        <v>1826</v>
      </c>
      <c r="G39" s="22" t="s">
        <v>1238</v>
      </c>
      <c r="H39" s="22" t="s">
        <v>1827</v>
      </c>
      <c r="I39" s="22" t="s">
        <v>1828</v>
      </c>
      <c r="J39" s="22" t="s">
        <v>1829</v>
      </c>
    </row>
    <row r="40" spans="1:10" x14ac:dyDescent="0.25">
      <c r="A40" s="22" t="s">
        <v>30</v>
      </c>
      <c r="B40" s="24" t="s">
        <v>18</v>
      </c>
      <c r="C40" s="22" t="s">
        <v>1830</v>
      </c>
      <c r="D40" s="22" t="s">
        <v>1831</v>
      </c>
      <c r="E40" s="22" t="s">
        <v>1832</v>
      </c>
      <c r="F40" s="22" t="s">
        <v>1833</v>
      </c>
      <c r="G40" s="22" t="s">
        <v>1834</v>
      </c>
      <c r="H40" s="22" t="s">
        <v>1070</v>
      </c>
      <c r="I40" s="22" t="s">
        <v>1835</v>
      </c>
      <c r="J40" s="22" t="s">
        <v>958</v>
      </c>
    </row>
    <row r="41" spans="1:10" x14ac:dyDescent="0.25">
      <c r="A41" s="22" t="s">
        <v>30</v>
      </c>
      <c r="B41" s="24" t="s">
        <v>19</v>
      </c>
      <c r="C41" s="22" t="s">
        <v>1836</v>
      </c>
      <c r="D41" s="22" t="s">
        <v>1837</v>
      </c>
      <c r="E41" s="22" t="s">
        <v>1838</v>
      </c>
      <c r="F41" s="22" t="s">
        <v>1839</v>
      </c>
      <c r="G41" s="22" t="s">
        <v>1840</v>
      </c>
      <c r="H41" s="22" t="s">
        <v>477</v>
      </c>
      <c r="I41" s="22" t="s">
        <v>1841</v>
      </c>
      <c r="J41" s="22" t="s">
        <v>1566</v>
      </c>
    </row>
    <row r="42" spans="1:10" x14ac:dyDescent="0.25">
      <c r="A42" s="22" t="s">
        <v>44</v>
      </c>
      <c r="B42" s="24" t="s">
        <v>16</v>
      </c>
      <c r="C42" s="22" t="s">
        <v>1921</v>
      </c>
      <c r="D42" s="22" t="s">
        <v>1922</v>
      </c>
      <c r="E42" s="22" t="s">
        <v>1249</v>
      </c>
      <c r="F42" s="22" t="s">
        <v>1923</v>
      </c>
      <c r="G42" s="22" t="s">
        <v>1089</v>
      </c>
      <c r="H42" s="22" t="s">
        <v>1924</v>
      </c>
      <c r="I42" s="22" t="s">
        <v>1925</v>
      </c>
      <c r="J42" s="22" t="s">
        <v>484</v>
      </c>
    </row>
    <row r="43" spans="1:10" x14ac:dyDescent="0.25">
      <c r="A43" s="22" t="s">
        <v>44</v>
      </c>
      <c r="B43" s="24" t="s">
        <v>17</v>
      </c>
      <c r="C43" s="22" t="s">
        <v>1926</v>
      </c>
      <c r="D43" s="22" t="s">
        <v>1927</v>
      </c>
      <c r="E43" s="22" t="s">
        <v>1254</v>
      </c>
      <c r="F43" s="22" t="s">
        <v>1928</v>
      </c>
      <c r="G43" s="22" t="s">
        <v>1879</v>
      </c>
      <c r="H43" s="22" t="s">
        <v>463</v>
      </c>
      <c r="I43" s="22" t="s">
        <v>1929</v>
      </c>
      <c r="J43" s="22" t="s">
        <v>352</v>
      </c>
    </row>
    <row r="44" spans="1:10" x14ac:dyDescent="0.25">
      <c r="A44" s="22" t="s">
        <v>44</v>
      </c>
      <c r="B44" s="24" t="s">
        <v>18</v>
      </c>
      <c r="C44" s="22" t="s">
        <v>1930</v>
      </c>
      <c r="D44" s="22" t="s">
        <v>1931</v>
      </c>
      <c r="E44" s="22" t="s">
        <v>1260</v>
      </c>
      <c r="F44" s="22" t="s">
        <v>1932</v>
      </c>
      <c r="G44" s="22" t="s">
        <v>1135</v>
      </c>
      <c r="H44" s="22" t="s">
        <v>1481</v>
      </c>
      <c r="I44" s="22" t="s">
        <v>1933</v>
      </c>
      <c r="J44" s="22" t="s">
        <v>1934</v>
      </c>
    </row>
    <row r="45" spans="1:10" x14ac:dyDescent="0.25">
      <c r="A45" s="22" t="s">
        <v>44</v>
      </c>
      <c r="B45" s="24" t="s">
        <v>19</v>
      </c>
      <c r="C45" s="22" t="s">
        <v>1935</v>
      </c>
      <c r="D45" s="22" t="s">
        <v>1936</v>
      </c>
      <c r="E45" s="22" t="s">
        <v>1266</v>
      </c>
      <c r="F45" s="22" t="s">
        <v>1937</v>
      </c>
      <c r="G45" s="22" t="s">
        <v>937</v>
      </c>
      <c r="H45" s="22" t="s">
        <v>1938</v>
      </c>
      <c r="I45" s="22" t="s">
        <v>1939</v>
      </c>
      <c r="J45" s="22" t="s">
        <v>1476</v>
      </c>
    </row>
    <row r="46" spans="1:10" x14ac:dyDescent="0.25">
      <c r="A46" s="22" t="s">
        <v>33</v>
      </c>
      <c r="B46" s="24" t="s">
        <v>16</v>
      </c>
      <c r="C46" s="22" t="s">
        <v>2008</v>
      </c>
      <c r="D46" s="22" t="s">
        <v>408</v>
      </c>
      <c r="E46" s="22" t="s">
        <v>2009</v>
      </c>
      <c r="F46" s="22" t="s">
        <v>2010</v>
      </c>
      <c r="G46" s="22" t="s">
        <v>410</v>
      </c>
      <c r="H46" s="22" t="s">
        <v>404</v>
      </c>
      <c r="I46" s="22" t="s">
        <v>2011</v>
      </c>
      <c r="J46" s="22" t="s">
        <v>409</v>
      </c>
    </row>
    <row r="47" spans="1:10" x14ac:dyDescent="0.25">
      <c r="A47" s="22" t="s">
        <v>33</v>
      </c>
      <c r="B47" s="24" t="s">
        <v>17</v>
      </c>
      <c r="C47" s="22" t="s">
        <v>2012</v>
      </c>
      <c r="D47" s="22" t="s">
        <v>413</v>
      </c>
      <c r="E47" s="22" t="s">
        <v>2013</v>
      </c>
      <c r="F47" s="22" t="s">
        <v>2014</v>
      </c>
      <c r="G47" s="22" t="s">
        <v>361</v>
      </c>
      <c r="H47" s="22" t="s">
        <v>415</v>
      </c>
      <c r="I47" s="22" t="s">
        <v>2015</v>
      </c>
      <c r="J47" s="22" t="s">
        <v>414</v>
      </c>
    </row>
    <row r="48" spans="1:10" x14ac:dyDescent="0.25">
      <c r="A48" s="22" t="s">
        <v>33</v>
      </c>
      <c r="B48" s="24" t="s">
        <v>18</v>
      </c>
      <c r="C48" s="22" t="s">
        <v>2016</v>
      </c>
      <c r="D48" s="22" t="s">
        <v>387</v>
      </c>
      <c r="E48" s="22" t="s">
        <v>2017</v>
      </c>
      <c r="F48" s="22" t="s">
        <v>2018</v>
      </c>
      <c r="G48" s="22" t="s">
        <v>209</v>
      </c>
      <c r="H48" s="22" t="s">
        <v>419</v>
      </c>
      <c r="I48" s="22" t="s">
        <v>2019</v>
      </c>
      <c r="J48" s="22" t="s">
        <v>418</v>
      </c>
    </row>
    <row r="49" spans="1:10" x14ac:dyDescent="0.25">
      <c r="A49" s="22" t="s">
        <v>33</v>
      </c>
      <c r="B49" s="24" t="s">
        <v>19</v>
      </c>
      <c r="C49" s="22" t="s">
        <v>2020</v>
      </c>
      <c r="D49" s="22" t="s">
        <v>422</v>
      </c>
      <c r="E49" s="22" t="s">
        <v>2021</v>
      </c>
      <c r="F49" s="22" t="s">
        <v>2022</v>
      </c>
      <c r="G49" s="22" t="s">
        <v>425</v>
      </c>
      <c r="H49" s="22" t="s">
        <v>424</v>
      </c>
      <c r="I49" s="22" t="s">
        <v>2023</v>
      </c>
      <c r="J49" s="22" t="s">
        <v>423</v>
      </c>
    </row>
    <row r="50" spans="1:10" x14ac:dyDescent="0.25">
      <c r="A50" s="22" t="s">
        <v>39</v>
      </c>
      <c r="B50" s="24" t="s">
        <v>16</v>
      </c>
      <c r="C50" s="22" t="s">
        <v>2109</v>
      </c>
      <c r="D50" s="22" t="s">
        <v>2110</v>
      </c>
      <c r="E50" s="22" t="s">
        <v>2111</v>
      </c>
      <c r="F50" s="22" t="s">
        <v>2112</v>
      </c>
      <c r="G50" s="22" t="s">
        <v>520</v>
      </c>
      <c r="H50" s="22" t="s">
        <v>1655</v>
      </c>
      <c r="I50" s="22" t="s">
        <v>2113</v>
      </c>
      <c r="J50" s="22" t="s">
        <v>1907</v>
      </c>
    </row>
    <row r="51" spans="1:10" x14ac:dyDescent="0.25">
      <c r="A51" s="22" t="s">
        <v>39</v>
      </c>
      <c r="B51" s="24" t="s">
        <v>17</v>
      </c>
      <c r="C51" s="22" t="s">
        <v>2114</v>
      </c>
      <c r="D51" s="22" t="s">
        <v>2115</v>
      </c>
      <c r="E51" s="22" t="s">
        <v>2116</v>
      </c>
      <c r="F51" s="22" t="s">
        <v>2117</v>
      </c>
      <c r="G51" s="22" t="s">
        <v>1286</v>
      </c>
      <c r="H51" s="22" t="s">
        <v>419</v>
      </c>
      <c r="I51" s="22" t="s">
        <v>2118</v>
      </c>
      <c r="J51" s="22" t="s">
        <v>2119</v>
      </c>
    </row>
    <row r="52" spans="1:10" x14ac:dyDescent="0.25">
      <c r="A52" s="22" t="s">
        <v>39</v>
      </c>
      <c r="B52" s="24" t="s">
        <v>18</v>
      </c>
      <c r="C52" s="22" t="s">
        <v>2120</v>
      </c>
      <c r="D52" s="22" t="s">
        <v>2121</v>
      </c>
      <c r="E52" s="22" t="s">
        <v>2122</v>
      </c>
      <c r="F52" s="22" t="s">
        <v>2123</v>
      </c>
      <c r="G52" s="22" t="s">
        <v>2124</v>
      </c>
      <c r="H52" s="22" t="s">
        <v>1589</v>
      </c>
      <c r="I52" s="22" t="s">
        <v>2125</v>
      </c>
      <c r="J52" s="22" t="s">
        <v>210</v>
      </c>
    </row>
    <row r="53" spans="1:10" x14ac:dyDescent="0.25">
      <c r="A53" s="22" t="s">
        <v>39</v>
      </c>
      <c r="B53" s="24" t="s">
        <v>19</v>
      </c>
      <c r="C53" s="22" t="s">
        <v>2126</v>
      </c>
      <c r="D53" s="22" t="s">
        <v>2127</v>
      </c>
      <c r="E53" s="22" t="s">
        <v>2128</v>
      </c>
      <c r="F53" s="22" t="s">
        <v>2129</v>
      </c>
      <c r="G53" s="22" t="s">
        <v>2130</v>
      </c>
      <c r="H53" s="22" t="s">
        <v>2131</v>
      </c>
      <c r="I53" s="22" t="s">
        <v>2132</v>
      </c>
      <c r="J53" s="22" t="s">
        <v>2133</v>
      </c>
    </row>
    <row r="54" spans="1:10" x14ac:dyDescent="0.25">
      <c r="A54" s="22" t="s">
        <v>36</v>
      </c>
      <c r="B54" s="24" t="s">
        <v>16</v>
      </c>
      <c r="C54" s="22" t="s">
        <v>2223</v>
      </c>
      <c r="D54" s="22" t="s">
        <v>2224</v>
      </c>
      <c r="E54" s="22" t="s">
        <v>2225</v>
      </c>
      <c r="F54" s="22" t="s">
        <v>2226</v>
      </c>
      <c r="G54" s="22" t="s">
        <v>534</v>
      </c>
      <c r="H54" s="22" t="s">
        <v>533</v>
      </c>
      <c r="I54" s="22" t="s">
        <v>2227</v>
      </c>
      <c r="J54" s="22" t="s">
        <v>1349</v>
      </c>
    </row>
    <row r="55" spans="1:10" x14ac:dyDescent="0.25">
      <c r="A55" s="22" t="s">
        <v>36</v>
      </c>
      <c r="B55" s="24" t="s">
        <v>17</v>
      </c>
      <c r="C55" s="22" t="s">
        <v>2228</v>
      </c>
      <c r="D55" s="22" t="s">
        <v>2229</v>
      </c>
      <c r="E55" s="22" t="s">
        <v>2230</v>
      </c>
      <c r="F55" s="22" t="s">
        <v>2231</v>
      </c>
      <c r="G55" s="22" t="s">
        <v>538</v>
      </c>
      <c r="H55" s="22" t="s">
        <v>537</v>
      </c>
      <c r="I55" s="22" t="s">
        <v>2232</v>
      </c>
      <c r="J55" s="22" t="s">
        <v>895</v>
      </c>
    </row>
    <row r="56" spans="1:10" x14ac:dyDescent="0.25">
      <c r="A56" s="22" t="s">
        <v>36</v>
      </c>
      <c r="B56" s="24" t="s">
        <v>18</v>
      </c>
      <c r="C56" s="22" t="s">
        <v>2233</v>
      </c>
      <c r="D56" s="22" t="s">
        <v>2234</v>
      </c>
      <c r="E56" s="22" t="s">
        <v>2235</v>
      </c>
      <c r="F56" s="22" t="s">
        <v>2236</v>
      </c>
      <c r="G56" s="22" t="s">
        <v>542</v>
      </c>
      <c r="H56" s="22" t="s">
        <v>541</v>
      </c>
      <c r="I56" s="22" t="s">
        <v>2237</v>
      </c>
      <c r="J56" s="22" t="s">
        <v>2238</v>
      </c>
    </row>
    <row r="57" spans="1:10" x14ac:dyDescent="0.25">
      <c r="A57" s="22" t="s">
        <v>36</v>
      </c>
      <c r="B57" s="24" t="s">
        <v>19</v>
      </c>
      <c r="C57" s="22" t="s">
        <v>2239</v>
      </c>
      <c r="D57" s="22" t="s">
        <v>2240</v>
      </c>
      <c r="E57" s="22" t="s">
        <v>2241</v>
      </c>
      <c r="F57" s="22" t="s">
        <v>2242</v>
      </c>
      <c r="G57" s="22" t="s">
        <v>344</v>
      </c>
      <c r="H57" s="22" t="s">
        <v>545</v>
      </c>
      <c r="I57" s="22" t="s">
        <v>2243</v>
      </c>
      <c r="J57" s="22" t="s">
        <v>2244</v>
      </c>
    </row>
    <row r="58" spans="1:10" x14ac:dyDescent="0.25">
      <c r="A58" s="22" t="s">
        <v>38</v>
      </c>
      <c r="B58" s="24" t="s">
        <v>16</v>
      </c>
      <c r="C58" s="22" t="s">
        <v>2326</v>
      </c>
      <c r="D58" s="22" t="s">
        <v>2327</v>
      </c>
      <c r="E58" s="22" t="s">
        <v>2328</v>
      </c>
      <c r="F58" s="22" t="s">
        <v>2329</v>
      </c>
      <c r="G58" s="22" t="s">
        <v>2330</v>
      </c>
      <c r="H58" s="22" t="s">
        <v>1361</v>
      </c>
      <c r="I58" s="22" t="s">
        <v>2331</v>
      </c>
      <c r="J58" s="22" t="s">
        <v>1257</v>
      </c>
    </row>
    <row r="59" spans="1:10" x14ac:dyDescent="0.25">
      <c r="A59" s="22" t="s">
        <v>38</v>
      </c>
      <c r="B59" s="24" t="s">
        <v>17</v>
      </c>
      <c r="C59" s="22" t="s">
        <v>2332</v>
      </c>
      <c r="D59" s="22" t="s">
        <v>2333</v>
      </c>
      <c r="E59" s="22" t="s">
        <v>2334</v>
      </c>
      <c r="F59" s="22" t="s">
        <v>2335</v>
      </c>
      <c r="G59" s="22" t="s">
        <v>2336</v>
      </c>
      <c r="H59" s="22" t="s">
        <v>2337</v>
      </c>
      <c r="I59" s="22" t="s">
        <v>2338</v>
      </c>
      <c r="J59" s="22" t="s">
        <v>553</v>
      </c>
    </row>
    <row r="60" spans="1:10" x14ac:dyDescent="0.25">
      <c r="A60" s="22" t="s">
        <v>38</v>
      </c>
      <c r="B60" s="24" t="s">
        <v>18</v>
      </c>
      <c r="C60" s="22" t="s">
        <v>2339</v>
      </c>
      <c r="D60" s="22" t="s">
        <v>2340</v>
      </c>
      <c r="E60" s="22" t="s">
        <v>2341</v>
      </c>
      <c r="F60" s="22" t="s">
        <v>2342</v>
      </c>
      <c r="G60" s="22" t="s">
        <v>1061</v>
      </c>
      <c r="H60" s="22" t="s">
        <v>1840</v>
      </c>
      <c r="I60" s="22" t="s">
        <v>2343</v>
      </c>
      <c r="J60" s="22" t="s">
        <v>1257</v>
      </c>
    </row>
    <row r="61" spans="1:10" x14ac:dyDescent="0.25">
      <c r="A61" s="22" t="s">
        <v>38</v>
      </c>
      <c r="B61" s="24" t="s">
        <v>19</v>
      </c>
      <c r="C61" s="22" t="s">
        <v>2344</v>
      </c>
      <c r="D61" s="22" t="s">
        <v>1453</v>
      </c>
      <c r="E61" s="22" t="s">
        <v>2345</v>
      </c>
      <c r="F61" s="22" t="s">
        <v>2346</v>
      </c>
      <c r="G61" s="22" t="s">
        <v>1456</v>
      </c>
      <c r="H61" s="22" t="s">
        <v>1685</v>
      </c>
      <c r="I61" s="22" t="s">
        <v>2347</v>
      </c>
      <c r="J61" s="22" t="s">
        <v>1821</v>
      </c>
    </row>
    <row r="62" spans="1:10" x14ac:dyDescent="0.25">
      <c r="A62" s="22" t="s">
        <v>41</v>
      </c>
      <c r="B62" s="24" t="s">
        <v>16</v>
      </c>
      <c r="C62" s="22" t="s">
        <v>2437</v>
      </c>
      <c r="D62" s="22" t="s">
        <v>2438</v>
      </c>
      <c r="E62" s="22" t="s">
        <v>2439</v>
      </c>
      <c r="F62" s="22" t="s">
        <v>2440</v>
      </c>
      <c r="G62" s="22" t="s">
        <v>2441</v>
      </c>
      <c r="H62" s="22" t="s">
        <v>484</v>
      </c>
      <c r="I62" s="22" t="s">
        <v>2442</v>
      </c>
      <c r="J62" s="22" t="s">
        <v>1379</v>
      </c>
    </row>
    <row r="63" spans="1:10" x14ac:dyDescent="0.25">
      <c r="A63" s="22" t="s">
        <v>41</v>
      </c>
      <c r="B63" s="24" t="s">
        <v>17</v>
      </c>
      <c r="C63" s="22" t="s">
        <v>2443</v>
      </c>
      <c r="D63" s="22" t="s">
        <v>2444</v>
      </c>
      <c r="E63" s="22" t="s">
        <v>2445</v>
      </c>
      <c r="F63" s="22" t="s">
        <v>2446</v>
      </c>
      <c r="G63" s="22" t="s">
        <v>2447</v>
      </c>
      <c r="H63" s="22" t="s">
        <v>1629</v>
      </c>
      <c r="I63" s="22" t="s">
        <v>2448</v>
      </c>
      <c r="J63" s="22" t="s">
        <v>2449</v>
      </c>
    </row>
    <row r="64" spans="1:10" x14ac:dyDescent="0.25">
      <c r="A64" s="22" t="s">
        <v>41</v>
      </c>
      <c r="B64" s="24" t="s">
        <v>18</v>
      </c>
      <c r="C64" s="22" t="s">
        <v>2450</v>
      </c>
      <c r="D64" s="22" t="s">
        <v>2451</v>
      </c>
      <c r="E64" s="22" t="s">
        <v>2452</v>
      </c>
      <c r="F64" s="22" t="s">
        <v>2453</v>
      </c>
      <c r="G64" s="22" t="s">
        <v>2454</v>
      </c>
      <c r="H64" s="22" t="s">
        <v>1427</v>
      </c>
      <c r="I64" s="22" t="s">
        <v>2455</v>
      </c>
      <c r="J64" s="22" t="s">
        <v>461</v>
      </c>
    </row>
    <row r="65" spans="1:10" x14ac:dyDescent="0.25">
      <c r="A65" s="22" t="s">
        <v>41</v>
      </c>
      <c r="B65" s="24" t="s">
        <v>19</v>
      </c>
      <c r="C65" s="22" t="s">
        <v>2456</v>
      </c>
      <c r="D65" s="22" t="s">
        <v>1351</v>
      </c>
      <c r="E65" s="22" t="s">
        <v>2457</v>
      </c>
      <c r="F65" s="22" t="s">
        <v>2458</v>
      </c>
      <c r="G65" s="22" t="s">
        <v>2459</v>
      </c>
      <c r="H65" s="22" t="s">
        <v>958</v>
      </c>
      <c r="I65" s="22" t="s">
        <v>2460</v>
      </c>
      <c r="J65" s="22" t="s">
        <v>2461</v>
      </c>
    </row>
    <row r="66" spans="1:10" x14ac:dyDescent="0.25">
      <c r="A66" s="22" t="s">
        <v>37</v>
      </c>
      <c r="B66" s="24" t="s">
        <v>16</v>
      </c>
      <c r="C66" s="22" t="s">
        <v>2561</v>
      </c>
      <c r="D66" s="22" t="s">
        <v>2562</v>
      </c>
      <c r="E66" s="22" t="s">
        <v>2563</v>
      </c>
      <c r="F66" s="22" t="s">
        <v>2564</v>
      </c>
      <c r="G66" s="22" t="s">
        <v>2565</v>
      </c>
      <c r="H66" s="22" t="s">
        <v>1779</v>
      </c>
      <c r="I66" s="22" t="s">
        <v>2566</v>
      </c>
      <c r="J66" s="22" t="s">
        <v>468</v>
      </c>
    </row>
    <row r="67" spans="1:10" x14ac:dyDescent="0.25">
      <c r="A67" s="22" t="s">
        <v>37</v>
      </c>
      <c r="B67" s="24" t="s">
        <v>17</v>
      </c>
      <c r="C67" s="22" t="s">
        <v>2567</v>
      </c>
      <c r="D67" s="22" t="s">
        <v>2568</v>
      </c>
      <c r="E67" s="22" t="s">
        <v>2569</v>
      </c>
      <c r="F67" s="22" t="s">
        <v>2570</v>
      </c>
      <c r="G67" s="22" t="s">
        <v>2571</v>
      </c>
      <c r="H67" s="22" t="s">
        <v>2572</v>
      </c>
      <c r="I67" s="22" t="s">
        <v>2573</v>
      </c>
      <c r="J67" s="22" t="s">
        <v>1559</v>
      </c>
    </row>
    <row r="68" spans="1:10" x14ac:dyDescent="0.25">
      <c r="A68" s="22" t="s">
        <v>37</v>
      </c>
      <c r="B68" s="24" t="s">
        <v>18</v>
      </c>
      <c r="C68" s="22" t="s">
        <v>2574</v>
      </c>
      <c r="D68" s="22" t="s">
        <v>2575</v>
      </c>
      <c r="E68" s="22" t="s">
        <v>2576</v>
      </c>
      <c r="F68" s="22" t="s">
        <v>2577</v>
      </c>
      <c r="G68" s="22" t="s">
        <v>2578</v>
      </c>
      <c r="H68" s="22" t="s">
        <v>2579</v>
      </c>
      <c r="I68" s="22" t="s">
        <v>2580</v>
      </c>
      <c r="J68" s="22" t="s">
        <v>1862</v>
      </c>
    </row>
    <row r="69" spans="1:10" x14ac:dyDescent="0.25">
      <c r="A69" s="22" t="s">
        <v>37</v>
      </c>
      <c r="B69" s="24" t="s">
        <v>19</v>
      </c>
      <c r="C69" s="22" t="s">
        <v>2581</v>
      </c>
      <c r="D69" s="22" t="s">
        <v>2582</v>
      </c>
      <c r="E69" s="22" t="s">
        <v>2583</v>
      </c>
      <c r="F69" s="22" t="s">
        <v>2584</v>
      </c>
      <c r="G69" s="22" t="s">
        <v>2585</v>
      </c>
      <c r="H69" s="22" t="s">
        <v>2586</v>
      </c>
      <c r="I69" s="22" t="s">
        <v>2587</v>
      </c>
      <c r="J69" s="22" t="s">
        <v>1873</v>
      </c>
    </row>
    <row r="70" spans="1:10" x14ac:dyDescent="0.25">
      <c r="A70" s="22" t="s">
        <v>42</v>
      </c>
      <c r="B70" s="24" t="s">
        <v>16</v>
      </c>
      <c r="C70" s="22" t="s">
        <v>2682</v>
      </c>
      <c r="D70" s="22" t="s">
        <v>2683</v>
      </c>
      <c r="E70" s="22" t="s">
        <v>2684</v>
      </c>
      <c r="F70" s="22" t="s">
        <v>2685</v>
      </c>
      <c r="G70" s="22" t="s">
        <v>2686</v>
      </c>
      <c r="H70" s="22" t="s">
        <v>794</v>
      </c>
      <c r="I70" s="22" t="s">
        <v>2687</v>
      </c>
      <c r="J70" s="22" t="s">
        <v>993</v>
      </c>
    </row>
    <row r="71" spans="1:10" x14ac:dyDescent="0.25">
      <c r="A71" s="22" t="s">
        <v>42</v>
      </c>
      <c r="B71" s="24" t="s">
        <v>17</v>
      </c>
      <c r="C71" s="22" t="s">
        <v>2688</v>
      </c>
      <c r="D71" s="22" t="s">
        <v>2689</v>
      </c>
      <c r="E71" s="22" t="s">
        <v>2690</v>
      </c>
      <c r="F71" s="22" t="s">
        <v>2691</v>
      </c>
      <c r="G71" s="22" t="s">
        <v>2692</v>
      </c>
      <c r="H71" s="22" t="s">
        <v>794</v>
      </c>
      <c r="I71" s="22" t="s">
        <v>2693</v>
      </c>
      <c r="J71" s="22" t="s">
        <v>245</v>
      </c>
    </row>
    <row r="72" spans="1:10" x14ac:dyDescent="0.25">
      <c r="A72" s="22" t="s">
        <v>42</v>
      </c>
      <c r="B72" s="24" t="s">
        <v>18</v>
      </c>
      <c r="C72" s="22" t="s">
        <v>2694</v>
      </c>
      <c r="D72" s="22" t="s">
        <v>2695</v>
      </c>
      <c r="E72" s="22" t="s">
        <v>2696</v>
      </c>
      <c r="F72" s="22" t="s">
        <v>2697</v>
      </c>
      <c r="G72" s="22" t="s">
        <v>2441</v>
      </c>
      <c r="H72" s="22" t="s">
        <v>1907</v>
      </c>
      <c r="I72" s="22" t="s">
        <v>2698</v>
      </c>
      <c r="J72" s="22" t="s">
        <v>1779</v>
      </c>
    </row>
    <row r="73" spans="1:10" x14ac:dyDescent="0.25">
      <c r="A73" s="22" t="s">
        <v>42</v>
      </c>
      <c r="B73" s="24" t="s">
        <v>19</v>
      </c>
      <c r="C73" s="22" t="s">
        <v>2699</v>
      </c>
      <c r="D73" s="22" t="s">
        <v>2700</v>
      </c>
      <c r="E73" s="22" t="s">
        <v>2701</v>
      </c>
      <c r="F73" s="22" t="s">
        <v>2702</v>
      </c>
      <c r="G73" s="22" t="s">
        <v>2703</v>
      </c>
      <c r="H73" s="22" t="s">
        <v>1675</v>
      </c>
      <c r="I73" s="22" t="s">
        <v>2704</v>
      </c>
      <c r="J73" s="22" t="s">
        <v>728</v>
      </c>
    </row>
    <row r="74" spans="1:10" x14ac:dyDescent="0.25">
      <c r="A74" s="22" t="s">
        <v>45</v>
      </c>
      <c r="B74" s="24" t="s">
        <v>16</v>
      </c>
      <c r="C74" s="22" t="s">
        <v>2799</v>
      </c>
      <c r="D74" s="22" t="s">
        <v>2048</v>
      </c>
      <c r="E74" s="22" t="s">
        <v>2800</v>
      </c>
      <c r="F74" s="22" t="s">
        <v>2801</v>
      </c>
      <c r="G74" s="22" t="s">
        <v>2802</v>
      </c>
      <c r="H74" s="22" t="s">
        <v>2655</v>
      </c>
      <c r="I74" s="22" t="s">
        <v>2803</v>
      </c>
      <c r="J74" s="22" t="s">
        <v>508</v>
      </c>
    </row>
    <row r="75" spans="1:10" x14ac:dyDescent="0.25">
      <c r="A75" s="22" t="s">
        <v>45</v>
      </c>
      <c r="B75" s="24" t="s">
        <v>17</v>
      </c>
      <c r="C75" s="22" t="s">
        <v>2804</v>
      </c>
      <c r="D75" s="22" t="s">
        <v>724</v>
      </c>
      <c r="E75" s="22" t="s">
        <v>2805</v>
      </c>
      <c r="F75" s="22" t="s">
        <v>2806</v>
      </c>
      <c r="G75" s="22" t="s">
        <v>2441</v>
      </c>
      <c r="H75" s="22" t="s">
        <v>2692</v>
      </c>
      <c r="I75" s="22" t="s">
        <v>2807</v>
      </c>
      <c r="J75" s="22" t="s">
        <v>1007</v>
      </c>
    </row>
    <row r="76" spans="1:10" x14ac:dyDescent="0.25">
      <c r="A76" s="22" t="s">
        <v>45</v>
      </c>
      <c r="B76" s="24" t="s">
        <v>18</v>
      </c>
      <c r="C76" s="22" t="s">
        <v>2808</v>
      </c>
      <c r="D76" s="22" t="s">
        <v>2809</v>
      </c>
      <c r="E76" s="22" t="s">
        <v>2810</v>
      </c>
      <c r="F76" s="22" t="s">
        <v>2811</v>
      </c>
      <c r="G76" s="22" t="s">
        <v>2774</v>
      </c>
      <c r="H76" s="22" t="s">
        <v>1238</v>
      </c>
      <c r="I76" s="22" t="s">
        <v>2812</v>
      </c>
      <c r="J76" s="22" t="s">
        <v>920</v>
      </c>
    </row>
    <row r="77" spans="1:10" x14ac:dyDescent="0.25">
      <c r="A77" s="22" t="s">
        <v>45</v>
      </c>
      <c r="B77" s="24" t="s">
        <v>19</v>
      </c>
      <c r="C77" s="22" t="s">
        <v>2813</v>
      </c>
      <c r="D77" s="22" t="s">
        <v>2814</v>
      </c>
      <c r="E77" s="22" t="s">
        <v>2815</v>
      </c>
      <c r="F77" s="22" t="s">
        <v>2816</v>
      </c>
      <c r="G77" s="22" t="s">
        <v>1116</v>
      </c>
      <c r="H77" s="22" t="s">
        <v>2692</v>
      </c>
      <c r="I77" s="22" t="s">
        <v>2817</v>
      </c>
      <c r="J77" s="22" t="s">
        <v>508</v>
      </c>
    </row>
    <row r="78" spans="1:10" x14ac:dyDescent="0.25">
      <c r="A78" s="22" t="s">
        <v>35</v>
      </c>
      <c r="B78" s="24" t="s">
        <v>16</v>
      </c>
      <c r="C78" s="22" t="s">
        <v>2899</v>
      </c>
      <c r="D78" s="22" t="s">
        <v>2900</v>
      </c>
      <c r="E78" s="22" t="s">
        <v>2901</v>
      </c>
      <c r="F78" s="22" t="s">
        <v>2902</v>
      </c>
      <c r="G78" s="22" t="s">
        <v>1915</v>
      </c>
      <c r="H78" s="22" t="s">
        <v>1075</v>
      </c>
      <c r="I78" s="22" t="s">
        <v>2903</v>
      </c>
      <c r="J78" s="22" t="s">
        <v>477</v>
      </c>
    </row>
    <row r="79" spans="1:10" x14ac:dyDescent="0.25">
      <c r="A79" s="22" t="s">
        <v>35</v>
      </c>
      <c r="B79" s="24" t="s">
        <v>17</v>
      </c>
      <c r="C79" s="22" t="s">
        <v>2904</v>
      </c>
      <c r="D79" s="22" t="s">
        <v>2905</v>
      </c>
      <c r="E79" s="22" t="s">
        <v>2906</v>
      </c>
      <c r="F79" s="22" t="s">
        <v>2907</v>
      </c>
      <c r="G79" s="22" t="s">
        <v>921</v>
      </c>
      <c r="H79" s="22" t="s">
        <v>1873</v>
      </c>
      <c r="I79" s="22" t="s">
        <v>2908</v>
      </c>
      <c r="J79" s="22" t="s">
        <v>2909</v>
      </c>
    </row>
    <row r="80" spans="1:10" x14ac:dyDescent="0.25">
      <c r="A80" s="22" t="s">
        <v>35</v>
      </c>
      <c r="B80" s="24" t="s">
        <v>18</v>
      </c>
      <c r="C80" s="22" t="s">
        <v>2910</v>
      </c>
      <c r="D80" s="22" t="s">
        <v>2911</v>
      </c>
      <c r="E80" s="22" t="s">
        <v>2912</v>
      </c>
      <c r="F80" s="22" t="s">
        <v>2913</v>
      </c>
      <c r="G80" s="22" t="s">
        <v>2914</v>
      </c>
      <c r="H80" s="22" t="s">
        <v>196</v>
      </c>
      <c r="I80" s="22" t="s">
        <v>2915</v>
      </c>
      <c r="J80" s="22" t="s">
        <v>537</v>
      </c>
    </row>
    <row r="81" spans="1:10" x14ac:dyDescent="0.25">
      <c r="A81" s="22" t="s">
        <v>35</v>
      </c>
      <c r="B81" s="24" t="s">
        <v>19</v>
      </c>
      <c r="C81" s="22" t="s">
        <v>2916</v>
      </c>
      <c r="D81" s="22" t="s">
        <v>2917</v>
      </c>
      <c r="E81" s="22" t="s">
        <v>2918</v>
      </c>
      <c r="F81" s="22" t="s">
        <v>2919</v>
      </c>
      <c r="G81" s="22" t="s">
        <v>273</v>
      </c>
      <c r="H81" s="22" t="s">
        <v>794</v>
      </c>
      <c r="I81" s="22" t="s">
        <v>2920</v>
      </c>
      <c r="J81" s="22" t="s">
        <v>1111</v>
      </c>
    </row>
    <row r="82" spans="1:10" x14ac:dyDescent="0.25">
      <c r="A82" s="22" t="s">
        <v>43</v>
      </c>
      <c r="B82" s="24" t="s">
        <v>16</v>
      </c>
      <c r="C82" s="22" t="s">
        <v>3015</v>
      </c>
      <c r="D82" s="22" t="s">
        <v>3016</v>
      </c>
      <c r="E82" s="22" t="s">
        <v>3017</v>
      </c>
      <c r="F82" s="22" t="s">
        <v>3018</v>
      </c>
      <c r="G82" s="22" t="s">
        <v>2785</v>
      </c>
      <c r="H82" s="22" t="s">
        <v>377</v>
      </c>
      <c r="I82" s="22" t="s">
        <v>3019</v>
      </c>
      <c r="J82" s="22" t="s">
        <v>3020</v>
      </c>
    </row>
    <row r="83" spans="1:10" x14ac:dyDescent="0.25">
      <c r="A83" s="22" t="s">
        <v>43</v>
      </c>
      <c r="B83" s="24" t="s">
        <v>17</v>
      </c>
      <c r="C83" s="22" t="s">
        <v>3021</v>
      </c>
      <c r="D83" s="22" t="s">
        <v>3022</v>
      </c>
      <c r="E83" s="22" t="s">
        <v>3023</v>
      </c>
      <c r="F83" s="22" t="s">
        <v>3024</v>
      </c>
      <c r="G83" s="22" t="s">
        <v>3025</v>
      </c>
      <c r="H83" s="22" t="s">
        <v>3026</v>
      </c>
      <c r="I83" s="22" t="s">
        <v>3027</v>
      </c>
      <c r="J83" s="22" t="s">
        <v>2675</v>
      </c>
    </row>
    <row r="84" spans="1:10" x14ac:dyDescent="0.25">
      <c r="A84" s="22" t="s">
        <v>43</v>
      </c>
      <c r="B84" s="24" t="s">
        <v>18</v>
      </c>
      <c r="C84" s="22" t="s">
        <v>3028</v>
      </c>
      <c r="D84" s="22" t="s">
        <v>3029</v>
      </c>
      <c r="E84" s="22" t="s">
        <v>3030</v>
      </c>
      <c r="F84" s="22" t="s">
        <v>3031</v>
      </c>
      <c r="G84" s="22" t="s">
        <v>3032</v>
      </c>
      <c r="H84" s="22" t="s">
        <v>1246</v>
      </c>
      <c r="I84" s="22" t="s">
        <v>3033</v>
      </c>
      <c r="J84" s="22" t="s">
        <v>807</v>
      </c>
    </row>
    <row r="85" spans="1:10" x14ac:dyDescent="0.25">
      <c r="A85" s="22" t="s">
        <v>43</v>
      </c>
      <c r="B85" s="24" t="s">
        <v>19</v>
      </c>
      <c r="C85" s="22" t="s">
        <v>3034</v>
      </c>
      <c r="D85" s="22" t="s">
        <v>3035</v>
      </c>
      <c r="E85" s="22" t="s">
        <v>3036</v>
      </c>
      <c r="F85" s="22" t="s">
        <v>3037</v>
      </c>
      <c r="G85" s="22" t="s">
        <v>2586</v>
      </c>
      <c r="H85" s="22" t="s">
        <v>350</v>
      </c>
      <c r="I85" s="22" t="s">
        <v>3038</v>
      </c>
      <c r="J85" s="22" t="s">
        <v>693</v>
      </c>
    </row>
    <row r="86" spans="1:10" x14ac:dyDescent="0.25">
      <c r="A86" s="22" t="s">
        <v>46</v>
      </c>
      <c r="B86" s="24" t="s">
        <v>16</v>
      </c>
      <c r="C86" s="22" t="s">
        <v>3127</v>
      </c>
      <c r="D86" s="22" t="s">
        <v>3128</v>
      </c>
      <c r="E86" s="22" t="s">
        <v>3129</v>
      </c>
      <c r="F86" s="22" t="s">
        <v>3130</v>
      </c>
      <c r="G86" s="22" t="s">
        <v>2768</v>
      </c>
      <c r="H86" s="22" t="s">
        <v>208</v>
      </c>
      <c r="I86" s="22" t="s">
        <v>3131</v>
      </c>
      <c r="J86" s="22" t="s">
        <v>1104</v>
      </c>
    </row>
    <row r="87" spans="1:10" x14ac:dyDescent="0.25">
      <c r="A87" s="22" t="s">
        <v>46</v>
      </c>
      <c r="B87" s="24" t="s">
        <v>17</v>
      </c>
      <c r="C87" s="22" t="s">
        <v>3132</v>
      </c>
      <c r="D87" s="22" t="s">
        <v>3133</v>
      </c>
      <c r="E87" s="22" t="s">
        <v>3134</v>
      </c>
      <c r="F87" s="22" t="s">
        <v>3135</v>
      </c>
      <c r="G87" s="22" t="s">
        <v>3136</v>
      </c>
      <c r="H87" s="22" t="s">
        <v>495</v>
      </c>
      <c r="I87" s="22" t="s">
        <v>3137</v>
      </c>
      <c r="J87" s="22" t="s">
        <v>352</v>
      </c>
    </row>
    <row r="88" spans="1:10" x14ac:dyDescent="0.25">
      <c r="A88" s="22" t="s">
        <v>46</v>
      </c>
      <c r="B88" s="24" t="s">
        <v>18</v>
      </c>
      <c r="C88" s="22" t="s">
        <v>3138</v>
      </c>
      <c r="D88" s="22" t="s">
        <v>3139</v>
      </c>
      <c r="E88" s="22" t="s">
        <v>3140</v>
      </c>
      <c r="F88" s="22" t="s">
        <v>3141</v>
      </c>
      <c r="G88" s="22" t="s">
        <v>416</v>
      </c>
      <c r="H88" s="22" t="s">
        <v>1309</v>
      </c>
      <c r="I88" s="22" t="s">
        <v>3142</v>
      </c>
      <c r="J88" s="22" t="s">
        <v>3143</v>
      </c>
    </row>
    <row r="89" spans="1:10" x14ac:dyDescent="0.25">
      <c r="A89" s="22" t="s">
        <v>46</v>
      </c>
      <c r="B89" s="24" t="s">
        <v>19</v>
      </c>
      <c r="C89" s="22" t="s">
        <v>3144</v>
      </c>
      <c r="D89" s="22" t="s">
        <v>3145</v>
      </c>
      <c r="E89" s="22" t="s">
        <v>3146</v>
      </c>
      <c r="F89" s="22" t="s">
        <v>3147</v>
      </c>
      <c r="G89" s="22" t="s">
        <v>416</v>
      </c>
      <c r="H89" s="22" t="s">
        <v>1516</v>
      </c>
      <c r="I89" s="22" t="s">
        <v>3148</v>
      </c>
      <c r="J89" s="22" t="s">
        <v>2238</v>
      </c>
    </row>
    <row r="90" spans="1:10" x14ac:dyDescent="0.25">
      <c r="A90" s="22" t="s">
        <v>47</v>
      </c>
      <c r="B90" s="24" t="s">
        <v>16</v>
      </c>
      <c r="C90" s="22" t="s">
        <v>3250</v>
      </c>
      <c r="D90" s="22" t="s">
        <v>3251</v>
      </c>
      <c r="E90" s="22" t="s">
        <v>3252</v>
      </c>
      <c r="F90" s="22" t="s">
        <v>3253</v>
      </c>
      <c r="G90" s="22" t="s">
        <v>3254</v>
      </c>
      <c r="H90" s="22" t="s">
        <v>2732</v>
      </c>
      <c r="I90" s="22" t="s">
        <v>3255</v>
      </c>
      <c r="J90" s="22" t="s">
        <v>3256</v>
      </c>
    </row>
    <row r="91" spans="1:10" x14ac:dyDescent="0.25">
      <c r="A91" s="22" t="s">
        <v>47</v>
      </c>
      <c r="B91" s="24" t="s">
        <v>17</v>
      </c>
      <c r="C91" s="22" t="s">
        <v>3257</v>
      </c>
      <c r="D91" s="22" t="s">
        <v>3258</v>
      </c>
      <c r="E91" s="22" t="s">
        <v>3259</v>
      </c>
      <c r="F91" s="22" t="s">
        <v>3260</v>
      </c>
      <c r="G91" s="22" t="s">
        <v>3261</v>
      </c>
      <c r="H91" s="22" t="s">
        <v>2732</v>
      </c>
      <c r="I91" s="22" t="s">
        <v>3262</v>
      </c>
      <c r="J91" s="22" t="s">
        <v>2283</v>
      </c>
    </row>
    <row r="92" spans="1:10" x14ac:dyDescent="0.25">
      <c r="A92" s="22" t="s">
        <v>47</v>
      </c>
      <c r="B92" s="24" t="s">
        <v>18</v>
      </c>
      <c r="C92" s="22" t="s">
        <v>3263</v>
      </c>
      <c r="D92" s="22" t="s">
        <v>3264</v>
      </c>
      <c r="E92" s="22" t="s">
        <v>3265</v>
      </c>
      <c r="F92" s="22" t="s">
        <v>3266</v>
      </c>
      <c r="G92" s="22" t="s">
        <v>2520</v>
      </c>
      <c r="H92" s="22" t="s">
        <v>1238</v>
      </c>
      <c r="I92" s="22" t="s">
        <v>3267</v>
      </c>
      <c r="J92" s="22" t="s">
        <v>3268</v>
      </c>
    </row>
    <row r="93" spans="1:10" x14ac:dyDescent="0.25">
      <c r="A93" s="22" t="s">
        <v>47</v>
      </c>
      <c r="B93" s="24" t="s">
        <v>19</v>
      </c>
      <c r="C93" s="22" t="s">
        <v>3269</v>
      </c>
      <c r="D93" s="22" t="s">
        <v>3270</v>
      </c>
      <c r="E93" s="22" t="s">
        <v>3271</v>
      </c>
      <c r="F93" s="22" t="s">
        <v>3272</v>
      </c>
      <c r="G93" s="22" t="s">
        <v>3273</v>
      </c>
      <c r="H93" s="22" t="s">
        <v>2692</v>
      </c>
      <c r="I93" s="22" t="s">
        <v>3274</v>
      </c>
      <c r="J93" s="22" t="s">
        <v>3275</v>
      </c>
    </row>
    <row r="94" spans="1:10" x14ac:dyDescent="0.25">
      <c r="A94" s="22" t="s">
        <v>40</v>
      </c>
      <c r="B94" s="24" t="s">
        <v>16</v>
      </c>
      <c r="C94" s="22" t="s">
        <v>3367</v>
      </c>
      <c r="D94" s="22" t="s">
        <v>3368</v>
      </c>
      <c r="E94" s="22" t="s">
        <v>3369</v>
      </c>
      <c r="F94" s="22" t="s">
        <v>3370</v>
      </c>
      <c r="G94" s="22" t="s">
        <v>441</v>
      </c>
      <c r="H94" s="22" t="s">
        <v>2281</v>
      </c>
      <c r="I94" s="22" t="s">
        <v>3371</v>
      </c>
      <c r="J94" s="22" t="s">
        <v>3372</v>
      </c>
    </row>
    <row r="95" spans="1:10" x14ac:dyDescent="0.25">
      <c r="A95" s="22" t="s">
        <v>40</v>
      </c>
      <c r="B95" s="24" t="s">
        <v>17</v>
      </c>
      <c r="C95" s="22" t="s">
        <v>3373</v>
      </c>
      <c r="D95" s="22" t="s">
        <v>3374</v>
      </c>
      <c r="E95" s="22" t="s">
        <v>3375</v>
      </c>
      <c r="F95" s="22" t="s">
        <v>3376</v>
      </c>
      <c r="G95" s="22" t="s">
        <v>1589</v>
      </c>
      <c r="H95" s="22" t="s">
        <v>2270</v>
      </c>
      <c r="I95" s="22" t="s">
        <v>3377</v>
      </c>
      <c r="J95" s="22" t="s">
        <v>586</v>
      </c>
    </row>
    <row r="96" spans="1:10" x14ac:dyDescent="0.25">
      <c r="A96" s="22" t="s">
        <v>40</v>
      </c>
      <c r="B96" s="24" t="s">
        <v>18</v>
      </c>
      <c r="C96" s="22" t="s">
        <v>3378</v>
      </c>
      <c r="D96" s="22" t="s">
        <v>3379</v>
      </c>
      <c r="E96" s="22" t="s">
        <v>3380</v>
      </c>
      <c r="F96" s="22" t="s">
        <v>3381</v>
      </c>
      <c r="G96" s="22" t="s">
        <v>1068</v>
      </c>
      <c r="H96" s="22" t="s">
        <v>1523</v>
      </c>
      <c r="I96" s="22" t="s">
        <v>3382</v>
      </c>
      <c r="J96" s="22" t="s">
        <v>2366</v>
      </c>
    </row>
    <row r="97" spans="1:10" x14ac:dyDescent="0.25">
      <c r="A97" s="22" t="s">
        <v>40</v>
      </c>
      <c r="B97" s="24" t="s">
        <v>19</v>
      </c>
      <c r="C97" s="22" t="s">
        <v>3383</v>
      </c>
      <c r="D97" s="22" t="s">
        <v>3384</v>
      </c>
      <c r="E97" s="22" t="s">
        <v>3385</v>
      </c>
      <c r="F97" s="22" t="s">
        <v>3386</v>
      </c>
      <c r="G97" s="22" t="s">
        <v>1699</v>
      </c>
      <c r="H97" s="22" t="s">
        <v>2774</v>
      </c>
      <c r="I97" s="22" t="s">
        <v>3387</v>
      </c>
      <c r="J97" s="22" t="s">
        <v>868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96DB-8095-475A-A587-73A4EC30A968}">
  <dimension ref="A1:J97"/>
  <sheetViews>
    <sheetView topLeftCell="A79" workbookViewId="0">
      <selection activeCell="P100" sqref="P100"/>
    </sheetView>
  </sheetViews>
  <sheetFormatPr defaultRowHeight="15" x14ac:dyDescent="0.25"/>
  <sheetData>
    <row r="1" spans="1:10" x14ac:dyDescent="0.25">
      <c r="A1" s="22" t="s">
        <v>634</v>
      </c>
      <c r="B1" s="22" t="s">
        <v>1</v>
      </c>
      <c r="C1" s="23" t="s">
        <v>49</v>
      </c>
      <c r="D1" s="23" t="s">
        <v>51</v>
      </c>
      <c r="E1" s="22" t="s">
        <v>638</v>
      </c>
      <c r="F1" s="22" t="s">
        <v>53</v>
      </c>
      <c r="G1" s="23" t="s">
        <v>54</v>
      </c>
      <c r="H1" s="23" t="s">
        <v>55</v>
      </c>
      <c r="I1" s="22" t="s">
        <v>56</v>
      </c>
      <c r="J1" s="23" t="s">
        <v>57</v>
      </c>
    </row>
    <row r="2" spans="1:10" x14ac:dyDescent="0.25">
      <c r="A2" s="22" t="s">
        <v>24</v>
      </c>
      <c r="B2" s="24" t="s">
        <v>20</v>
      </c>
      <c r="C2" s="22" t="s">
        <v>754</v>
      </c>
      <c r="D2" s="22" t="s">
        <v>755</v>
      </c>
      <c r="E2" s="22" t="s">
        <v>756</v>
      </c>
      <c r="F2" s="22" t="s">
        <v>757</v>
      </c>
      <c r="G2" s="22" t="s">
        <v>758</v>
      </c>
      <c r="H2" s="22" t="s">
        <v>586</v>
      </c>
      <c r="I2" s="22" t="s">
        <v>759</v>
      </c>
      <c r="J2" s="22" t="s">
        <v>760</v>
      </c>
    </row>
    <row r="3" spans="1:10" x14ac:dyDescent="0.25">
      <c r="A3" s="22" t="s">
        <v>24</v>
      </c>
      <c r="B3" s="24" t="s">
        <v>21</v>
      </c>
      <c r="C3" s="22" t="s">
        <v>761</v>
      </c>
      <c r="D3" s="22" t="s">
        <v>762</v>
      </c>
      <c r="E3" s="22" t="s">
        <v>763</v>
      </c>
      <c r="F3" s="22" t="s">
        <v>764</v>
      </c>
      <c r="G3" s="22" t="s">
        <v>278</v>
      </c>
      <c r="H3" s="22" t="s">
        <v>765</v>
      </c>
      <c r="I3" s="22" t="s">
        <v>766</v>
      </c>
      <c r="J3" s="22" t="s">
        <v>767</v>
      </c>
    </row>
    <row r="4" spans="1:10" x14ac:dyDescent="0.25">
      <c r="A4" s="22" t="s">
        <v>24</v>
      </c>
      <c r="B4" s="24" t="s">
        <v>22</v>
      </c>
      <c r="C4" s="22" t="s">
        <v>768</v>
      </c>
      <c r="D4" s="22" t="s">
        <v>769</v>
      </c>
      <c r="E4" s="22" t="s">
        <v>770</v>
      </c>
      <c r="F4" s="22" t="s">
        <v>771</v>
      </c>
      <c r="G4" s="22" t="s">
        <v>772</v>
      </c>
      <c r="H4" s="22" t="s">
        <v>773</v>
      </c>
      <c r="I4" s="22" t="s">
        <v>774</v>
      </c>
      <c r="J4" s="22" t="s">
        <v>775</v>
      </c>
    </row>
    <row r="5" spans="1:10" x14ac:dyDescent="0.25">
      <c r="A5" s="22" t="s">
        <v>24</v>
      </c>
      <c r="B5" s="24" t="s">
        <v>23</v>
      </c>
      <c r="C5" s="22" t="s">
        <v>776</v>
      </c>
      <c r="D5" s="22" t="s">
        <v>777</v>
      </c>
      <c r="E5" s="22" t="s">
        <v>778</v>
      </c>
      <c r="F5" s="22" t="s">
        <v>779</v>
      </c>
      <c r="G5" s="22" t="s">
        <v>780</v>
      </c>
      <c r="H5" s="22" t="s">
        <v>781</v>
      </c>
      <c r="I5" s="22" t="s">
        <v>782</v>
      </c>
      <c r="J5" s="22" t="s">
        <v>783</v>
      </c>
    </row>
    <row r="6" spans="1:10" x14ac:dyDescent="0.25">
      <c r="A6" s="22" t="s">
        <v>25</v>
      </c>
      <c r="B6" s="24" t="s">
        <v>20</v>
      </c>
      <c r="C6" s="22" t="s">
        <v>881</v>
      </c>
      <c r="D6" s="22" t="s">
        <v>882</v>
      </c>
      <c r="E6" s="22" t="s">
        <v>883</v>
      </c>
      <c r="F6" s="22" t="s">
        <v>884</v>
      </c>
      <c r="G6" s="22" t="s">
        <v>885</v>
      </c>
      <c r="H6" s="22" t="s">
        <v>886</v>
      </c>
      <c r="I6" s="22" t="s">
        <v>887</v>
      </c>
      <c r="J6" s="22" t="s">
        <v>888</v>
      </c>
    </row>
    <row r="7" spans="1:10" x14ac:dyDescent="0.25">
      <c r="A7" s="22" t="s">
        <v>25</v>
      </c>
      <c r="B7" s="24" t="s">
        <v>21</v>
      </c>
      <c r="C7" s="22" t="s">
        <v>889</v>
      </c>
      <c r="D7" s="22" t="s">
        <v>890</v>
      </c>
      <c r="E7" s="22" t="s">
        <v>891</v>
      </c>
      <c r="F7" s="22" t="s">
        <v>892</v>
      </c>
      <c r="G7" s="22" t="s">
        <v>502</v>
      </c>
      <c r="H7" s="22" t="s">
        <v>893</v>
      </c>
      <c r="I7" s="22" t="s">
        <v>894</v>
      </c>
      <c r="J7" s="22" t="s">
        <v>895</v>
      </c>
    </row>
    <row r="8" spans="1:10" x14ac:dyDescent="0.25">
      <c r="A8" s="22" t="s">
        <v>25</v>
      </c>
      <c r="B8" s="24" t="s">
        <v>22</v>
      </c>
      <c r="C8" s="22" t="s">
        <v>896</v>
      </c>
      <c r="D8" s="22" t="s">
        <v>897</v>
      </c>
      <c r="E8" s="22" t="s">
        <v>898</v>
      </c>
      <c r="F8" s="22" t="s">
        <v>899</v>
      </c>
      <c r="G8" s="22" t="s">
        <v>900</v>
      </c>
      <c r="H8" s="22" t="s">
        <v>901</v>
      </c>
      <c r="I8" s="22" t="s">
        <v>902</v>
      </c>
      <c r="J8" s="22" t="s">
        <v>903</v>
      </c>
    </row>
    <row r="9" spans="1:10" x14ac:dyDescent="0.25">
      <c r="A9" s="22" t="s">
        <v>25</v>
      </c>
      <c r="B9" s="24" t="s">
        <v>23</v>
      </c>
      <c r="C9" s="22" t="s">
        <v>904</v>
      </c>
      <c r="D9" s="22" t="s">
        <v>905</v>
      </c>
      <c r="E9" s="22" t="s">
        <v>906</v>
      </c>
      <c r="F9" s="22" t="s">
        <v>907</v>
      </c>
      <c r="G9" s="22" t="s">
        <v>859</v>
      </c>
      <c r="H9" s="22" t="s">
        <v>436</v>
      </c>
      <c r="I9" s="22" t="s">
        <v>908</v>
      </c>
      <c r="J9" s="22" t="s">
        <v>909</v>
      </c>
    </row>
    <row r="10" spans="1:10" x14ac:dyDescent="0.25">
      <c r="A10" s="22" t="s">
        <v>29</v>
      </c>
      <c r="B10" s="24" t="s">
        <v>20</v>
      </c>
      <c r="C10" s="22" t="s">
        <v>1017</v>
      </c>
      <c r="D10" s="22" t="s">
        <v>229</v>
      </c>
      <c r="E10" s="22" t="s">
        <v>1018</v>
      </c>
      <c r="F10" s="22" t="s">
        <v>1019</v>
      </c>
      <c r="G10" s="22" t="s">
        <v>233</v>
      </c>
      <c r="H10" s="22" t="s">
        <v>231</v>
      </c>
      <c r="I10" s="22" t="s">
        <v>1020</v>
      </c>
      <c r="J10" s="22" t="s">
        <v>230</v>
      </c>
    </row>
    <row r="11" spans="1:10" x14ac:dyDescent="0.25">
      <c r="A11" s="22" t="s">
        <v>29</v>
      </c>
      <c r="B11" s="24" t="s">
        <v>21</v>
      </c>
      <c r="C11" s="22" t="s">
        <v>1021</v>
      </c>
      <c r="D11" s="22" t="s">
        <v>236</v>
      </c>
      <c r="E11" s="22" t="s">
        <v>1022</v>
      </c>
      <c r="F11" s="22" t="s">
        <v>1023</v>
      </c>
      <c r="G11" s="22" t="s">
        <v>238</v>
      </c>
      <c r="H11" s="22" t="s">
        <v>237</v>
      </c>
      <c r="I11" s="22" t="s">
        <v>1024</v>
      </c>
      <c r="J11" s="22" t="s">
        <v>210</v>
      </c>
    </row>
    <row r="12" spans="1:10" x14ac:dyDescent="0.25">
      <c r="A12" s="22" t="s">
        <v>29</v>
      </c>
      <c r="B12" s="24" t="s">
        <v>22</v>
      </c>
      <c r="C12" s="22" t="s">
        <v>1025</v>
      </c>
      <c r="D12" s="22" t="s">
        <v>241</v>
      </c>
      <c r="E12" s="22" t="s">
        <v>1026</v>
      </c>
      <c r="F12" s="22" t="s">
        <v>1027</v>
      </c>
      <c r="G12" s="22" t="s">
        <v>244</v>
      </c>
      <c r="H12" s="22" t="s">
        <v>243</v>
      </c>
      <c r="I12" s="22" t="s">
        <v>1028</v>
      </c>
      <c r="J12" s="22" t="s">
        <v>242</v>
      </c>
    </row>
    <row r="13" spans="1:10" x14ac:dyDescent="0.25">
      <c r="A13" s="22" t="s">
        <v>29</v>
      </c>
      <c r="B13" s="24" t="s">
        <v>23</v>
      </c>
      <c r="C13" s="22" t="s">
        <v>1029</v>
      </c>
      <c r="D13" s="22" t="s">
        <v>1030</v>
      </c>
      <c r="E13" s="22" t="s">
        <v>1031</v>
      </c>
      <c r="F13" s="22" t="s">
        <v>1032</v>
      </c>
      <c r="G13" s="22" t="s">
        <v>473</v>
      </c>
      <c r="H13" s="22" t="s">
        <v>370</v>
      </c>
      <c r="I13" s="22" t="s">
        <v>1033</v>
      </c>
      <c r="J13" s="22" t="s">
        <v>1034</v>
      </c>
    </row>
    <row r="14" spans="1:10" x14ac:dyDescent="0.25">
      <c r="A14" s="22" t="s">
        <v>26</v>
      </c>
      <c r="B14" s="24" t="s">
        <v>20</v>
      </c>
      <c r="C14" s="22" t="s">
        <v>1142</v>
      </c>
      <c r="D14" s="22" t="s">
        <v>1143</v>
      </c>
      <c r="E14" s="22" t="s">
        <v>1144</v>
      </c>
      <c r="F14" s="22" t="s">
        <v>1145</v>
      </c>
      <c r="G14" s="22" t="s">
        <v>1146</v>
      </c>
      <c r="H14" s="22" t="s">
        <v>508</v>
      </c>
      <c r="I14" s="22" t="s">
        <v>1147</v>
      </c>
      <c r="J14" s="22" t="s">
        <v>1148</v>
      </c>
    </row>
    <row r="15" spans="1:10" x14ac:dyDescent="0.25">
      <c r="A15" s="22" t="s">
        <v>26</v>
      </c>
      <c r="B15" s="24" t="s">
        <v>21</v>
      </c>
      <c r="C15" s="22" t="s">
        <v>1149</v>
      </c>
      <c r="D15" s="22" t="s">
        <v>1150</v>
      </c>
      <c r="E15" s="22" t="s">
        <v>1151</v>
      </c>
      <c r="F15" s="22" t="s">
        <v>1152</v>
      </c>
      <c r="G15" s="22" t="s">
        <v>1075</v>
      </c>
      <c r="H15" s="22" t="s">
        <v>512</v>
      </c>
      <c r="I15" s="22" t="s">
        <v>1153</v>
      </c>
      <c r="J15" s="22" t="s">
        <v>1154</v>
      </c>
    </row>
    <row r="16" spans="1:10" x14ac:dyDescent="0.25">
      <c r="A16" s="22" t="s">
        <v>26</v>
      </c>
      <c r="B16" s="24" t="s">
        <v>22</v>
      </c>
      <c r="C16" s="22" t="s">
        <v>1155</v>
      </c>
      <c r="D16" s="22" t="s">
        <v>1156</v>
      </c>
      <c r="E16" s="22" t="s">
        <v>1157</v>
      </c>
      <c r="F16" s="22" t="s">
        <v>1158</v>
      </c>
      <c r="G16" s="22" t="s">
        <v>1159</v>
      </c>
      <c r="H16" s="22" t="s">
        <v>794</v>
      </c>
      <c r="I16" s="22" t="s">
        <v>1160</v>
      </c>
      <c r="J16" s="22" t="s">
        <v>1161</v>
      </c>
    </row>
    <row r="17" spans="1:10" x14ac:dyDescent="0.25">
      <c r="A17" s="22" t="s">
        <v>26</v>
      </c>
      <c r="B17" s="24" t="s">
        <v>23</v>
      </c>
      <c r="C17" s="22" t="s">
        <v>1162</v>
      </c>
      <c r="D17" s="22" t="s">
        <v>1163</v>
      </c>
      <c r="E17" s="22" t="s">
        <v>1164</v>
      </c>
      <c r="F17" s="22" t="s">
        <v>1165</v>
      </c>
      <c r="G17" s="22" t="s">
        <v>661</v>
      </c>
      <c r="H17" s="22" t="s">
        <v>700</v>
      </c>
      <c r="I17" s="22" t="s">
        <v>1166</v>
      </c>
      <c r="J17" s="22" t="s">
        <v>1167</v>
      </c>
    </row>
    <row r="18" spans="1:10" x14ac:dyDescent="0.25">
      <c r="A18" s="22" t="s">
        <v>27</v>
      </c>
      <c r="B18" s="24" t="s">
        <v>20</v>
      </c>
      <c r="C18" s="22" t="s">
        <v>1271</v>
      </c>
      <c r="D18" s="22" t="s">
        <v>1272</v>
      </c>
      <c r="E18" s="22" t="s">
        <v>1273</v>
      </c>
      <c r="F18" s="22" t="s">
        <v>1274</v>
      </c>
      <c r="G18" s="22" t="s">
        <v>441</v>
      </c>
      <c r="H18" s="22" t="s">
        <v>660</v>
      </c>
      <c r="I18" s="22" t="s">
        <v>1275</v>
      </c>
      <c r="J18" s="22" t="s">
        <v>336</v>
      </c>
    </row>
    <row r="19" spans="1:10" x14ac:dyDescent="0.25">
      <c r="A19" s="22" t="s">
        <v>27</v>
      </c>
      <c r="B19" s="24" t="s">
        <v>21</v>
      </c>
      <c r="C19" s="22" t="s">
        <v>1276</v>
      </c>
      <c r="D19" s="22" t="s">
        <v>1277</v>
      </c>
      <c r="E19" s="22" t="s">
        <v>1278</v>
      </c>
      <c r="F19" s="22" t="s">
        <v>1279</v>
      </c>
      <c r="G19" s="22" t="s">
        <v>1280</v>
      </c>
      <c r="H19" s="22" t="s">
        <v>1211</v>
      </c>
      <c r="I19" s="22" t="s">
        <v>1281</v>
      </c>
      <c r="J19" s="22" t="s">
        <v>1282</v>
      </c>
    </row>
    <row r="20" spans="1:10" x14ac:dyDescent="0.25">
      <c r="A20" s="22" t="s">
        <v>27</v>
      </c>
      <c r="B20" s="24" t="s">
        <v>22</v>
      </c>
      <c r="C20" s="22" t="s">
        <v>1283</v>
      </c>
      <c r="D20" s="22" t="s">
        <v>1214</v>
      </c>
      <c r="E20" s="22" t="s">
        <v>1284</v>
      </c>
      <c r="F20" s="22" t="s">
        <v>1285</v>
      </c>
      <c r="G20" s="22" t="s">
        <v>1280</v>
      </c>
      <c r="H20" s="22" t="s">
        <v>1286</v>
      </c>
      <c r="I20" s="22" t="s">
        <v>1287</v>
      </c>
      <c r="J20" s="22" t="s">
        <v>1148</v>
      </c>
    </row>
    <row r="21" spans="1:10" x14ac:dyDescent="0.25">
      <c r="A21" s="22" t="s">
        <v>27</v>
      </c>
      <c r="B21" s="24" t="s">
        <v>23</v>
      </c>
      <c r="C21" s="22" t="s">
        <v>1288</v>
      </c>
      <c r="D21" s="22" t="s">
        <v>1289</v>
      </c>
      <c r="E21" s="22" t="s">
        <v>1290</v>
      </c>
      <c r="F21" s="22" t="s">
        <v>1291</v>
      </c>
      <c r="G21" s="22" t="s">
        <v>268</v>
      </c>
      <c r="H21" s="22" t="s">
        <v>502</v>
      </c>
      <c r="I21" s="22" t="s">
        <v>1292</v>
      </c>
      <c r="J21" s="22" t="s">
        <v>1293</v>
      </c>
    </row>
    <row r="22" spans="1:10" x14ac:dyDescent="0.25">
      <c r="A22" s="22" t="s">
        <v>32</v>
      </c>
      <c r="B22" s="24" t="s">
        <v>20</v>
      </c>
      <c r="C22" s="22" t="s">
        <v>1387</v>
      </c>
      <c r="D22" s="22" t="s">
        <v>335</v>
      </c>
      <c r="E22" s="22" t="s">
        <v>1388</v>
      </c>
      <c r="F22" s="22" t="s">
        <v>1389</v>
      </c>
      <c r="G22" s="22" t="s">
        <v>338</v>
      </c>
      <c r="H22" s="22" t="s">
        <v>337</v>
      </c>
      <c r="I22" s="22" t="s">
        <v>1390</v>
      </c>
      <c r="J22" s="22" t="s">
        <v>336</v>
      </c>
    </row>
    <row r="23" spans="1:10" x14ac:dyDescent="0.25">
      <c r="A23" s="22" t="s">
        <v>32</v>
      </c>
      <c r="B23" s="24" t="s">
        <v>21</v>
      </c>
      <c r="C23" s="22" t="s">
        <v>1391</v>
      </c>
      <c r="D23" s="22" t="s">
        <v>341</v>
      </c>
      <c r="E23" s="22" t="s">
        <v>1392</v>
      </c>
      <c r="F23" s="22" t="s">
        <v>1393</v>
      </c>
      <c r="G23" s="22" t="s">
        <v>344</v>
      </c>
      <c r="H23" s="22" t="s">
        <v>343</v>
      </c>
      <c r="I23" s="22" t="s">
        <v>1394</v>
      </c>
      <c r="J23" s="22" t="s">
        <v>342</v>
      </c>
    </row>
    <row r="24" spans="1:10" x14ac:dyDescent="0.25">
      <c r="A24" s="22" t="s">
        <v>32</v>
      </c>
      <c r="B24" s="24" t="s">
        <v>22</v>
      </c>
      <c r="C24" s="22" t="s">
        <v>1395</v>
      </c>
      <c r="D24" s="22" t="s">
        <v>347</v>
      </c>
      <c r="E24" s="22" t="s">
        <v>1396</v>
      </c>
      <c r="F24" s="22" t="s">
        <v>1397</v>
      </c>
      <c r="G24" s="22" t="s">
        <v>350</v>
      </c>
      <c r="H24" s="22" t="s">
        <v>349</v>
      </c>
      <c r="I24" s="22" t="s">
        <v>1398</v>
      </c>
      <c r="J24" s="22" t="s">
        <v>348</v>
      </c>
    </row>
    <row r="25" spans="1:10" x14ac:dyDescent="0.25">
      <c r="A25" s="22" t="s">
        <v>32</v>
      </c>
      <c r="B25" s="24" t="s">
        <v>23</v>
      </c>
      <c r="C25" s="22" t="s">
        <v>1399</v>
      </c>
      <c r="D25" s="22" t="s">
        <v>1400</v>
      </c>
      <c r="E25" s="22" t="s">
        <v>1401</v>
      </c>
      <c r="F25" s="22" t="s">
        <v>1402</v>
      </c>
      <c r="G25" s="22" t="s">
        <v>243</v>
      </c>
      <c r="H25" s="22" t="s">
        <v>1403</v>
      </c>
      <c r="I25" s="22" t="s">
        <v>1404</v>
      </c>
      <c r="J25" s="22" t="s">
        <v>352</v>
      </c>
    </row>
    <row r="26" spans="1:10" x14ac:dyDescent="0.25">
      <c r="A26" s="22" t="s">
        <v>31</v>
      </c>
      <c r="B26" s="24" t="s">
        <v>20</v>
      </c>
      <c r="C26" s="22" t="s">
        <v>1500</v>
      </c>
      <c r="D26" s="22" t="s">
        <v>299</v>
      </c>
      <c r="E26" s="22" t="s">
        <v>1501</v>
      </c>
      <c r="F26" s="22" t="s">
        <v>1502</v>
      </c>
      <c r="G26" s="22" t="s">
        <v>302</v>
      </c>
      <c r="H26" s="22" t="s">
        <v>301</v>
      </c>
      <c r="I26" s="22" t="s">
        <v>1503</v>
      </c>
      <c r="J26" s="22" t="s">
        <v>300</v>
      </c>
    </row>
    <row r="27" spans="1:10" x14ac:dyDescent="0.25">
      <c r="A27" s="22" t="s">
        <v>31</v>
      </c>
      <c r="B27" s="24" t="s">
        <v>21</v>
      </c>
      <c r="C27" s="22" t="s">
        <v>1504</v>
      </c>
      <c r="D27" s="22" t="s">
        <v>306</v>
      </c>
      <c r="E27" s="22" t="s">
        <v>1505</v>
      </c>
      <c r="F27" s="22" t="s">
        <v>1506</v>
      </c>
      <c r="G27" s="22" t="s">
        <v>309</v>
      </c>
      <c r="H27" s="22" t="s">
        <v>308</v>
      </c>
      <c r="I27" s="22" t="s">
        <v>1507</v>
      </c>
      <c r="J27" s="22" t="s">
        <v>307</v>
      </c>
    </row>
    <row r="28" spans="1:10" x14ac:dyDescent="0.25">
      <c r="A28" s="22" t="s">
        <v>31</v>
      </c>
      <c r="B28" s="24" t="s">
        <v>22</v>
      </c>
      <c r="C28" s="22" t="s">
        <v>1508</v>
      </c>
      <c r="D28" s="22" t="s">
        <v>313</v>
      </c>
      <c r="E28" s="22" t="s">
        <v>1509</v>
      </c>
      <c r="F28" s="22" t="s">
        <v>1510</v>
      </c>
      <c r="G28" s="22" t="s">
        <v>316</v>
      </c>
      <c r="H28" s="22" t="s">
        <v>315</v>
      </c>
      <c r="I28" s="22" t="s">
        <v>1511</v>
      </c>
      <c r="J28" s="22" t="s">
        <v>314</v>
      </c>
    </row>
    <row r="29" spans="1:10" x14ac:dyDescent="0.25">
      <c r="A29" s="22" t="s">
        <v>31</v>
      </c>
      <c r="B29" s="24" t="s">
        <v>23</v>
      </c>
      <c r="C29" s="22" t="s">
        <v>1512</v>
      </c>
      <c r="D29" s="22" t="s">
        <v>1513</v>
      </c>
      <c r="E29" s="22" t="s">
        <v>1514</v>
      </c>
      <c r="F29" s="22" t="s">
        <v>1515</v>
      </c>
      <c r="G29" s="22" t="s">
        <v>994</v>
      </c>
      <c r="H29" s="22" t="s">
        <v>1516</v>
      </c>
      <c r="I29" s="22" t="s">
        <v>1517</v>
      </c>
      <c r="J29" s="22" t="s">
        <v>1518</v>
      </c>
    </row>
    <row r="30" spans="1:10" x14ac:dyDescent="0.25">
      <c r="A30" s="22" t="s">
        <v>34</v>
      </c>
      <c r="B30" s="24" t="s">
        <v>20</v>
      </c>
      <c r="C30" s="22" t="s">
        <v>1609</v>
      </c>
      <c r="D30" s="22" t="s">
        <v>460</v>
      </c>
      <c r="E30" s="22" t="s">
        <v>1610</v>
      </c>
      <c r="F30" s="22" t="s">
        <v>1611</v>
      </c>
      <c r="G30" s="22" t="s">
        <v>463</v>
      </c>
      <c r="H30" s="22" t="s">
        <v>462</v>
      </c>
      <c r="I30" s="22" t="s">
        <v>1612</v>
      </c>
      <c r="J30" s="22" t="s">
        <v>461</v>
      </c>
    </row>
    <row r="31" spans="1:10" x14ac:dyDescent="0.25">
      <c r="A31" s="22" t="s">
        <v>34</v>
      </c>
      <c r="B31" s="24" t="s">
        <v>21</v>
      </c>
      <c r="C31" s="22" t="s">
        <v>1613</v>
      </c>
      <c r="D31" s="22" t="s">
        <v>466</v>
      </c>
      <c r="E31" s="22" t="s">
        <v>1614</v>
      </c>
      <c r="F31" s="22" t="s">
        <v>1615</v>
      </c>
      <c r="G31" s="22" t="s">
        <v>469</v>
      </c>
      <c r="H31" s="22" t="s">
        <v>468</v>
      </c>
      <c r="I31" s="22" t="s">
        <v>1616</v>
      </c>
      <c r="J31" s="22" t="s">
        <v>467</v>
      </c>
    </row>
    <row r="32" spans="1:10" x14ac:dyDescent="0.25">
      <c r="A32" s="22" t="s">
        <v>34</v>
      </c>
      <c r="B32" s="24" t="s">
        <v>22</v>
      </c>
      <c r="C32" s="22" t="s">
        <v>1617</v>
      </c>
      <c r="D32" s="22" t="s">
        <v>472</v>
      </c>
      <c r="E32" s="22" t="s">
        <v>1618</v>
      </c>
      <c r="F32" s="22" t="s">
        <v>1619</v>
      </c>
      <c r="G32" s="22" t="s">
        <v>338</v>
      </c>
      <c r="H32" s="22" t="s">
        <v>274</v>
      </c>
      <c r="I32" s="22" t="s">
        <v>1620</v>
      </c>
      <c r="J32" s="22" t="s">
        <v>473</v>
      </c>
    </row>
    <row r="33" spans="1:10" x14ac:dyDescent="0.25">
      <c r="A33" s="22" t="s">
        <v>34</v>
      </c>
      <c r="B33" s="24" t="s">
        <v>23</v>
      </c>
      <c r="C33" s="22" t="s">
        <v>1621</v>
      </c>
      <c r="D33" s="22" t="s">
        <v>476</v>
      </c>
      <c r="E33" s="22" t="s">
        <v>1622</v>
      </c>
      <c r="F33" s="22" t="s">
        <v>1623</v>
      </c>
      <c r="G33" s="22" t="s">
        <v>469</v>
      </c>
      <c r="H33" s="22" t="s">
        <v>468</v>
      </c>
      <c r="I33" s="22" t="s">
        <v>1624</v>
      </c>
      <c r="J33" s="22" t="s">
        <v>477</v>
      </c>
    </row>
    <row r="34" spans="1:10" x14ac:dyDescent="0.25">
      <c r="A34" s="22" t="s">
        <v>28</v>
      </c>
      <c r="B34" s="24" t="s">
        <v>20</v>
      </c>
      <c r="C34" s="22" t="s">
        <v>1724</v>
      </c>
      <c r="D34" s="22" t="s">
        <v>1725</v>
      </c>
      <c r="E34" s="22" t="s">
        <v>1726</v>
      </c>
      <c r="F34" s="22" t="s">
        <v>1727</v>
      </c>
      <c r="G34" s="22" t="s">
        <v>197</v>
      </c>
      <c r="H34" s="22" t="s">
        <v>196</v>
      </c>
      <c r="I34" s="22" t="s">
        <v>1728</v>
      </c>
      <c r="J34" s="22" t="s">
        <v>195</v>
      </c>
    </row>
    <row r="35" spans="1:10" x14ac:dyDescent="0.25">
      <c r="A35" s="22" t="s">
        <v>28</v>
      </c>
      <c r="B35" s="24" t="s">
        <v>21</v>
      </c>
      <c r="C35" s="22" t="s">
        <v>1729</v>
      </c>
      <c r="D35" s="22" t="s">
        <v>200</v>
      </c>
      <c r="E35" s="22" t="s">
        <v>1730</v>
      </c>
      <c r="F35" s="22" t="s">
        <v>1731</v>
      </c>
      <c r="G35" s="22" t="s">
        <v>203</v>
      </c>
      <c r="H35" s="22" t="s">
        <v>202</v>
      </c>
      <c r="I35" s="22" t="s">
        <v>1732</v>
      </c>
      <c r="J35" s="22" t="s">
        <v>201</v>
      </c>
    </row>
    <row r="36" spans="1:10" x14ac:dyDescent="0.25">
      <c r="A36" s="22" t="s">
        <v>28</v>
      </c>
      <c r="B36" s="24" t="s">
        <v>22</v>
      </c>
      <c r="C36" s="22" t="s">
        <v>1733</v>
      </c>
      <c r="D36" s="22" t="s">
        <v>206</v>
      </c>
      <c r="E36" s="22" t="s">
        <v>1734</v>
      </c>
      <c r="F36" s="22" t="s">
        <v>1735</v>
      </c>
      <c r="G36" s="22" t="s">
        <v>209</v>
      </c>
      <c r="H36" s="22" t="s">
        <v>208</v>
      </c>
      <c r="I36" s="22" t="s">
        <v>1736</v>
      </c>
      <c r="J36" s="22" t="s">
        <v>207</v>
      </c>
    </row>
    <row r="37" spans="1:10" x14ac:dyDescent="0.25">
      <c r="A37" s="22" t="s">
        <v>28</v>
      </c>
      <c r="B37" s="24" t="s">
        <v>23</v>
      </c>
      <c r="C37" s="22" t="s">
        <v>1737</v>
      </c>
      <c r="D37" s="22" t="s">
        <v>1738</v>
      </c>
      <c r="E37" s="22" t="s">
        <v>1739</v>
      </c>
      <c r="F37" s="22" t="s">
        <v>1740</v>
      </c>
      <c r="G37" s="22" t="s">
        <v>1741</v>
      </c>
      <c r="H37" s="22" t="s">
        <v>795</v>
      </c>
      <c r="I37" s="22" t="s">
        <v>1742</v>
      </c>
      <c r="J37" s="22" t="s">
        <v>1743</v>
      </c>
    </row>
    <row r="38" spans="1:10" x14ac:dyDescent="0.25">
      <c r="A38" s="22" t="s">
        <v>30</v>
      </c>
      <c r="B38" s="24" t="s">
        <v>20</v>
      </c>
      <c r="C38" s="22" t="s">
        <v>1842</v>
      </c>
      <c r="D38" s="22" t="s">
        <v>264</v>
      </c>
      <c r="E38" s="22" t="s">
        <v>1843</v>
      </c>
      <c r="F38" s="22" t="s">
        <v>1844</v>
      </c>
      <c r="G38" s="22" t="s">
        <v>268</v>
      </c>
      <c r="H38" s="22" t="s">
        <v>266</v>
      </c>
      <c r="I38" s="22" t="s">
        <v>1845</v>
      </c>
      <c r="J38" s="22" t="s">
        <v>265</v>
      </c>
    </row>
    <row r="39" spans="1:10" x14ac:dyDescent="0.25">
      <c r="A39" s="22" t="s">
        <v>30</v>
      </c>
      <c r="B39" s="24" t="s">
        <v>21</v>
      </c>
      <c r="C39" s="22" t="s">
        <v>1846</v>
      </c>
      <c r="D39" s="22" t="s">
        <v>271</v>
      </c>
      <c r="E39" s="22" t="s">
        <v>1847</v>
      </c>
      <c r="F39" s="22" t="s">
        <v>1848</v>
      </c>
      <c r="G39" s="22" t="s">
        <v>273</v>
      </c>
      <c r="H39" s="22" t="s">
        <v>272</v>
      </c>
      <c r="I39" s="22" t="s">
        <v>1849</v>
      </c>
      <c r="J39" s="22" t="s">
        <v>265</v>
      </c>
    </row>
    <row r="40" spans="1:10" x14ac:dyDescent="0.25">
      <c r="A40" s="22" t="s">
        <v>30</v>
      </c>
      <c r="B40" s="24" t="s">
        <v>22</v>
      </c>
      <c r="C40" s="22" t="s">
        <v>1850</v>
      </c>
      <c r="D40" s="22" t="s">
        <v>277</v>
      </c>
      <c r="E40" s="22" t="s">
        <v>1851</v>
      </c>
      <c r="F40" s="22" t="s">
        <v>1852</v>
      </c>
      <c r="G40" s="22" t="s">
        <v>280</v>
      </c>
      <c r="H40" s="22" t="s">
        <v>279</v>
      </c>
      <c r="I40" s="22" t="s">
        <v>1853</v>
      </c>
      <c r="J40" s="22" t="s">
        <v>278</v>
      </c>
    </row>
    <row r="41" spans="1:10" x14ac:dyDescent="0.25">
      <c r="A41" s="22" t="s">
        <v>30</v>
      </c>
      <c r="B41" s="24" t="s">
        <v>23</v>
      </c>
      <c r="C41" s="22" t="s">
        <v>1854</v>
      </c>
      <c r="D41" s="22" t="s">
        <v>1011</v>
      </c>
      <c r="E41" s="22" t="s">
        <v>1855</v>
      </c>
      <c r="F41" s="22" t="s">
        <v>1856</v>
      </c>
      <c r="G41" s="22" t="s">
        <v>232</v>
      </c>
      <c r="H41" s="22" t="s">
        <v>195</v>
      </c>
      <c r="I41" s="22" t="s">
        <v>1857</v>
      </c>
      <c r="J41" s="22" t="s">
        <v>1858</v>
      </c>
    </row>
    <row r="42" spans="1:10" x14ac:dyDescent="0.25">
      <c r="A42" s="22" t="s">
        <v>44</v>
      </c>
      <c r="B42" s="24" t="s">
        <v>20</v>
      </c>
      <c r="C42" s="22" t="s">
        <v>1940</v>
      </c>
      <c r="D42" s="22" t="s">
        <v>1941</v>
      </c>
      <c r="E42" s="22" t="s">
        <v>1273</v>
      </c>
      <c r="F42" s="22" t="s">
        <v>1942</v>
      </c>
      <c r="G42" s="22" t="s">
        <v>937</v>
      </c>
      <c r="H42" s="22" t="s">
        <v>1943</v>
      </c>
      <c r="I42" s="22" t="s">
        <v>1944</v>
      </c>
      <c r="J42" s="22" t="s">
        <v>1821</v>
      </c>
    </row>
    <row r="43" spans="1:10" x14ac:dyDescent="0.25">
      <c r="A43" s="22" t="s">
        <v>44</v>
      </c>
      <c r="B43" s="24" t="s">
        <v>21</v>
      </c>
      <c r="C43" s="22" t="s">
        <v>1945</v>
      </c>
      <c r="D43" s="22" t="s">
        <v>1946</v>
      </c>
      <c r="E43" s="22" t="s">
        <v>1278</v>
      </c>
      <c r="F43" s="22" t="s">
        <v>1947</v>
      </c>
      <c r="G43" s="22" t="s">
        <v>1948</v>
      </c>
      <c r="H43" s="22" t="s">
        <v>1589</v>
      </c>
      <c r="I43" s="22" t="s">
        <v>1949</v>
      </c>
      <c r="J43" s="22" t="s">
        <v>1950</v>
      </c>
    </row>
    <row r="44" spans="1:10" x14ac:dyDescent="0.25">
      <c r="A44" s="22" t="s">
        <v>44</v>
      </c>
      <c r="B44" s="24" t="s">
        <v>22</v>
      </c>
      <c r="C44" s="22" t="s">
        <v>1951</v>
      </c>
      <c r="D44" s="22" t="s">
        <v>1436</v>
      </c>
      <c r="E44" s="22" t="s">
        <v>1284</v>
      </c>
      <c r="F44" s="22" t="s">
        <v>1952</v>
      </c>
      <c r="G44" s="22" t="s">
        <v>370</v>
      </c>
      <c r="H44" s="22" t="s">
        <v>415</v>
      </c>
      <c r="I44" s="22" t="s">
        <v>1953</v>
      </c>
      <c r="J44" s="22" t="s">
        <v>1954</v>
      </c>
    </row>
    <row r="45" spans="1:10" x14ac:dyDescent="0.25">
      <c r="A45" s="22" t="s">
        <v>44</v>
      </c>
      <c r="B45" s="24" t="s">
        <v>23</v>
      </c>
      <c r="C45" s="22" t="s">
        <v>1955</v>
      </c>
      <c r="D45" s="22" t="s">
        <v>1956</v>
      </c>
      <c r="E45" s="22" t="s">
        <v>1290</v>
      </c>
      <c r="F45" s="22" t="s">
        <v>1957</v>
      </c>
      <c r="G45" s="22" t="s">
        <v>1958</v>
      </c>
      <c r="H45" s="22" t="s">
        <v>1943</v>
      </c>
      <c r="I45" s="22" t="s">
        <v>1959</v>
      </c>
      <c r="J45" s="22" t="s">
        <v>1270</v>
      </c>
    </row>
    <row r="46" spans="1:10" x14ac:dyDescent="0.25">
      <c r="A46" s="22" t="s">
        <v>33</v>
      </c>
      <c r="B46" s="24" t="s">
        <v>20</v>
      </c>
      <c r="C46" s="22" t="s">
        <v>2024</v>
      </c>
      <c r="D46" s="22" t="s">
        <v>428</v>
      </c>
      <c r="E46" s="22" t="s">
        <v>2025</v>
      </c>
      <c r="F46" s="22" t="s">
        <v>2026</v>
      </c>
      <c r="G46" s="22" t="s">
        <v>430</v>
      </c>
      <c r="H46" s="22" t="s">
        <v>429</v>
      </c>
      <c r="I46" s="22" t="s">
        <v>2027</v>
      </c>
      <c r="J46" s="22" t="s">
        <v>377</v>
      </c>
    </row>
    <row r="47" spans="1:10" x14ac:dyDescent="0.25">
      <c r="A47" s="22" t="s">
        <v>33</v>
      </c>
      <c r="B47" s="24" t="s">
        <v>21</v>
      </c>
      <c r="C47" s="22" t="s">
        <v>2028</v>
      </c>
      <c r="D47" s="22" t="s">
        <v>433</v>
      </c>
      <c r="E47" s="22" t="s">
        <v>2029</v>
      </c>
      <c r="F47" s="22" t="s">
        <v>2030</v>
      </c>
      <c r="G47" s="22" t="s">
        <v>436</v>
      </c>
      <c r="H47" s="22" t="s">
        <v>435</v>
      </c>
      <c r="I47" s="22" t="s">
        <v>2031</v>
      </c>
      <c r="J47" s="22" t="s">
        <v>434</v>
      </c>
    </row>
    <row r="48" spans="1:10" x14ac:dyDescent="0.25">
      <c r="A48" s="22" t="s">
        <v>33</v>
      </c>
      <c r="B48" s="24" t="s">
        <v>22</v>
      </c>
      <c r="C48" s="22" t="s">
        <v>2032</v>
      </c>
      <c r="D48" s="22" t="s">
        <v>439</v>
      </c>
      <c r="E48" s="22" t="s">
        <v>2033</v>
      </c>
      <c r="F48" s="22" t="s">
        <v>2034</v>
      </c>
      <c r="G48" s="22" t="s">
        <v>436</v>
      </c>
      <c r="H48" s="22" t="s">
        <v>441</v>
      </c>
      <c r="I48" s="22" t="s">
        <v>2035</v>
      </c>
      <c r="J48" s="22" t="s">
        <v>440</v>
      </c>
    </row>
    <row r="49" spans="1:10" x14ac:dyDescent="0.25">
      <c r="A49" s="22" t="s">
        <v>33</v>
      </c>
      <c r="B49" s="24" t="s">
        <v>23</v>
      </c>
      <c r="C49" s="22" t="s">
        <v>2036</v>
      </c>
      <c r="D49" s="22" t="s">
        <v>1640</v>
      </c>
      <c r="E49" s="22" t="s">
        <v>2037</v>
      </c>
      <c r="F49" s="22" t="s">
        <v>2038</v>
      </c>
      <c r="G49" s="22" t="s">
        <v>384</v>
      </c>
      <c r="H49" s="22" t="s">
        <v>2039</v>
      </c>
      <c r="I49" s="22" t="s">
        <v>2040</v>
      </c>
      <c r="J49" s="22" t="s">
        <v>2041</v>
      </c>
    </row>
    <row r="50" spans="1:10" x14ac:dyDescent="0.25">
      <c r="A50" s="22" t="s">
        <v>39</v>
      </c>
      <c r="B50" s="24" t="s">
        <v>20</v>
      </c>
      <c r="C50" s="22" t="s">
        <v>2134</v>
      </c>
      <c r="D50" s="22" t="s">
        <v>972</v>
      </c>
      <c r="E50" s="22" t="s">
        <v>2135</v>
      </c>
      <c r="F50" s="22" t="s">
        <v>2136</v>
      </c>
      <c r="G50" s="22" t="s">
        <v>1759</v>
      </c>
      <c r="H50" s="22" t="s">
        <v>2137</v>
      </c>
      <c r="I50" s="22" t="s">
        <v>2138</v>
      </c>
      <c r="J50" s="22" t="s">
        <v>1070</v>
      </c>
    </row>
    <row r="51" spans="1:10" x14ac:dyDescent="0.25">
      <c r="A51" s="22" t="s">
        <v>39</v>
      </c>
      <c r="B51" s="24" t="s">
        <v>21</v>
      </c>
      <c r="C51" s="22" t="s">
        <v>2139</v>
      </c>
      <c r="D51" s="22" t="s">
        <v>2140</v>
      </c>
      <c r="E51" s="22" t="s">
        <v>2141</v>
      </c>
      <c r="F51" s="22" t="s">
        <v>2142</v>
      </c>
      <c r="G51" s="22" t="s">
        <v>233</v>
      </c>
      <c r="H51" s="22" t="s">
        <v>2039</v>
      </c>
      <c r="I51" s="22" t="s">
        <v>2143</v>
      </c>
      <c r="J51" s="22" t="s">
        <v>2144</v>
      </c>
    </row>
    <row r="52" spans="1:10" x14ac:dyDescent="0.25">
      <c r="A52" s="22" t="s">
        <v>39</v>
      </c>
      <c r="B52" s="24" t="s">
        <v>22</v>
      </c>
      <c r="C52" s="22" t="s">
        <v>2145</v>
      </c>
      <c r="D52" s="22" t="s">
        <v>2146</v>
      </c>
      <c r="E52" s="22" t="s">
        <v>2147</v>
      </c>
      <c r="F52" s="22" t="s">
        <v>2148</v>
      </c>
      <c r="G52" s="22" t="s">
        <v>1516</v>
      </c>
      <c r="H52" s="22" t="s">
        <v>2149</v>
      </c>
      <c r="I52" s="22" t="s">
        <v>2150</v>
      </c>
      <c r="J52" s="22" t="s">
        <v>2151</v>
      </c>
    </row>
    <row r="53" spans="1:10" x14ac:dyDescent="0.25">
      <c r="A53" s="22" t="s">
        <v>39</v>
      </c>
      <c r="B53" s="24" t="s">
        <v>23</v>
      </c>
      <c r="C53" s="22" t="s">
        <v>2152</v>
      </c>
      <c r="D53" s="22" t="s">
        <v>1824</v>
      </c>
      <c r="E53" s="22" t="s">
        <v>2153</v>
      </c>
      <c r="F53" s="22" t="s">
        <v>2154</v>
      </c>
      <c r="G53" s="22" t="s">
        <v>1554</v>
      </c>
      <c r="H53" s="22" t="s">
        <v>1752</v>
      </c>
      <c r="I53" s="22" t="s">
        <v>2155</v>
      </c>
      <c r="J53" s="22" t="s">
        <v>2156</v>
      </c>
    </row>
    <row r="54" spans="1:10" x14ac:dyDescent="0.25">
      <c r="A54" s="22" t="s">
        <v>36</v>
      </c>
      <c r="B54" s="24" t="s">
        <v>20</v>
      </c>
      <c r="C54" s="22" t="s">
        <v>2245</v>
      </c>
      <c r="D54" s="22" t="s">
        <v>548</v>
      </c>
      <c r="E54" s="22" t="s">
        <v>2246</v>
      </c>
      <c r="F54" s="22" t="s">
        <v>2247</v>
      </c>
      <c r="G54" s="22" t="s">
        <v>538</v>
      </c>
      <c r="H54" s="22" t="s">
        <v>484</v>
      </c>
      <c r="I54" s="22" t="s">
        <v>2248</v>
      </c>
      <c r="J54" s="22" t="s">
        <v>549</v>
      </c>
    </row>
    <row r="55" spans="1:10" x14ac:dyDescent="0.25">
      <c r="A55" s="22" t="s">
        <v>36</v>
      </c>
      <c r="B55" s="24" t="s">
        <v>21</v>
      </c>
      <c r="C55" s="22" t="s">
        <v>2249</v>
      </c>
      <c r="D55" s="22" t="s">
        <v>552</v>
      </c>
      <c r="E55" s="22" t="s">
        <v>2250</v>
      </c>
      <c r="F55" s="22" t="s">
        <v>2251</v>
      </c>
      <c r="G55" s="22" t="s">
        <v>344</v>
      </c>
      <c r="H55" s="22" t="s">
        <v>553</v>
      </c>
      <c r="I55" s="22" t="s">
        <v>2252</v>
      </c>
      <c r="J55" s="22" t="s">
        <v>230</v>
      </c>
    </row>
    <row r="56" spans="1:10" x14ac:dyDescent="0.25">
      <c r="A56" s="22" t="s">
        <v>36</v>
      </c>
      <c r="B56" s="24" t="s">
        <v>22</v>
      </c>
      <c r="C56" s="22" t="s">
        <v>2253</v>
      </c>
      <c r="D56" s="22" t="s">
        <v>556</v>
      </c>
      <c r="E56" s="22" t="s">
        <v>2254</v>
      </c>
      <c r="F56" s="22" t="s">
        <v>2255</v>
      </c>
      <c r="G56" s="22" t="s">
        <v>559</v>
      </c>
      <c r="H56" s="22" t="s">
        <v>558</v>
      </c>
      <c r="I56" s="22" t="s">
        <v>2256</v>
      </c>
      <c r="J56" s="22" t="s">
        <v>557</v>
      </c>
    </row>
    <row r="57" spans="1:10" x14ac:dyDescent="0.25">
      <c r="A57" s="22" t="s">
        <v>36</v>
      </c>
      <c r="B57" s="24" t="s">
        <v>23</v>
      </c>
      <c r="C57" s="22" t="s">
        <v>2257</v>
      </c>
      <c r="D57" s="22" t="s">
        <v>1817</v>
      </c>
      <c r="E57" s="22" t="s">
        <v>2258</v>
      </c>
      <c r="F57" s="22" t="s">
        <v>2259</v>
      </c>
      <c r="G57" s="22" t="s">
        <v>530</v>
      </c>
      <c r="H57" s="22" t="s">
        <v>1759</v>
      </c>
      <c r="I57" s="22" t="s">
        <v>2260</v>
      </c>
      <c r="J57" s="22" t="s">
        <v>2244</v>
      </c>
    </row>
    <row r="58" spans="1:10" x14ac:dyDescent="0.25">
      <c r="A58" s="22" t="s">
        <v>38</v>
      </c>
      <c r="B58" s="24" t="s">
        <v>20</v>
      </c>
      <c r="C58" s="22" t="s">
        <v>2348</v>
      </c>
      <c r="D58" s="22" t="s">
        <v>605</v>
      </c>
      <c r="E58" s="22" t="s">
        <v>2349</v>
      </c>
      <c r="F58" s="22" t="s">
        <v>2350</v>
      </c>
      <c r="G58" s="22" t="s">
        <v>608</v>
      </c>
      <c r="H58" s="22" t="s">
        <v>607</v>
      </c>
      <c r="I58" s="22" t="s">
        <v>2351</v>
      </c>
      <c r="J58" s="22" t="s">
        <v>606</v>
      </c>
    </row>
    <row r="59" spans="1:10" x14ac:dyDescent="0.25">
      <c r="A59" s="22" t="s">
        <v>38</v>
      </c>
      <c r="B59" s="24" t="s">
        <v>21</v>
      </c>
      <c r="C59" s="22" t="s">
        <v>2352</v>
      </c>
      <c r="D59" s="22" t="s">
        <v>1884</v>
      </c>
      <c r="E59" s="22" t="s">
        <v>2353</v>
      </c>
      <c r="F59" s="22" t="s">
        <v>2354</v>
      </c>
      <c r="G59" s="22" t="s">
        <v>1159</v>
      </c>
      <c r="H59" s="22" t="s">
        <v>441</v>
      </c>
      <c r="I59" s="22" t="s">
        <v>2355</v>
      </c>
      <c r="J59" s="22" t="s">
        <v>1761</v>
      </c>
    </row>
    <row r="60" spans="1:10" x14ac:dyDescent="0.25">
      <c r="A60" s="22" t="s">
        <v>38</v>
      </c>
      <c r="B60" s="24" t="s">
        <v>22</v>
      </c>
      <c r="C60" s="22" t="s">
        <v>2356</v>
      </c>
      <c r="D60" s="22" t="s">
        <v>2357</v>
      </c>
      <c r="E60" s="22" t="s">
        <v>2358</v>
      </c>
      <c r="F60" s="22" t="s">
        <v>2359</v>
      </c>
      <c r="G60" s="22" t="s">
        <v>653</v>
      </c>
      <c r="H60" s="22" t="s">
        <v>441</v>
      </c>
      <c r="I60" s="22" t="s">
        <v>2360</v>
      </c>
      <c r="J60" s="22" t="s">
        <v>526</v>
      </c>
    </row>
    <row r="61" spans="1:10" x14ac:dyDescent="0.25">
      <c r="A61" s="22" t="s">
        <v>38</v>
      </c>
      <c r="B61" s="24" t="s">
        <v>23</v>
      </c>
      <c r="C61" s="22" t="s">
        <v>2361</v>
      </c>
      <c r="D61" s="22" t="s">
        <v>2362</v>
      </c>
      <c r="E61" s="22" t="s">
        <v>2363</v>
      </c>
      <c r="F61" s="22" t="s">
        <v>2364</v>
      </c>
      <c r="G61" s="22" t="s">
        <v>653</v>
      </c>
      <c r="H61" s="22" t="s">
        <v>1915</v>
      </c>
      <c r="I61" s="22" t="s">
        <v>2365</v>
      </c>
      <c r="J61" s="22" t="s">
        <v>2366</v>
      </c>
    </row>
    <row r="62" spans="1:10" x14ac:dyDescent="0.25">
      <c r="A62" s="22" t="s">
        <v>41</v>
      </c>
      <c r="B62" s="24" t="s">
        <v>20</v>
      </c>
      <c r="C62" s="22" t="s">
        <v>2462</v>
      </c>
      <c r="D62" s="22" t="s">
        <v>2463</v>
      </c>
      <c r="E62" s="22" t="s">
        <v>2464</v>
      </c>
      <c r="F62" s="22" t="s">
        <v>2465</v>
      </c>
      <c r="G62" s="22" t="s">
        <v>1286</v>
      </c>
      <c r="H62" s="22" t="s">
        <v>1178</v>
      </c>
      <c r="I62" s="22" t="s">
        <v>2466</v>
      </c>
      <c r="J62" s="22" t="s">
        <v>1167</v>
      </c>
    </row>
    <row r="63" spans="1:10" x14ac:dyDescent="0.25">
      <c r="A63" s="22" t="s">
        <v>41</v>
      </c>
      <c r="B63" s="24" t="s">
        <v>21</v>
      </c>
      <c r="C63" s="22" t="s">
        <v>2467</v>
      </c>
      <c r="D63" s="22" t="s">
        <v>2468</v>
      </c>
      <c r="E63" s="22" t="s">
        <v>2469</v>
      </c>
      <c r="F63" s="22" t="s">
        <v>2470</v>
      </c>
      <c r="G63" s="22" t="s">
        <v>365</v>
      </c>
      <c r="H63" s="22" t="s">
        <v>692</v>
      </c>
      <c r="I63" s="22" t="s">
        <v>2471</v>
      </c>
      <c r="J63" s="22" t="s">
        <v>484</v>
      </c>
    </row>
    <row r="64" spans="1:10" x14ac:dyDescent="0.25">
      <c r="A64" s="22" t="s">
        <v>41</v>
      </c>
      <c r="B64" s="24" t="s">
        <v>22</v>
      </c>
      <c r="C64" s="22" t="s">
        <v>2472</v>
      </c>
      <c r="D64" s="22" t="s">
        <v>2473</v>
      </c>
      <c r="E64" s="22" t="s">
        <v>2474</v>
      </c>
      <c r="F64" s="22" t="s">
        <v>2475</v>
      </c>
      <c r="G64" s="22" t="s">
        <v>1361</v>
      </c>
      <c r="H64" s="22" t="s">
        <v>344</v>
      </c>
      <c r="I64" s="22" t="s">
        <v>2476</v>
      </c>
      <c r="J64" s="22" t="s">
        <v>1232</v>
      </c>
    </row>
    <row r="65" spans="1:10" x14ac:dyDescent="0.25">
      <c r="A65" s="22" t="s">
        <v>41</v>
      </c>
      <c r="B65" s="24" t="s">
        <v>23</v>
      </c>
      <c r="C65" s="22" t="s">
        <v>2477</v>
      </c>
      <c r="D65" s="22" t="s">
        <v>2478</v>
      </c>
      <c r="E65" s="22" t="s">
        <v>2479</v>
      </c>
      <c r="F65" s="22" t="s">
        <v>2480</v>
      </c>
      <c r="G65" s="22" t="s">
        <v>2481</v>
      </c>
      <c r="H65" s="22" t="s">
        <v>1463</v>
      </c>
      <c r="I65" s="22" t="s">
        <v>2482</v>
      </c>
      <c r="J65" s="22" t="s">
        <v>1239</v>
      </c>
    </row>
    <row r="66" spans="1:10" x14ac:dyDescent="0.25">
      <c r="A66" s="22" t="s">
        <v>37</v>
      </c>
      <c r="B66" s="24" t="s">
        <v>20</v>
      </c>
      <c r="C66" s="22" t="s">
        <v>2588</v>
      </c>
      <c r="D66" s="22" t="s">
        <v>579</v>
      </c>
      <c r="E66" s="22" t="s">
        <v>2589</v>
      </c>
      <c r="F66" s="22" t="s">
        <v>2590</v>
      </c>
      <c r="G66" s="22" t="s">
        <v>561</v>
      </c>
      <c r="H66" s="22" t="s">
        <v>580</v>
      </c>
      <c r="I66" s="22" t="s">
        <v>2591</v>
      </c>
      <c r="J66" s="22" t="s">
        <v>267</v>
      </c>
    </row>
    <row r="67" spans="1:10" x14ac:dyDescent="0.25">
      <c r="A67" s="22" t="s">
        <v>37</v>
      </c>
      <c r="B67" s="24" t="s">
        <v>21</v>
      </c>
      <c r="C67" s="22" t="s">
        <v>2592</v>
      </c>
      <c r="D67" s="22" t="s">
        <v>582</v>
      </c>
      <c r="E67" s="22" t="s">
        <v>2593</v>
      </c>
      <c r="F67" s="22" t="s">
        <v>2594</v>
      </c>
      <c r="G67" s="22" t="s">
        <v>505</v>
      </c>
      <c r="H67" s="22" t="s">
        <v>580</v>
      </c>
      <c r="I67" s="22" t="s">
        <v>2595</v>
      </c>
      <c r="J67" s="22" t="s">
        <v>583</v>
      </c>
    </row>
    <row r="68" spans="1:10" x14ac:dyDescent="0.25">
      <c r="A68" s="22" t="s">
        <v>37</v>
      </c>
      <c r="B68" s="24" t="s">
        <v>22</v>
      </c>
      <c r="C68" s="22" t="s">
        <v>2596</v>
      </c>
      <c r="D68" s="22" t="s">
        <v>585</v>
      </c>
      <c r="E68" s="22" t="s">
        <v>2597</v>
      </c>
      <c r="F68" s="22" t="s">
        <v>2598</v>
      </c>
      <c r="G68" s="22" t="s">
        <v>2599</v>
      </c>
      <c r="H68" s="22" t="s">
        <v>587</v>
      </c>
      <c r="I68" s="22" t="s">
        <v>2600</v>
      </c>
      <c r="J68" s="22" t="s">
        <v>586</v>
      </c>
    </row>
    <row r="69" spans="1:10" x14ac:dyDescent="0.25">
      <c r="A69" s="22" t="s">
        <v>37</v>
      </c>
      <c r="B69" s="24" t="s">
        <v>23</v>
      </c>
      <c r="C69" s="22" t="s">
        <v>2601</v>
      </c>
      <c r="D69" s="22" t="s">
        <v>2602</v>
      </c>
      <c r="E69" s="22" t="s">
        <v>2603</v>
      </c>
      <c r="F69" s="22" t="s">
        <v>2604</v>
      </c>
      <c r="G69" s="22" t="s">
        <v>2605</v>
      </c>
      <c r="H69" s="22" t="s">
        <v>416</v>
      </c>
      <c r="I69" s="22" t="s">
        <v>2606</v>
      </c>
      <c r="J69" s="22" t="s">
        <v>303</v>
      </c>
    </row>
    <row r="70" spans="1:10" x14ac:dyDescent="0.25">
      <c r="A70" s="22" t="s">
        <v>42</v>
      </c>
      <c r="B70" s="24" t="s">
        <v>20</v>
      </c>
      <c r="C70" s="22" t="s">
        <v>2705</v>
      </c>
      <c r="D70" s="22" t="s">
        <v>2706</v>
      </c>
      <c r="E70" s="22" t="s">
        <v>2707</v>
      </c>
      <c r="F70" s="22" t="s">
        <v>2708</v>
      </c>
      <c r="G70" s="22" t="s">
        <v>1643</v>
      </c>
      <c r="H70" s="22" t="s">
        <v>230</v>
      </c>
      <c r="I70" s="22" t="s">
        <v>2709</v>
      </c>
      <c r="J70" s="22" t="s">
        <v>781</v>
      </c>
    </row>
    <row r="71" spans="1:10" x14ac:dyDescent="0.25">
      <c r="A71" s="22" t="s">
        <v>42</v>
      </c>
      <c r="B71" s="24" t="s">
        <v>21</v>
      </c>
      <c r="C71" s="22" t="s">
        <v>2710</v>
      </c>
      <c r="D71" s="22" t="s">
        <v>2711</v>
      </c>
      <c r="E71" s="22" t="s">
        <v>2712</v>
      </c>
      <c r="F71" s="22" t="s">
        <v>2713</v>
      </c>
      <c r="G71" s="22" t="s">
        <v>1238</v>
      </c>
      <c r="H71" s="22" t="s">
        <v>1187</v>
      </c>
      <c r="I71" s="22" t="s">
        <v>2714</v>
      </c>
      <c r="J71" s="22" t="s">
        <v>2715</v>
      </c>
    </row>
    <row r="72" spans="1:10" x14ac:dyDescent="0.25">
      <c r="A72" s="22" t="s">
        <v>42</v>
      </c>
      <c r="B72" s="24" t="s">
        <v>22</v>
      </c>
      <c r="C72" s="22" t="s">
        <v>2716</v>
      </c>
      <c r="D72" s="22" t="s">
        <v>2717</v>
      </c>
      <c r="E72" s="22" t="s">
        <v>2718</v>
      </c>
      <c r="F72" s="22" t="s">
        <v>2719</v>
      </c>
      <c r="G72" s="22" t="s">
        <v>2686</v>
      </c>
      <c r="H72" s="22" t="s">
        <v>2720</v>
      </c>
      <c r="I72" s="22" t="s">
        <v>2721</v>
      </c>
      <c r="J72" s="22" t="s">
        <v>859</v>
      </c>
    </row>
    <row r="73" spans="1:10" x14ac:dyDescent="0.25">
      <c r="A73" s="22" t="s">
        <v>42</v>
      </c>
      <c r="B73" s="24" t="s">
        <v>23</v>
      </c>
      <c r="C73" s="22" t="s">
        <v>2722</v>
      </c>
      <c r="D73" s="22" t="s">
        <v>2723</v>
      </c>
      <c r="E73" s="22" t="s">
        <v>2724</v>
      </c>
      <c r="F73" s="22" t="s">
        <v>2725</v>
      </c>
      <c r="G73" s="22" t="s">
        <v>1245</v>
      </c>
      <c r="H73" s="22" t="s">
        <v>900</v>
      </c>
      <c r="I73" s="22" t="s">
        <v>2726</v>
      </c>
      <c r="J73" s="22" t="s">
        <v>1211</v>
      </c>
    </row>
    <row r="74" spans="1:10" x14ac:dyDescent="0.25">
      <c r="A74" s="22" t="s">
        <v>45</v>
      </c>
      <c r="B74" s="24" t="s">
        <v>20</v>
      </c>
      <c r="C74" s="22" t="s">
        <v>2818</v>
      </c>
      <c r="D74" s="22" t="s">
        <v>2819</v>
      </c>
      <c r="E74" s="22" t="s">
        <v>2820</v>
      </c>
      <c r="F74" s="22" t="s">
        <v>2821</v>
      </c>
      <c r="G74" s="22" t="s">
        <v>2692</v>
      </c>
      <c r="H74" s="22" t="s">
        <v>2822</v>
      </c>
      <c r="I74" s="22" t="s">
        <v>2823</v>
      </c>
      <c r="J74" s="22" t="s">
        <v>267</v>
      </c>
    </row>
    <row r="75" spans="1:10" x14ac:dyDescent="0.25">
      <c r="A75" s="22" t="s">
        <v>45</v>
      </c>
      <c r="B75" s="24" t="s">
        <v>21</v>
      </c>
      <c r="C75" s="22" t="s">
        <v>2824</v>
      </c>
      <c r="D75" s="22" t="s">
        <v>2825</v>
      </c>
      <c r="E75" s="22" t="s">
        <v>2826</v>
      </c>
      <c r="F75" s="22" t="s">
        <v>2827</v>
      </c>
      <c r="G75" s="22" t="s">
        <v>2761</v>
      </c>
      <c r="H75" s="22" t="s">
        <v>2828</v>
      </c>
      <c r="I75" s="22" t="s">
        <v>2829</v>
      </c>
      <c r="J75" s="22" t="s">
        <v>196</v>
      </c>
    </row>
    <row r="76" spans="1:10" x14ac:dyDescent="0.25">
      <c r="A76" s="22" t="s">
        <v>45</v>
      </c>
      <c r="B76" s="24" t="s">
        <v>22</v>
      </c>
      <c r="C76" s="22" t="s">
        <v>2830</v>
      </c>
      <c r="D76" s="22" t="s">
        <v>2831</v>
      </c>
      <c r="E76" s="22" t="s">
        <v>2832</v>
      </c>
      <c r="F76" s="22" t="s">
        <v>2833</v>
      </c>
      <c r="G76" s="22" t="s">
        <v>1231</v>
      </c>
      <c r="H76" s="22" t="s">
        <v>2441</v>
      </c>
      <c r="I76" s="22" t="s">
        <v>2834</v>
      </c>
      <c r="J76" s="22" t="s">
        <v>1372</v>
      </c>
    </row>
    <row r="77" spans="1:10" x14ac:dyDescent="0.25">
      <c r="A77" s="22" t="s">
        <v>45</v>
      </c>
      <c r="B77" s="24" t="s">
        <v>23</v>
      </c>
      <c r="C77" s="22" t="s">
        <v>2835</v>
      </c>
      <c r="D77" s="22" t="s">
        <v>1549</v>
      </c>
      <c r="E77" s="22" t="s">
        <v>2836</v>
      </c>
      <c r="F77" s="22" t="s">
        <v>2837</v>
      </c>
      <c r="G77" s="22" t="s">
        <v>2731</v>
      </c>
      <c r="H77" s="22" t="s">
        <v>2703</v>
      </c>
      <c r="I77" s="22" t="s">
        <v>2838</v>
      </c>
      <c r="J77" s="22" t="s">
        <v>520</v>
      </c>
    </row>
    <row r="78" spans="1:10" x14ac:dyDescent="0.25">
      <c r="A78" s="22" t="s">
        <v>35</v>
      </c>
      <c r="B78" s="24" t="s">
        <v>20</v>
      </c>
      <c r="C78" s="22" t="s">
        <v>2921</v>
      </c>
      <c r="D78" s="22" t="s">
        <v>481</v>
      </c>
      <c r="E78" s="22" t="s">
        <v>2922</v>
      </c>
      <c r="F78" s="22" t="s">
        <v>2923</v>
      </c>
      <c r="G78" s="22" t="s">
        <v>441</v>
      </c>
      <c r="H78" s="22" t="s">
        <v>483</v>
      </c>
      <c r="I78" s="22" t="s">
        <v>2924</v>
      </c>
      <c r="J78" s="22" t="s">
        <v>482</v>
      </c>
    </row>
    <row r="79" spans="1:10" x14ac:dyDescent="0.25">
      <c r="A79" s="22" t="s">
        <v>35</v>
      </c>
      <c r="B79" s="24" t="s">
        <v>21</v>
      </c>
      <c r="C79" s="22" t="s">
        <v>2925</v>
      </c>
      <c r="D79" s="22" t="s">
        <v>2926</v>
      </c>
      <c r="E79" s="22" t="s">
        <v>2927</v>
      </c>
      <c r="F79" s="22" t="s">
        <v>2928</v>
      </c>
      <c r="G79" s="22" t="s">
        <v>485</v>
      </c>
      <c r="H79" s="22" t="s">
        <v>244</v>
      </c>
      <c r="I79" s="22" t="s">
        <v>2929</v>
      </c>
      <c r="J79" s="22" t="s">
        <v>484</v>
      </c>
    </row>
    <row r="80" spans="1:10" x14ac:dyDescent="0.25">
      <c r="A80" s="22" t="s">
        <v>35</v>
      </c>
      <c r="B80" s="24" t="s">
        <v>22</v>
      </c>
      <c r="C80" s="22" t="s">
        <v>2930</v>
      </c>
      <c r="D80" s="22" t="s">
        <v>487</v>
      </c>
      <c r="E80" s="22" t="s">
        <v>2931</v>
      </c>
      <c r="F80" s="22" t="s">
        <v>2932</v>
      </c>
      <c r="G80" s="22" t="s">
        <v>490</v>
      </c>
      <c r="H80" s="22" t="s">
        <v>489</v>
      </c>
      <c r="I80" s="22" t="s">
        <v>2933</v>
      </c>
      <c r="J80" s="22" t="s">
        <v>488</v>
      </c>
    </row>
    <row r="81" spans="1:10" x14ac:dyDescent="0.25">
      <c r="A81" s="22" t="s">
        <v>35</v>
      </c>
      <c r="B81" s="24" t="s">
        <v>23</v>
      </c>
      <c r="C81" s="22" t="s">
        <v>2934</v>
      </c>
      <c r="D81" s="22" t="s">
        <v>2935</v>
      </c>
      <c r="E81" s="22" t="s">
        <v>2936</v>
      </c>
      <c r="F81" s="22" t="s">
        <v>2937</v>
      </c>
      <c r="G81" s="22" t="s">
        <v>1238</v>
      </c>
      <c r="H81" s="22" t="s">
        <v>1239</v>
      </c>
      <c r="I81" s="22" t="s">
        <v>2938</v>
      </c>
      <c r="J81" s="22" t="s">
        <v>2750</v>
      </c>
    </row>
    <row r="82" spans="1:10" x14ac:dyDescent="0.25">
      <c r="A82" s="22" t="s">
        <v>43</v>
      </c>
      <c r="B82" s="24" t="s">
        <v>20</v>
      </c>
      <c r="C82" s="22" t="s">
        <v>3039</v>
      </c>
      <c r="D82" s="22" t="s">
        <v>3040</v>
      </c>
      <c r="E82" s="22" t="s">
        <v>3041</v>
      </c>
      <c r="F82" s="22" t="s">
        <v>3042</v>
      </c>
      <c r="G82" s="22" t="s">
        <v>2914</v>
      </c>
      <c r="H82" s="22" t="s">
        <v>243</v>
      </c>
      <c r="I82" s="22" t="s">
        <v>3043</v>
      </c>
      <c r="J82" s="22" t="s">
        <v>3044</v>
      </c>
    </row>
    <row r="83" spans="1:10" x14ac:dyDescent="0.25">
      <c r="A83" s="22" t="s">
        <v>43</v>
      </c>
      <c r="B83" s="24" t="s">
        <v>21</v>
      </c>
      <c r="C83" s="22" t="s">
        <v>3045</v>
      </c>
      <c r="D83" s="22" t="s">
        <v>3046</v>
      </c>
      <c r="E83" s="22" t="s">
        <v>3047</v>
      </c>
      <c r="F83" s="22" t="s">
        <v>3048</v>
      </c>
      <c r="G83" s="22" t="s">
        <v>1116</v>
      </c>
      <c r="H83" s="22" t="s">
        <v>1053</v>
      </c>
      <c r="I83" s="22" t="s">
        <v>3049</v>
      </c>
      <c r="J83" s="22" t="s">
        <v>727</v>
      </c>
    </row>
    <row r="84" spans="1:10" x14ac:dyDescent="0.25">
      <c r="A84" s="22" t="s">
        <v>43</v>
      </c>
      <c r="B84" s="24" t="s">
        <v>22</v>
      </c>
      <c r="C84" s="22" t="s">
        <v>3050</v>
      </c>
      <c r="D84" s="22" t="s">
        <v>3051</v>
      </c>
      <c r="E84" s="22" t="s">
        <v>3052</v>
      </c>
      <c r="F84" s="22" t="s">
        <v>3053</v>
      </c>
      <c r="G84" s="22" t="s">
        <v>505</v>
      </c>
      <c r="H84" s="22" t="s">
        <v>237</v>
      </c>
      <c r="I84" s="22" t="s">
        <v>3054</v>
      </c>
      <c r="J84" s="22" t="s">
        <v>750</v>
      </c>
    </row>
    <row r="85" spans="1:10" x14ac:dyDescent="0.25">
      <c r="A85" s="22" t="s">
        <v>43</v>
      </c>
      <c r="B85" s="24" t="s">
        <v>23</v>
      </c>
      <c r="C85" s="22" t="s">
        <v>3055</v>
      </c>
      <c r="D85" s="22" t="s">
        <v>3056</v>
      </c>
      <c r="E85" s="22" t="s">
        <v>3057</v>
      </c>
      <c r="F85" s="22" t="s">
        <v>3058</v>
      </c>
      <c r="G85" s="22" t="s">
        <v>2618</v>
      </c>
      <c r="H85" s="22" t="s">
        <v>1879</v>
      </c>
      <c r="I85" s="22" t="s">
        <v>3059</v>
      </c>
      <c r="J85" s="22" t="s">
        <v>727</v>
      </c>
    </row>
    <row r="86" spans="1:10" x14ac:dyDescent="0.25">
      <c r="A86" s="22" t="s">
        <v>46</v>
      </c>
      <c r="B86" s="24" t="s">
        <v>20</v>
      </c>
      <c r="C86" s="22" t="s">
        <v>3149</v>
      </c>
      <c r="D86" s="22" t="s">
        <v>3150</v>
      </c>
      <c r="E86" s="22" t="s">
        <v>3151</v>
      </c>
      <c r="F86" s="22" t="s">
        <v>3152</v>
      </c>
      <c r="G86" s="22" t="s">
        <v>3153</v>
      </c>
      <c r="H86" s="22" t="s">
        <v>1805</v>
      </c>
      <c r="I86" s="22" t="s">
        <v>3154</v>
      </c>
      <c r="J86" s="22" t="s">
        <v>3155</v>
      </c>
    </row>
    <row r="87" spans="1:10" x14ac:dyDescent="0.25">
      <c r="A87" s="22" t="s">
        <v>46</v>
      </c>
      <c r="B87" s="24" t="s">
        <v>21</v>
      </c>
      <c r="C87" s="22" t="s">
        <v>3156</v>
      </c>
      <c r="D87" s="22" t="s">
        <v>3157</v>
      </c>
      <c r="E87" s="22" t="s">
        <v>3158</v>
      </c>
      <c r="F87" s="22" t="s">
        <v>3159</v>
      </c>
      <c r="G87" s="22" t="s">
        <v>2797</v>
      </c>
      <c r="H87" s="22" t="s">
        <v>478</v>
      </c>
      <c r="I87" s="22" t="s">
        <v>3160</v>
      </c>
      <c r="J87" s="22" t="s">
        <v>3110</v>
      </c>
    </row>
    <row r="88" spans="1:10" x14ac:dyDescent="0.25">
      <c r="A88" s="22" t="s">
        <v>46</v>
      </c>
      <c r="B88" s="24" t="s">
        <v>22</v>
      </c>
      <c r="C88" s="22" t="s">
        <v>3161</v>
      </c>
      <c r="D88" s="22" t="s">
        <v>3162</v>
      </c>
      <c r="E88" s="22" t="s">
        <v>3163</v>
      </c>
      <c r="F88" s="22" t="s">
        <v>3164</v>
      </c>
      <c r="G88" s="22" t="s">
        <v>2797</v>
      </c>
      <c r="H88" s="22" t="s">
        <v>3044</v>
      </c>
      <c r="I88" s="22" t="s">
        <v>3165</v>
      </c>
      <c r="J88" s="22" t="s">
        <v>797</v>
      </c>
    </row>
    <row r="89" spans="1:10" x14ac:dyDescent="0.25">
      <c r="A89" s="22" t="s">
        <v>46</v>
      </c>
      <c r="B89" s="24" t="s">
        <v>23</v>
      </c>
      <c r="C89" s="22" t="s">
        <v>3166</v>
      </c>
      <c r="D89" s="22" t="s">
        <v>3167</v>
      </c>
      <c r="E89" s="22" t="s">
        <v>3168</v>
      </c>
      <c r="F89" s="22" t="s">
        <v>3169</v>
      </c>
      <c r="G89" s="22" t="s">
        <v>3170</v>
      </c>
      <c r="H89" s="22" t="s">
        <v>2081</v>
      </c>
      <c r="I89" s="22" t="s">
        <v>3171</v>
      </c>
      <c r="J89" s="22" t="s">
        <v>3172</v>
      </c>
    </row>
    <row r="90" spans="1:10" x14ac:dyDescent="0.25">
      <c r="A90" s="22" t="s">
        <v>47</v>
      </c>
      <c r="B90" s="24" t="s">
        <v>20</v>
      </c>
      <c r="C90" s="22" t="s">
        <v>3276</v>
      </c>
      <c r="D90" s="22" t="s">
        <v>3277</v>
      </c>
      <c r="E90" s="22" t="s">
        <v>3278</v>
      </c>
      <c r="F90" s="22" t="s">
        <v>3279</v>
      </c>
      <c r="G90" s="22" t="s">
        <v>273</v>
      </c>
      <c r="H90" s="22" t="s">
        <v>1481</v>
      </c>
      <c r="I90" s="22" t="s">
        <v>3280</v>
      </c>
      <c r="J90" s="22" t="s">
        <v>3281</v>
      </c>
    </row>
    <row r="91" spans="1:10" x14ac:dyDescent="0.25">
      <c r="A91" s="22" t="s">
        <v>47</v>
      </c>
      <c r="B91" s="24" t="s">
        <v>21</v>
      </c>
      <c r="C91" s="22" t="s">
        <v>3282</v>
      </c>
      <c r="D91" s="22" t="s">
        <v>3283</v>
      </c>
      <c r="E91" s="22" t="s">
        <v>3284</v>
      </c>
      <c r="F91" s="22" t="s">
        <v>3285</v>
      </c>
      <c r="G91" s="22" t="s">
        <v>1643</v>
      </c>
      <c r="H91" s="22" t="s">
        <v>2075</v>
      </c>
      <c r="I91" s="22" t="s">
        <v>3286</v>
      </c>
      <c r="J91" s="22" t="s">
        <v>3287</v>
      </c>
    </row>
    <row r="92" spans="1:10" x14ac:dyDescent="0.25">
      <c r="A92" s="22" t="s">
        <v>47</v>
      </c>
      <c r="B92" s="24" t="s">
        <v>22</v>
      </c>
      <c r="C92" s="22" t="s">
        <v>3288</v>
      </c>
      <c r="D92" s="22" t="s">
        <v>3289</v>
      </c>
      <c r="E92" s="22" t="s">
        <v>3290</v>
      </c>
      <c r="F92" s="22" t="s">
        <v>3291</v>
      </c>
      <c r="G92" s="22" t="s">
        <v>1635</v>
      </c>
      <c r="H92" s="22" t="s">
        <v>1045</v>
      </c>
      <c r="I92" s="22" t="s">
        <v>3292</v>
      </c>
      <c r="J92" s="22" t="s">
        <v>3293</v>
      </c>
    </row>
    <row r="93" spans="1:10" x14ac:dyDescent="0.25">
      <c r="A93" s="22" t="s">
        <v>47</v>
      </c>
      <c r="B93" s="24" t="s">
        <v>23</v>
      </c>
      <c r="C93" s="22" t="s">
        <v>3294</v>
      </c>
      <c r="D93" s="22" t="s">
        <v>3295</v>
      </c>
      <c r="E93" s="22" t="s">
        <v>3296</v>
      </c>
      <c r="F93" s="22" t="s">
        <v>3297</v>
      </c>
      <c r="G93" s="22" t="s">
        <v>2401</v>
      </c>
      <c r="H93" s="22" t="s">
        <v>1552</v>
      </c>
      <c r="I93" s="22" t="s">
        <v>3298</v>
      </c>
      <c r="J93" s="22" t="s">
        <v>3299</v>
      </c>
    </row>
    <row r="94" spans="1:10" x14ac:dyDescent="0.25">
      <c r="A94" s="22" t="s">
        <v>40</v>
      </c>
      <c r="B94" s="24" t="s">
        <v>20</v>
      </c>
      <c r="C94" s="22" t="s">
        <v>3388</v>
      </c>
      <c r="D94" s="22" t="s">
        <v>3389</v>
      </c>
      <c r="E94" s="22" t="s">
        <v>3390</v>
      </c>
      <c r="F94" s="22" t="s">
        <v>3391</v>
      </c>
      <c r="G94" s="22" t="s">
        <v>1434</v>
      </c>
      <c r="H94" s="22" t="s">
        <v>2421</v>
      </c>
      <c r="I94" s="22" t="s">
        <v>3392</v>
      </c>
      <c r="J94" s="22" t="s">
        <v>1566</v>
      </c>
    </row>
    <row r="95" spans="1:10" x14ac:dyDescent="0.25">
      <c r="A95" s="22" t="s">
        <v>40</v>
      </c>
      <c r="B95" s="24" t="s">
        <v>21</v>
      </c>
      <c r="C95" s="22" t="s">
        <v>3393</v>
      </c>
      <c r="D95" s="22" t="s">
        <v>3394</v>
      </c>
      <c r="E95" s="22" t="s">
        <v>3395</v>
      </c>
      <c r="F95" s="22" t="s">
        <v>3396</v>
      </c>
      <c r="G95" s="22" t="s">
        <v>336</v>
      </c>
      <c r="H95" s="22" t="s">
        <v>2732</v>
      </c>
      <c r="I95" s="22" t="s">
        <v>3397</v>
      </c>
      <c r="J95" s="22" t="s">
        <v>895</v>
      </c>
    </row>
    <row r="96" spans="1:10" x14ac:dyDescent="0.25">
      <c r="A96" s="22" t="s">
        <v>40</v>
      </c>
      <c r="B96" s="24" t="s">
        <v>22</v>
      </c>
      <c r="C96" s="22" t="s">
        <v>3398</v>
      </c>
      <c r="D96" s="22" t="s">
        <v>3399</v>
      </c>
      <c r="E96" s="22" t="s">
        <v>3400</v>
      </c>
      <c r="F96" s="22" t="s">
        <v>3401</v>
      </c>
      <c r="G96" s="22" t="s">
        <v>1656</v>
      </c>
      <c r="H96" s="22" t="s">
        <v>2732</v>
      </c>
      <c r="I96" s="22" t="s">
        <v>3402</v>
      </c>
      <c r="J96" s="22" t="s">
        <v>3403</v>
      </c>
    </row>
    <row r="97" spans="1:10" x14ac:dyDescent="0.25">
      <c r="A97" s="22" t="s">
        <v>40</v>
      </c>
      <c r="B97" s="24" t="s">
        <v>23</v>
      </c>
      <c r="C97" s="22" t="s">
        <v>3404</v>
      </c>
      <c r="D97" s="22" t="s">
        <v>3405</v>
      </c>
      <c r="E97" s="22" t="s">
        <v>3406</v>
      </c>
      <c r="F97" s="22" t="s">
        <v>3407</v>
      </c>
      <c r="G97" s="22" t="s">
        <v>315</v>
      </c>
      <c r="H97" s="22" t="s">
        <v>3408</v>
      </c>
      <c r="I97" s="22" t="s">
        <v>3409</v>
      </c>
      <c r="J97" s="22" t="s">
        <v>3410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A654-CF48-4C08-97D5-47B8251046BE}">
  <dimension ref="A1:V481"/>
  <sheetViews>
    <sheetView workbookViewId="0">
      <selection activeCell="W41" sqref="W41"/>
    </sheetView>
  </sheetViews>
  <sheetFormatPr defaultRowHeight="15" x14ac:dyDescent="0.25"/>
  <cols>
    <col min="3" max="3" width="12.7109375" bestFit="1" customWidth="1"/>
    <col min="5" max="5" width="15.7109375" customWidth="1"/>
    <col min="6" max="6" width="25.5703125" customWidth="1"/>
    <col min="9" max="9" width="16.42578125" customWidth="1"/>
  </cols>
  <sheetData>
    <row r="1" spans="1:22" x14ac:dyDescent="0.25">
      <c r="A1" t="s">
        <v>0</v>
      </c>
      <c r="B1" t="s">
        <v>1</v>
      </c>
      <c r="C1" s="3" t="s">
        <v>50</v>
      </c>
      <c r="D1" s="3" t="s">
        <v>51</v>
      </c>
      <c r="E1" t="s">
        <v>52</v>
      </c>
      <c r="F1" t="s">
        <v>53</v>
      </c>
      <c r="G1" s="3" t="s">
        <v>54</v>
      </c>
      <c r="H1" s="3" t="s">
        <v>55</v>
      </c>
      <c r="I1" t="s">
        <v>56</v>
      </c>
      <c r="J1" s="3" t="s">
        <v>57</v>
      </c>
      <c r="L1" t="s">
        <v>634</v>
      </c>
      <c r="M1" t="s">
        <v>1</v>
      </c>
      <c r="N1" s="3" t="s">
        <v>50</v>
      </c>
      <c r="O1" s="3" t="s">
        <v>51</v>
      </c>
      <c r="P1" t="s">
        <v>52</v>
      </c>
      <c r="Q1" t="s">
        <v>53</v>
      </c>
      <c r="R1" s="3" t="s">
        <v>54</v>
      </c>
      <c r="S1" s="3" t="s">
        <v>55</v>
      </c>
      <c r="T1" t="s">
        <v>56</v>
      </c>
      <c r="U1" s="3" t="s">
        <v>57</v>
      </c>
    </row>
    <row r="2" spans="1:22" x14ac:dyDescent="0.25">
      <c r="A2" t="s">
        <v>24</v>
      </c>
      <c r="B2" s="1" t="s">
        <v>4</v>
      </c>
      <c r="C2">
        <v>2.3282879817007149</v>
      </c>
      <c r="D2" s="17">
        <v>20.74</v>
      </c>
      <c r="E2">
        <v>68.044863923445035</v>
      </c>
      <c r="F2">
        <v>20.785989150966934</v>
      </c>
      <c r="G2" s="18">
        <v>3.35</v>
      </c>
      <c r="H2" s="18">
        <v>2.39</v>
      </c>
      <c r="I2">
        <v>4.3472596598788344</v>
      </c>
      <c r="J2" s="17">
        <v>7.49</v>
      </c>
      <c r="L2" t="s">
        <v>24</v>
      </c>
      <c r="M2" s="1" t="s">
        <v>4</v>
      </c>
      <c r="N2" t="str">
        <f>SUBSTITUTE(C2,",",".")</f>
        <v>2.32828798170071</v>
      </c>
      <c r="O2" t="str">
        <f t="shared" ref="O2:V2" si="0">SUBSTITUTE(D2,",",".")</f>
        <v>20.74</v>
      </c>
      <c r="P2" t="str">
        <f t="shared" si="0"/>
        <v>68.044863923445</v>
      </c>
      <c r="Q2" t="str">
        <f t="shared" si="0"/>
        <v>20.7859891509669</v>
      </c>
      <c r="R2" t="str">
        <f t="shared" si="0"/>
        <v>3.35</v>
      </c>
      <c r="S2" t="str">
        <f t="shared" si="0"/>
        <v>2.39</v>
      </c>
      <c r="T2" t="str">
        <f t="shared" si="0"/>
        <v>4.34725965987883</v>
      </c>
      <c r="U2" t="str">
        <f t="shared" si="0"/>
        <v>7.49</v>
      </c>
      <c r="V2" t="str">
        <f t="shared" si="0"/>
        <v/>
      </c>
    </row>
    <row r="3" spans="1:22" x14ac:dyDescent="0.25">
      <c r="A3" t="s">
        <v>24</v>
      </c>
      <c r="B3" s="1" t="s">
        <v>5</v>
      </c>
      <c r="C3">
        <v>4.7579695510577702</v>
      </c>
      <c r="D3" s="17">
        <v>20.13</v>
      </c>
      <c r="E3">
        <v>69.16244608025643</v>
      </c>
      <c r="F3">
        <v>20.816180825113509</v>
      </c>
      <c r="G3" s="16">
        <v>3.37</v>
      </c>
      <c r="H3" s="18">
        <v>2.33</v>
      </c>
      <c r="I3">
        <v>4.4665689532211017</v>
      </c>
      <c r="J3" s="17">
        <v>7.64</v>
      </c>
      <c r="L3" t="s">
        <v>24</v>
      </c>
      <c r="M3" s="1" t="s">
        <v>5</v>
      </c>
      <c r="N3" t="str">
        <f t="shared" ref="N3:N66" si="1">SUBSTITUTE(C3,",",".")</f>
        <v>4.75796955105777</v>
      </c>
      <c r="O3" t="str">
        <f t="shared" ref="O3:O66" si="2">SUBSTITUTE(D3,",",".")</f>
        <v>20.13</v>
      </c>
      <c r="P3" t="str">
        <f t="shared" ref="P3:P66" si="3">SUBSTITUTE(E3,",",".")</f>
        <v>69.1624460802564</v>
      </c>
      <c r="Q3" t="str">
        <f t="shared" ref="Q3:Q66" si="4">SUBSTITUTE(F3,",",".")</f>
        <v>20.8161808251135</v>
      </c>
      <c r="R3" t="str">
        <f t="shared" ref="R3:R66" si="5">SUBSTITUTE(G3,",",".")</f>
        <v>3.37</v>
      </c>
      <c r="S3" t="str">
        <f t="shared" ref="S3:S66" si="6">SUBSTITUTE(H3,",",".")</f>
        <v>2.33</v>
      </c>
      <c r="T3" t="str">
        <f t="shared" ref="T3:T66" si="7">SUBSTITUTE(I3,",",".")</f>
        <v>4.4665689532211</v>
      </c>
      <c r="U3" t="str">
        <f t="shared" ref="U3:U66" si="8">SUBSTITUTE(J3,",",".")</f>
        <v>7.64</v>
      </c>
    </row>
    <row r="4" spans="1:22" x14ac:dyDescent="0.25">
      <c r="A4" t="s">
        <v>24</v>
      </c>
      <c r="B4" s="1" t="s">
        <v>6</v>
      </c>
      <c r="C4">
        <v>1.8153405346921492</v>
      </c>
      <c r="D4" s="17">
        <v>21.02</v>
      </c>
      <c r="E4">
        <v>68.663958664743248</v>
      </c>
      <c r="F4">
        <v>20.841405010955778</v>
      </c>
      <c r="G4" s="18">
        <v>3.6</v>
      </c>
      <c r="H4" s="16">
        <v>2.46</v>
      </c>
      <c r="I4">
        <v>4.4710407521532112</v>
      </c>
      <c r="J4" s="17">
        <v>7.61</v>
      </c>
      <c r="L4" t="s">
        <v>24</v>
      </c>
      <c r="M4" s="1" t="s">
        <v>6</v>
      </c>
      <c r="N4" t="str">
        <f t="shared" si="1"/>
        <v>1.81534053469215</v>
      </c>
      <c r="O4" t="str">
        <f t="shared" si="2"/>
        <v>21.02</v>
      </c>
      <c r="P4" t="str">
        <f t="shared" si="3"/>
        <v>68.6639586647432</v>
      </c>
      <c r="Q4" t="str">
        <f t="shared" si="4"/>
        <v>20.8414050109558</v>
      </c>
      <c r="R4" t="str">
        <f t="shared" si="5"/>
        <v>3.6</v>
      </c>
      <c r="S4" t="str">
        <f t="shared" si="6"/>
        <v>2.46</v>
      </c>
      <c r="T4" t="str">
        <f t="shared" si="7"/>
        <v>4.47104075215321</v>
      </c>
      <c r="U4" t="str">
        <f t="shared" si="8"/>
        <v>7.61</v>
      </c>
    </row>
    <row r="5" spans="1:22" x14ac:dyDescent="0.25">
      <c r="A5" t="s">
        <v>24</v>
      </c>
      <c r="B5" s="1" t="s">
        <v>7</v>
      </c>
      <c r="C5">
        <v>4.0908884149045397</v>
      </c>
      <c r="D5" s="17">
        <v>21.21</v>
      </c>
      <c r="E5">
        <v>65.172321145907858</v>
      </c>
      <c r="F5">
        <v>20.933688855450658</v>
      </c>
      <c r="G5" s="18">
        <v>3.68</v>
      </c>
      <c r="H5" s="16">
        <v>2.14</v>
      </c>
      <c r="I5">
        <v>4.2978289536785459</v>
      </c>
      <c r="J5" s="17">
        <v>7.45</v>
      </c>
      <c r="L5" t="s">
        <v>24</v>
      </c>
      <c r="M5" s="1" t="s">
        <v>7</v>
      </c>
      <c r="N5" t="str">
        <f t="shared" si="1"/>
        <v>4.09088841490454</v>
      </c>
      <c r="O5" t="str">
        <f t="shared" si="2"/>
        <v>21.21</v>
      </c>
      <c r="P5" t="str">
        <f t="shared" si="3"/>
        <v>65.1723211459079</v>
      </c>
      <c r="Q5" t="str">
        <f t="shared" si="4"/>
        <v>20.9336888554507</v>
      </c>
      <c r="R5" t="str">
        <f t="shared" si="5"/>
        <v>3.68</v>
      </c>
      <c r="S5" t="str">
        <f t="shared" si="6"/>
        <v>2.14</v>
      </c>
      <c r="T5" t="str">
        <f t="shared" si="7"/>
        <v>4.29782895367855</v>
      </c>
      <c r="U5" t="str">
        <f t="shared" si="8"/>
        <v>7.45</v>
      </c>
    </row>
    <row r="6" spans="1:22" x14ac:dyDescent="0.25">
      <c r="A6" t="s">
        <v>24</v>
      </c>
      <c r="B6" s="1" t="s">
        <v>8</v>
      </c>
      <c r="C6">
        <v>1.2702258294914199</v>
      </c>
      <c r="D6" s="17">
        <v>20.12</v>
      </c>
      <c r="E6">
        <v>66.970170530890925</v>
      </c>
      <c r="F6">
        <v>20.919098668977927</v>
      </c>
      <c r="G6" s="18">
        <v>3.35</v>
      </c>
      <c r="H6" s="18">
        <v>2.31</v>
      </c>
      <c r="I6">
        <v>4.4933026038626345</v>
      </c>
      <c r="J6" s="17">
        <v>7.64</v>
      </c>
      <c r="L6" t="s">
        <v>24</v>
      </c>
      <c r="M6" s="1" t="s">
        <v>8</v>
      </c>
      <c r="N6" t="str">
        <f t="shared" si="1"/>
        <v>1.27022582949142</v>
      </c>
      <c r="O6" t="str">
        <f t="shared" si="2"/>
        <v>20.12</v>
      </c>
      <c r="P6" t="str">
        <f t="shared" si="3"/>
        <v>66.9701705308909</v>
      </c>
      <c r="Q6" t="str">
        <f t="shared" si="4"/>
        <v>20.9190986689779</v>
      </c>
      <c r="R6" t="str">
        <f t="shared" si="5"/>
        <v>3.35</v>
      </c>
      <c r="S6" t="str">
        <f t="shared" si="6"/>
        <v>2.31</v>
      </c>
      <c r="T6" t="str">
        <f t="shared" si="7"/>
        <v>4.49330260386263</v>
      </c>
      <c r="U6" t="str">
        <f t="shared" si="8"/>
        <v>7.64</v>
      </c>
    </row>
    <row r="7" spans="1:22" x14ac:dyDescent="0.25">
      <c r="A7" t="s">
        <v>24</v>
      </c>
      <c r="B7" s="1" t="s">
        <v>9</v>
      </c>
      <c r="C7">
        <v>3.680697816953665</v>
      </c>
      <c r="D7" s="17">
        <v>20.77</v>
      </c>
      <c r="E7">
        <v>68.977227942657208</v>
      </c>
      <c r="F7">
        <v>20.925715330045936</v>
      </c>
      <c r="G7" s="16">
        <v>3.31</v>
      </c>
      <c r="H7" s="18">
        <v>2.33</v>
      </c>
      <c r="I7">
        <v>4.5331841223022229</v>
      </c>
      <c r="J7" s="17">
        <v>7.02</v>
      </c>
      <c r="L7" t="s">
        <v>24</v>
      </c>
      <c r="M7" s="1" t="s">
        <v>9</v>
      </c>
      <c r="N7" t="str">
        <f t="shared" si="1"/>
        <v>3.68069781695367</v>
      </c>
      <c r="O7" t="str">
        <f t="shared" si="2"/>
        <v>20.77</v>
      </c>
      <c r="P7" t="str">
        <f t="shared" si="3"/>
        <v>68.9772279426572</v>
      </c>
      <c r="Q7" t="str">
        <f t="shared" si="4"/>
        <v>20.9257153300459</v>
      </c>
      <c r="R7" t="str">
        <f t="shared" si="5"/>
        <v>3.31</v>
      </c>
      <c r="S7" t="str">
        <f t="shared" si="6"/>
        <v>2.33</v>
      </c>
      <c r="T7" t="str">
        <f t="shared" si="7"/>
        <v>4.53318412230222</v>
      </c>
      <c r="U7" t="str">
        <f t="shared" si="8"/>
        <v>7.02</v>
      </c>
    </row>
    <row r="8" spans="1:22" x14ac:dyDescent="0.25">
      <c r="A8" t="s">
        <v>24</v>
      </c>
      <c r="B8" s="1" t="s">
        <v>10</v>
      </c>
      <c r="C8">
        <v>1.5071729402629395</v>
      </c>
      <c r="D8" s="17">
        <v>21.63</v>
      </c>
      <c r="E8">
        <v>69.210794513780527</v>
      </c>
      <c r="F8">
        <v>20.937294189171823</v>
      </c>
      <c r="G8" s="18">
        <v>3.42</v>
      </c>
      <c r="H8" s="18">
        <v>2.94</v>
      </c>
      <c r="I8">
        <v>4.6986646630324476</v>
      </c>
      <c r="J8" s="17">
        <v>7.02</v>
      </c>
      <c r="L8" t="s">
        <v>24</v>
      </c>
      <c r="M8" s="1" t="s">
        <v>10</v>
      </c>
      <c r="N8" t="str">
        <f t="shared" si="1"/>
        <v>1.50717294026294</v>
      </c>
      <c r="O8" t="str">
        <f t="shared" si="2"/>
        <v>21.63</v>
      </c>
      <c r="P8" t="str">
        <f t="shared" si="3"/>
        <v>69.2107945137805</v>
      </c>
      <c r="Q8" t="str">
        <f t="shared" si="4"/>
        <v>20.9372941891718</v>
      </c>
      <c r="R8" t="str">
        <f t="shared" si="5"/>
        <v>3.42</v>
      </c>
      <c r="S8" t="str">
        <f t="shared" si="6"/>
        <v>2.94</v>
      </c>
      <c r="T8" t="str">
        <f t="shared" si="7"/>
        <v>4.69866466303245</v>
      </c>
      <c r="U8" t="str">
        <f t="shared" si="8"/>
        <v>7.02</v>
      </c>
    </row>
    <row r="9" spans="1:22" x14ac:dyDescent="0.25">
      <c r="A9" t="s">
        <v>24</v>
      </c>
      <c r="B9" s="1" t="s">
        <v>11</v>
      </c>
      <c r="C9">
        <v>0.2666520823277409</v>
      </c>
      <c r="D9" s="17">
        <v>22.55</v>
      </c>
      <c r="E9">
        <v>64.000076213005258</v>
      </c>
      <c r="F9">
        <v>21.018229727490588</v>
      </c>
      <c r="G9" s="18">
        <v>3.5</v>
      </c>
      <c r="H9" s="18">
        <v>2.62</v>
      </c>
      <c r="I9">
        <v>4.3670552375429894</v>
      </c>
      <c r="J9" s="17">
        <v>6.98</v>
      </c>
      <c r="L9" t="s">
        <v>24</v>
      </c>
      <c r="M9" s="1" t="s">
        <v>11</v>
      </c>
      <c r="N9" t="str">
        <f t="shared" si="1"/>
        <v>0.266652082327741</v>
      </c>
      <c r="O9" t="str">
        <f t="shared" si="2"/>
        <v>22.55</v>
      </c>
      <c r="P9" t="str">
        <f t="shared" si="3"/>
        <v>64.0000762130053</v>
      </c>
      <c r="Q9" t="str">
        <f t="shared" si="4"/>
        <v>21.0182297274906</v>
      </c>
      <c r="R9" t="str">
        <f t="shared" si="5"/>
        <v>3.5</v>
      </c>
      <c r="S9" t="str">
        <f t="shared" si="6"/>
        <v>2.62</v>
      </c>
      <c r="T9" t="str">
        <f t="shared" si="7"/>
        <v>4.36705523754299</v>
      </c>
      <c r="U9" t="str">
        <f t="shared" si="8"/>
        <v>6.98</v>
      </c>
    </row>
    <row r="10" spans="1:22" x14ac:dyDescent="0.25">
      <c r="A10" t="s">
        <v>24</v>
      </c>
      <c r="B10" s="1" t="s">
        <v>12</v>
      </c>
      <c r="C10">
        <v>2.8733162467139679</v>
      </c>
      <c r="D10" s="17">
        <v>18.23</v>
      </c>
      <c r="E10">
        <v>68.702765200215396</v>
      </c>
      <c r="F10">
        <v>20.975652658785521</v>
      </c>
      <c r="G10" s="18">
        <v>3.19</v>
      </c>
      <c r="H10" s="18">
        <v>2.81</v>
      </c>
      <c r="I10">
        <v>6.29132688070366</v>
      </c>
      <c r="J10" s="17">
        <v>20.39</v>
      </c>
      <c r="L10" t="s">
        <v>24</v>
      </c>
      <c r="M10" s="1" t="s">
        <v>12</v>
      </c>
      <c r="N10" t="str">
        <f t="shared" si="1"/>
        <v>2.87331624671397</v>
      </c>
      <c r="O10" t="str">
        <f t="shared" si="2"/>
        <v>18.23</v>
      </c>
      <c r="P10" t="str">
        <f t="shared" si="3"/>
        <v>68.7027652002154</v>
      </c>
      <c r="Q10" t="str">
        <f t="shared" si="4"/>
        <v>20.9756526587855</v>
      </c>
      <c r="R10" t="str">
        <f t="shared" si="5"/>
        <v>3.19</v>
      </c>
      <c r="S10" t="str">
        <f t="shared" si="6"/>
        <v>2.81</v>
      </c>
      <c r="T10" t="str">
        <f t="shared" si="7"/>
        <v>6.29132688070366</v>
      </c>
      <c r="U10" t="str">
        <f t="shared" si="8"/>
        <v>20.39</v>
      </c>
    </row>
    <row r="11" spans="1:22" x14ac:dyDescent="0.25">
      <c r="A11" t="s">
        <v>24</v>
      </c>
      <c r="B11" s="1" t="s">
        <v>13</v>
      </c>
      <c r="C11">
        <v>-1.7204331781634021</v>
      </c>
      <c r="D11" s="17">
        <v>19.829999999999998</v>
      </c>
      <c r="E11">
        <v>66.374546293700817</v>
      </c>
      <c r="F11">
        <v>20.992774417594848</v>
      </c>
      <c r="G11" s="18">
        <v>2.41</v>
      </c>
      <c r="H11" s="16">
        <v>2.98</v>
      </c>
      <c r="I11">
        <v>5.9660200064142028</v>
      </c>
      <c r="J11" s="17">
        <v>5.72</v>
      </c>
      <c r="L11" t="s">
        <v>24</v>
      </c>
      <c r="M11" s="1" t="s">
        <v>13</v>
      </c>
      <c r="N11" t="str">
        <f t="shared" si="1"/>
        <v>-1.7204331781634</v>
      </c>
      <c r="O11" t="str">
        <f t="shared" si="2"/>
        <v>19.83</v>
      </c>
      <c r="P11" t="str">
        <f t="shared" si="3"/>
        <v>66.3745462937008</v>
      </c>
      <c r="Q11" t="str">
        <f t="shared" si="4"/>
        <v>20.9927744175948</v>
      </c>
      <c r="R11" t="str">
        <f t="shared" si="5"/>
        <v>2.41</v>
      </c>
      <c r="S11" t="str">
        <f t="shared" si="6"/>
        <v>2.98</v>
      </c>
      <c r="T11" t="str">
        <f t="shared" si="7"/>
        <v>5.9660200064142</v>
      </c>
      <c r="U11" t="str">
        <f t="shared" si="8"/>
        <v>5.72</v>
      </c>
    </row>
    <row r="12" spans="1:22" x14ac:dyDescent="0.25">
      <c r="A12" t="s">
        <v>24</v>
      </c>
      <c r="B12" s="1" t="s">
        <v>14</v>
      </c>
      <c r="C12">
        <v>0.97863671662918628</v>
      </c>
      <c r="D12" s="17">
        <v>20.38</v>
      </c>
      <c r="E12">
        <v>64.547614663133004</v>
      </c>
      <c r="F12">
        <v>21.03042368916789</v>
      </c>
      <c r="G12" s="18">
        <v>2.0699999999999998</v>
      </c>
      <c r="H12" s="18">
        <v>3.02</v>
      </c>
      <c r="I12">
        <v>6.5011761625364706</v>
      </c>
      <c r="J12" s="17">
        <v>5.76</v>
      </c>
      <c r="L12" t="s">
        <v>24</v>
      </c>
      <c r="M12" s="1" t="s">
        <v>14</v>
      </c>
      <c r="N12" t="str">
        <f t="shared" si="1"/>
        <v>0.978636716629186</v>
      </c>
      <c r="O12" t="str">
        <f t="shared" si="2"/>
        <v>20.38</v>
      </c>
      <c r="P12" t="str">
        <f t="shared" si="3"/>
        <v>64.547614663133</v>
      </c>
      <c r="Q12" t="str">
        <f t="shared" si="4"/>
        <v>21.0304236891679</v>
      </c>
      <c r="R12" t="str">
        <f t="shared" si="5"/>
        <v>2.07</v>
      </c>
      <c r="S12" t="str">
        <f t="shared" si="6"/>
        <v>3.02</v>
      </c>
      <c r="T12" t="str">
        <f t="shared" si="7"/>
        <v>6.50117616253647</v>
      </c>
      <c r="U12" t="str">
        <f t="shared" si="8"/>
        <v>5.76</v>
      </c>
    </row>
    <row r="13" spans="1:22" x14ac:dyDescent="0.25">
      <c r="A13" t="s">
        <v>24</v>
      </c>
      <c r="B13" s="1" t="s">
        <v>15</v>
      </c>
      <c r="C13">
        <v>0.35606415111459117</v>
      </c>
      <c r="D13" s="17">
        <v>20.61</v>
      </c>
      <c r="E13">
        <v>61.942231678069739</v>
      </c>
      <c r="F13">
        <v>21.075178966320362</v>
      </c>
      <c r="G13" s="18">
        <v>1.98</v>
      </c>
      <c r="H13" s="18">
        <v>2.94</v>
      </c>
      <c r="I13">
        <v>7.281745410363996</v>
      </c>
      <c r="J13" s="17">
        <v>6</v>
      </c>
      <c r="L13" t="s">
        <v>24</v>
      </c>
      <c r="M13" s="1" t="s">
        <v>15</v>
      </c>
      <c r="N13" t="str">
        <f t="shared" si="1"/>
        <v>0.356064151114591</v>
      </c>
      <c r="O13" t="str">
        <f t="shared" si="2"/>
        <v>20.61</v>
      </c>
      <c r="P13" t="str">
        <f t="shared" si="3"/>
        <v>61.9422316780697</v>
      </c>
      <c r="Q13" t="str">
        <f t="shared" si="4"/>
        <v>21.0751789663204</v>
      </c>
      <c r="R13" t="str">
        <f t="shared" si="5"/>
        <v>1.98</v>
      </c>
      <c r="S13" t="str">
        <f t="shared" si="6"/>
        <v>2.94</v>
      </c>
      <c r="T13" t="str">
        <f t="shared" si="7"/>
        <v>7.281745410364</v>
      </c>
      <c r="U13" t="str">
        <f t="shared" si="8"/>
        <v>6</v>
      </c>
    </row>
    <row r="14" spans="1:22" x14ac:dyDescent="0.25">
      <c r="A14" t="s">
        <v>24</v>
      </c>
      <c r="B14" s="1" t="s">
        <v>16</v>
      </c>
      <c r="C14">
        <v>1.7986891420608293</v>
      </c>
      <c r="D14" s="17">
        <v>19.399999999999999</v>
      </c>
      <c r="E14">
        <v>65.231257053988017</v>
      </c>
      <c r="F14">
        <v>21.041269454415357</v>
      </c>
      <c r="G14" s="16">
        <v>2.65</v>
      </c>
      <c r="H14" s="16">
        <v>3.12</v>
      </c>
      <c r="I14">
        <v>7.9535870317135364</v>
      </c>
      <c r="J14" s="17">
        <v>7</v>
      </c>
      <c r="L14" t="s">
        <v>24</v>
      </c>
      <c r="M14" s="1" t="s">
        <v>16</v>
      </c>
      <c r="N14" t="str">
        <f t="shared" si="1"/>
        <v>1.79868914206083</v>
      </c>
      <c r="O14" t="str">
        <f t="shared" si="2"/>
        <v>19.4</v>
      </c>
      <c r="P14" t="str">
        <f t="shared" si="3"/>
        <v>65.231257053988</v>
      </c>
      <c r="Q14" t="str">
        <f t="shared" si="4"/>
        <v>21.0412694544154</v>
      </c>
      <c r="R14" t="str">
        <f t="shared" si="5"/>
        <v>2.65</v>
      </c>
      <c r="S14" t="str">
        <f t="shared" si="6"/>
        <v>3.12</v>
      </c>
      <c r="T14" t="str">
        <f t="shared" si="7"/>
        <v>7.95358703171354</v>
      </c>
      <c r="U14" t="str">
        <f t="shared" si="8"/>
        <v>7</v>
      </c>
    </row>
    <row r="15" spans="1:22" x14ac:dyDescent="0.25">
      <c r="A15" t="s">
        <v>24</v>
      </c>
      <c r="B15" s="1" t="s">
        <v>17</v>
      </c>
      <c r="C15">
        <v>1.7352184220436939</v>
      </c>
      <c r="D15" s="17">
        <v>19.64</v>
      </c>
      <c r="E15">
        <v>64.612260340517594</v>
      </c>
      <c r="F15">
        <v>21.068007384093825</v>
      </c>
      <c r="G15" s="18">
        <v>2.38</v>
      </c>
      <c r="H15" s="18">
        <v>3.27</v>
      </c>
      <c r="I15">
        <v>8.447582769022203</v>
      </c>
      <c r="J15" s="17">
        <v>7.02</v>
      </c>
      <c r="L15" t="s">
        <v>24</v>
      </c>
      <c r="M15" s="1" t="s">
        <v>17</v>
      </c>
      <c r="N15" t="str">
        <f t="shared" si="1"/>
        <v>1.73521842204369</v>
      </c>
      <c r="O15" t="str">
        <f t="shared" si="2"/>
        <v>19.64</v>
      </c>
      <c r="P15" t="str">
        <f t="shared" si="3"/>
        <v>64.6122603405176</v>
      </c>
      <c r="Q15" t="str">
        <f t="shared" si="4"/>
        <v>21.0680073840938</v>
      </c>
      <c r="R15" t="str">
        <f t="shared" si="5"/>
        <v>2.38</v>
      </c>
      <c r="S15" t="str">
        <f t="shared" si="6"/>
        <v>3.27</v>
      </c>
      <c r="T15" t="str">
        <f t="shared" si="7"/>
        <v>8.4475827690222</v>
      </c>
      <c r="U15" t="str">
        <f t="shared" si="8"/>
        <v>7.02</v>
      </c>
    </row>
    <row r="16" spans="1:22" x14ac:dyDescent="0.25">
      <c r="A16" t="s">
        <v>24</v>
      </c>
      <c r="B16" s="1" t="s">
        <v>18</v>
      </c>
      <c r="C16">
        <v>2.0796567073235219</v>
      </c>
      <c r="D16" s="17">
        <v>24.37</v>
      </c>
      <c r="E16">
        <v>60.516176786110975</v>
      </c>
      <c r="F16">
        <v>21.154084121863381</v>
      </c>
      <c r="G16" s="18">
        <v>2.52</v>
      </c>
      <c r="H16" s="16">
        <v>3.29</v>
      </c>
      <c r="I16">
        <v>8.5449547978269038</v>
      </c>
      <c r="J16" s="17">
        <v>6.86</v>
      </c>
      <c r="L16" t="s">
        <v>24</v>
      </c>
      <c r="M16" s="1" t="s">
        <v>18</v>
      </c>
      <c r="N16" t="str">
        <f t="shared" si="1"/>
        <v>2.07965670732352</v>
      </c>
      <c r="O16" t="str">
        <f t="shared" si="2"/>
        <v>24.37</v>
      </c>
      <c r="P16" t="str">
        <f t="shared" si="3"/>
        <v>60.516176786111</v>
      </c>
      <c r="Q16" t="str">
        <f t="shared" si="4"/>
        <v>21.1540841218634</v>
      </c>
      <c r="R16" t="str">
        <f t="shared" si="5"/>
        <v>2.52</v>
      </c>
      <c r="S16" t="str">
        <f t="shared" si="6"/>
        <v>3.29</v>
      </c>
      <c r="T16" t="str">
        <f t="shared" si="7"/>
        <v>8.5449547978269</v>
      </c>
      <c r="U16" t="str">
        <f t="shared" si="8"/>
        <v>6.86</v>
      </c>
    </row>
    <row r="17" spans="1:21" x14ac:dyDescent="0.25">
      <c r="A17" t="s">
        <v>24</v>
      </c>
      <c r="B17" s="1" t="s">
        <v>19</v>
      </c>
      <c r="C17">
        <v>1.3588577358263263</v>
      </c>
      <c r="D17" s="17">
        <v>25.28</v>
      </c>
      <c r="E17">
        <v>60.00292937064021</v>
      </c>
      <c r="F17">
        <v>21.176098532762396</v>
      </c>
      <c r="G17" s="18">
        <v>2.72</v>
      </c>
      <c r="H17" s="18">
        <v>3.08</v>
      </c>
      <c r="I17">
        <v>8.5738033387173971</v>
      </c>
      <c r="J17" s="17">
        <v>6.89</v>
      </c>
      <c r="L17" t="s">
        <v>24</v>
      </c>
      <c r="M17" s="1" t="s">
        <v>19</v>
      </c>
      <c r="N17" t="str">
        <f t="shared" si="1"/>
        <v>1.35885773582633</v>
      </c>
      <c r="O17" t="str">
        <f t="shared" si="2"/>
        <v>25.28</v>
      </c>
      <c r="P17" t="str">
        <f t="shared" si="3"/>
        <v>60.0029293706402</v>
      </c>
      <c r="Q17" t="str">
        <f t="shared" si="4"/>
        <v>21.1760985327624</v>
      </c>
      <c r="R17" t="str">
        <f t="shared" si="5"/>
        <v>2.72</v>
      </c>
      <c r="S17" t="str">
        <f t="shared" si="6"/>
        <v>3.08</v>
      </c>
      <c r="T17" t="str">
        <f t="shared" si="7"/>
        <v>8.5738033387174</v>
      </c>
      <c r="U17" t="str">
        <f t="shared" si="8"/>
        <v>6.89</v>
      </c>
    </row>
    <row r="18" spans="1:21" x14ac:dyDescent="0.25">
      <c r="A18" t="s">
        <v>24</v>
      </c>
      <c r="B18" s="1" t="s">
        <v>20</v>
      </c>
      <c r="C18">
        <v>3.2954198637642333</v>
      </c>
      <c r="D18" s="17">
        <v>22.39</v>
      </c>
      <c r="E18">
        <v>63.263638633083083</v>
      </c>
      <c r="F18">
        <v>21.155604032664254</v>
      </c>
      <c r="G18" s="16">
        <v>3.56</v>
      </c>
      <c r="H18" s="16">
        <v>3.15</v>
      </c>
      <c r="I18">
        <v>8.6920108534612162</v>
      </c>
      <c r="J18" s="16">
        <v>6.85</v>
      </c>
      <c r="L18" t="s">
        <v>24</v>
      </c>
      <c r="M18" s="1" t="s">
        <v>20</v>
      </c>
      <c r="N18" t="str">
        <f t="shared" si="1"/>
        <v>3.29541986376423</v>
      </c>
      <c r="O18" t="str">
        <f t="shared" si="2"/>
        <v>22.39</v>
      </c>
      <c r="P18" t="str">
        <f t="shared" si="3"/>
        <v>63.2636386330831</v>
      </c>
      <c r="Q18" t="str">
        <f t="shared" si="4"/>
        <v>21.1556040326643</v>
      </c>
      <c r="R18" t="str">
        <f t="shared" si="5"/>
        <v>3.56</v>
      </c>
      <c r="S18" t="str">
        <f t="shared" si="6"/>
        <v>3.15</v>
      </c>
      <c r="T18" t="str">
        <f t="shared" si="7"/>
        <v>8.69201085346122</v>
      </c>
      <c r="U18" t="str">
        <f t="shared" si="8"/>
        <v>6.85</v>
      </c>
    </row>
    <row r="19" spans="1:21" x14ac:dyDescent="0.25">
      <c r="A19" t="s">
        <v>24</v>
      </c>
      <c r="B19" s="1" t="s">
        <v>21</v>
      </c>
      <c r="C19">
        <v>2.955874842227777</v>
      </c>
      <c r="D19" s="16">
        <v>22.97</v>
      </c>
      <c r="E19">
        <v>65.051845308645994</v>
      </c>
      <c r="F19">
        <v>21.156860506352977</v>
      </c>
      <c r="G19" s="16">
        <v>3.82</v>
      </c>
      <c r="H19" s="16">
        <v>3.32</v>
      </c>
      <c r="I19">
        <v>8.8100515889163518</v>
      </c>
      <c r="J19" s="16">
        <v>7.35</v>
      </c>
      <c r="L19" t="s">
        <v>24</v>
      </c>
      <c r="M19" s="1" t="s">
        <v>21</v>
      </c>
      <c r="N19" t="str">
        <f t="shared" si="1"/>
        <v>2.95587484222778</v>
      </c>
      <c r="O19" t="str">
        <f t="shared" si="2"/>
        <v>22.97</v>
      </c>
      <c r="P19" t="str">
        <f t="shared" si="3"/>
        <v>65.051845308646</v>
      </c>
      <c r="Q19" t="str">
        <f t="shared" si="4"/>
        <v>21.156860506353</v>
      </c>
      <c r="R19" t="str">
        <f t="shared" si="5"/>
        <v>3.82</v>
      </c>
      <c r="S19" t="str">
        <f t="shared" si="6"/>
        <v>3.32</v>
      </c>
      <c r="T19" t="str">
        <f t="shared" si="7"/>
        <v>8.81005158891635</v>
      </c>
      <c r="U19" t="str">
        <f t="shared" si="8"/>
        <v>7.35</v>
      </c>
    </row>
    <row r="20" spans="1:21" x14ac:dyDescent="0.25">
      <c r="A20" t="s">
        <v>24</v>
      </c>
      <c r="B20" s="1" t="s">
        <v>22</v>
      </c>
      <c r="C20">
        <v>0.34901132303670029</v>
      </c>
      <c r="D20" s="17">
        <v>24</v>
      </c>
      <c r="E20">
        <v>63.913165728423834</v>
      </c>
      <c r="F20">
        <v>21.178003738771373</v>
      </c>
      <c r="G20" s="16">
        <v>3.97</v>
      </c>
      <c r="H20" s="16">
        <v>3.14</v>
      </c>
      <c r="I20">
        <v>8.6564422776832295</v>
      </c>
      <c r="J20" s="16">
        <v>7.23</v>
      </c>
      <c r="L20" t="s">
        <v>24</v>
      </c>
      <c r="M20" s="1" t="s">
        <v>22</v>
      </c>
      <c r="N20" t="str">
        <f t="shared" si="1"/>
        <v>0.3490113230367</v>
      </c>
      <c r="O20" t="str">
        <f t="shared" si="2"/>
        <v>24</v>
      </c>
      <c r="P20" t="str">
        <f t="shared" si="3"/>
        <v>63.9131657284238</v>
      </c>
      <c r="Q20" t="str">
        <f t="shared" si="4"/>
        <v>21.1780037387714</v>
      </c>
      <c r="R20" t="str">
        <f t="shared" si="5"/>
        <v>3.97</v>
      </c>
      <c r="S20" t="str">
        <f t="shared" si="6"/>
        <v>3.14</v>
      </c>
      <c r="T20" t="str">
        <f t="shared" si="7"/>
        <v>8.65644227768323</v>
      </c>
      <c r="U20" t="str">
        <f t="shared" si="8"/>
        <v>7.23</v>
      </c>
    </row>
    <row r="21" spans="1:21" x14ac:dyDescent="0.25">
      <c r="A21" t="s">
        <v>24</v>
      </c>
      <c r="B21" s="1" t="s">
        <v>23</v>
      </c>
      <c r="C21">
        <v>2.2523908879233683</v>
      </c>
      <c r="D21" s="19">
        <v>23.3</v>
      </c>
      <c r="E21">
        <v>58.812431863977466</v>
      </c>
      <c r="F21">
        <v>21.283449847983935</v>
      </c>
      <c r="G21" s="18">
        <v>3.76</v>
      </c>
      <c r="H21" s="18">
        <v>2.82</v>
      </c>
      <c r="I21">
        <v>8.2131102784831036</v>
      </c>
      <c r="J21" s="19">
        <v>6.8</v>
      </c>
      <c r="L21" t="s">
        <v>24</v>
      </c>
      <c r="M21" s="1" t="s">
        <v>23</v>
      </c>
      <c r="N21" t="str">
        <f t="shared" si="1"/>
        <v>2.25239088792337</v>
      </c>
      <c r="O21" t="str">
        <f t="shared" si="2"/>
        <v>23.3</v>
      </c>
      <c r="P21" t="str">
        <f t="shared" si="3"/>
        <v>58.8124318639775</v>
      </c>
      <c r="Q21" t="str">
        <f t="shared" si="4"/>
        <v>21.2834498479839</v>
      </c>
      <c r="R21" t="str">
        <f t="shared" si="5"/>
        <v>3.76</v>
      </c>
      <c r="S21" t="str">
        <f t="shared" si="6"/>
        <v>2.82</v>
      </c>
      <c r="T21" t="str">
        <f t="shared" si="7"/>
        <v>8.2131102784831</v>
      </c>
      <c r="U21" t="str">
        <f t="shared" si="8"/>
        <v>6.8</v>
      </c>
    </row>
    <row r="22" spans="1:21" x14ac:dyDescent="0.25">
      <c r="A22" t="s">
        <v>25</v>
      </c>
      <c r="B22" s="1" t="s">
        <v>4</v>
      </c>
      <c r="C22">
        <v>-4.5982721552190515</v>
      </c>
      <c r="D22" s="17">
        <v>20.94</v>
      </c>
      <c r="E22">
        <v>64.997900101061489</v>
      </c>
      <c r="F22">
        <v>20.667350632706945</v>
      </c>
      <c r="G22" s="18">
        <v>3.17</v>
      </c>
      <c r="H22" s="16">
        <v>3.35</v>
      </c>
      <c r="I22">
        <v>4.8058128127673854</v>
      </c>
      <c r="J22" s="17">
        <v>5.61</v>
      </c>
      <c r="L22" t="s">
        <v>25</v>
      </c>
      <c r="M22" s="1" t="s">
        <v>4</v>
      </c>
      <c r="N22" t="str">
        <f t="shared" si="1"/>
        <v>-4.59827215521905</v>
      </c>
      <c r="O22" t="str">
        <f t="shared" si="2"/>
        <v>20.94</v>
      </c>
      <c r="P22" t="str">
        <f t="shared" si="3"/>
        <v>64.9979001010615</v>
      </c>
      <c r="Q22" t="str">
        <f t="shared" si="4"/>
        <v>20.6673506327069</v>
      </c>
      <c r="R22" t="str">
        <f t="shared" si="5"/>
        <v>3.17</v>
      </c>
      <c r="S22" t="str">
        <f t="shared" si="6"/>
        <v>3.35</v>
      </c>
      <c r="T22" t="str">
        <f t="shared" si="7"/>
        <v>4.80581281276739</v>
      </c>
      <c r="U22" t="str">
        <f t="shared" si="8"/>
        <v>5.61</v>
      </c>
    </row>
    <row r="23" spans="1:21" x14ac:dyDescent="0.25">
      <c r="A23" t="s">
        <v>25</v>
      </c>
      <c r="B23" s="1" t="s">
        <v>5</v>
      </c>
      <c r="C23">
        <v>9.198808181209376</v>
      </c>
      <c r="D23" s="17">
        <v>20.64</v>
      </c>
      <c r="E23">
        <v>66.885414951982668</v>
      </c>
      <c r="F23">
        <v>20.726724628424808</v>
      </c>
      <c r="G23" s="18">
        <v>3.04</v>
      </c>
      <c r="H23" s="18">
        <v>3.13</v>
      </c>
      <c r="I23">
        <v>4.4895124895201537</v>
      </c>
      <c r="J23" s="17">
        <v>5.51</v>
      </c>
      <c r="L23" t="s">
        <v>25</v>
      </c>
      <c r="M23" s="1" t="s">
        <v>5</v>
      </c>
      <c r="N23" t="str">
        <f t="shared" si="1"/>
        <v>9.19880818120938</v>
      </c>
      <c r="O23" t="str">
        <f t="shared" si="2"/>
        <v>20.64</v>
      </c>
      <c r="P23" t="str">
        <f t="shared" si="3"/>
        <v>66.8854149519827</v>
      </c>
      <c r="Q23" t="str">
        <f t="shared" si="4"/>
        <v>20.7267246284248</v>
      </c>
      <c r="R23" t="str">
        <f t="shared" si="5"/>
        <v>3.04</v>
      </c>
      <c r="S23" t="str">
        <f t="shared" si="6"/>
        <v>3.13</v>
      </c>
      <c r="T23" t="str">
        <f t="shared" si="7"/>
        <v>4.48951248952015</v>
      </c>
      <c r="U23" t="str">
        <f t="shared" si="8"/>
        <v>5.51</v>
      </c>
    </row>
    <row r="24" spans="1:21" x14ac:dyDescent="0.25">
      <c r="A24" t="s">
        <v>25</v>
      </c>
      <c r="B24" s="1" t="s">
        <v>6</v>
      </c>
      <c r="C24">
        <v>2.0092973781479322</v>
      </c>
      <c r="D24" s="17">
        <v>21.38</v>
      </c>
      <c r="E24">
        <v>67.299849010715718</v>
      </c>
      <c r="F24">
        <v>20.74044133990084</v>
      </c>
      <c r="G24" s="18">
        <v>2.96</v>
      </c>
      <c r="H24" s="18">
        <v>3.04</v>
      </c>
      <c r="I24">
        <v>4.3588038844215244</v>
      </c>
      <c r="J24" s="17">
        <v>5.52</v>
      </c>
      <c r="L24" t="s">
        <v>25</v>
      </c>
      <c r="M24" s="1" t="s">
        <v>6</v>
      </c>
      <c r="N24" t="str">
        <f t="shared" si="1"/>
        <v>2.00929737814793</v>
      </c>
      <c r="O24" t="str">
        <f t="shared" si="2"/>
        <v>21.38</v>
      </c>
      <c r="P24" t="str">
        <f t="shared" si="3"/>
        <v>67.2998490107157</v>
      </c>
      <c r="Q24" t="str">
        <f t="shared" si="4"/>
        <v>20.7404413399008</v>
      </c>
      <c r="R24" t="str">
        <f t="shared" si="5"/>
        <v>2.96</v>
      </c>
      <c r="S24" t="str">
        <f t="shared" si="6"/>
        <v>3.04</v>
      </c>
      <c r="T24" t="str">
        <f t="shared" si="7"/>
        <v>4.35880388442152</v>
      </c>
      <c r="U24" t="str">
        <f t="shared" si="8"/>
        <v>5.52</v>
      </c>
    </row>
    <row r="25" spans="1:21" x14ac:dyDescent="0.25">
      <c r="A25" t="s">
        <v>25</v>
      </c>
      <c r="B25" s="1" t="s">
        <v>7</v>
      </c>
      <c r="C25">
        <v>5.0111822713553762</v>
      </c>
      <c r="D25" s="17">
        <v>20.96</v>
      </c>
      <c r="E25">
        <v>69.326220447533132</v>
      </c>
      <c r="F25">
        <v>20.759672793273126</v>
      </c>
      <c r="G25" s="18">
        <v>3.17</v>
      </c>
      <c r="H25" s="18">
        <v>2.79</v>
      </c>
      <c r="I25">
        <v>4.0919950848470696</v>
      </c>
      <c r="J25" s="17">
        <v>5.52</v>
      </c>
      <c r="L25" t="s">
        <v>25</v>
      </c>
      <c r="M25" s="1" t="s">
        <v>7</v>
      </c>
      <c r="N25" t="str">
        <f t="shared" si="1"/>
        <v>5.01118227135538</v>
      </c>
      <c r="O25" t="str">
        <f t="shared" si="2"/>
        <v>20.96</v>
      </c>
      <c r="P25" t="str">
        <f t="shared" si="3"/>
        <v>69.3262204475331</v>
      </c>
      <c r="Q25" t="str">
        <f t="shared" si="4"/>
        <v>20.7596727932731</v>
      </c>
      <c r="R25" t="str">
        <f t="shared" si="5"/>
        <v>3.17</v>
      </c>
      <c r="S25" t="str">
        <f t="shared" si="6"/>
        <v>2.79</v>
      </c>
      <c r="T25" t="str">
        <f t="shared" si="7"/>
        <v>4.09199508484707</v>
      </c>
      <c r="U25" t="str">
        <f t="shared" si="8"/>
        <v>5.52</v>
      </c>
    </row>
    <row r="26" spans="1:21" x14ac:dyDescent="0.25">
      <c r="A26" t="s">
        <v>25</v>
      </c>
      <c r="B26" s="1" t="s">
        <v>8</v>
      </c>
      <c r="C26">
        <v>-4.7897553540319997</v>
      </c>
      <c r="D26" s="17">
        <v>22.47</v>
      </c>
      <c r="E26">
        <v>66.079657752500196</v>
      </c>
      <c r="F26">
        <v>20.758552401282437</v>
      </c>
      <c r="G26" s="16">
        <v>3.42</v>
      </c>
      <c r="H26" s="16">
        <v>2.73</v>
      </c>
      <c r="I26">
        <v>4.093507106049171</v>
      </c>
      <c r="J26" s="17">
        <v>5.55</v>
      </c>
      <c r="L26" t="s">
        <v>25</v>
      </c>
      <c r="M26" s="1" t="s">
        <v>8</v>
      </c>
      <c r="N26" t="str">
        <f t="shared" si="1"/>
        <v>-4.789755354032</v>
      </c>
      <c r="O26" t="str">
        <f t="shared" si="2"/>
        <v>22.47</v>
      </c>
      <c r="P26" t="str">
        <f t="shared" si="3"/>
        <v>66.0796577525002</v>
      </c>
      <c r="Q26" t="str">
        <f t="shared" si="4"/>
        <v>20.7585524012824</v>
      </c>
      <c r="R26" t="str">
        <f t="shared" si="5"/>
        <v>3.42</v>
      </c>
      <c r="S26" t="str">
        <f t="shared" si="6"/>
        <v>2.73</v>
      </c>
      <c r="T26" t="str">
        <f t="shared" si="7"/>
        <v>4.09350710604917</v>
      </c>
      <c r="U26" t="str">
        <f t="shared" si="8"/>
        <v>5.55</v>
      </c>
    </row>
    <row r="27" spans="1:21" x14ac:dyDescent="0.25">
      <c r="A27" t="s">
        <v>25</v>
      </c>
      <c r="B27" s="1" t="s">
        <v>9</v>
      </c>
      <c r="C27">
        <v>5.9548915989000939</v>
      </c>
      <c r="D27" s="17">
        <v>21.01</v>
      </c>
      <c r="E27">
        <v>68.530487798782517</v>
      </c>
      <c r="F27">
        <v>20.779977894184071</v>
      </c>
      <c r="G27" s="18">
        <v>3.08</v>
      </c>
      <c r="H27" s="16">
        <v>2.64</v>
      </c>
      <c r="I27">
        <v>3.9964548512371243</v>
      </c>
      <c r="J27" s="17">
        <v>5.49</v>
      </c>
      <c r="L27" t="s">
        <v>25</v>
      </c>
      <c r="M27" s="1" t="s">
        <v>9</v>
      </c>
      <c r="N27" t="str">
        <f t="shared" si="1"/>
        <v>5.95489159890009</v>
      </c>
      <c r="O27" t="str">
        <f t="shared" si="2"/>
        <v>21.01</v>
      </c>
      <c r="P27" t="str">
        <f t="shared" si="3"/>
        <v>68.5304877987825</v>
      </c>
      <c r="Q27" t="str">
        <f t="shared" si="4"/>
        <v>20.7799778941841</v>
      </c>
      <c r="R27" t="str">
        <f t="shared" si="5"/>
        <v>3.08</v>
      </c>
      <c r="S27" t="str">
        <f t="shared" si="6"/>
        <v>2.64</v>
      </c>
      <c r="T27" t="str">
        <f t="shared" si="7"/>
        <v>3.99645485123712</v>
      </c>
      <c r="U27" t="str">
        <f t="shared" si="8"/>
        <v>5.49</v>
      </c>
    </row>
    <row r="28" spans="1:21" x14ac:dyDescent="0.25">
      <c r="A28" t="s">
        <v>25</v>
      </c>
      <c r="B28" s="1" t="s">
        <v>10</v>
      </c>
      <c r="C28">
        <v>0.39005678253243814</v>
      </c>
      <c r="D28" s="17">
        <v>22.5</v>
      </c>
      <c r="E28">
        <v>66.334134148985285</v>
      </c>
      <c r="F28">
        <v>20.816444989542507</v>
      </c>
      <c r="G28" s="18">
        <v>3.01</v>
      </c>
      <c r="H28" s="16">
        <v>2.61</v>
      </c>
      <c r="I28">
        <v>4.0779924168028323</v>
      </c>
      <c r="J28" s="17">
        <v>5.49</v>
      </c>
      <c r="L28" t="s">
        <v>25</v>
      </c>
      <c r="M28" s="1" t="s">
        <v>10</v>
      </c>
      <c r="N28" t="str">
        <f t="shared" si="1"/>
        <v>0.390056782532438</v>
      </c>
      <c r="O28" t="str">
        <f t="shared" si="2"/>
        <v>22.5</v>
      </c>
      <c r="P28" t="str">
        <f t="shared" si="3"/>
        <v>66.3341341489853</v>
      </c>
      <c r="Q28" t="str">
        <f t="shared" si="4"/>
        <v>20.8164449895425</v>
      </c>
      <c r="R28" t="str">
        <f t="shared" si="5"/>
        <v>3.01</v>
      </c>
      <c r="S28" t="str">
        <f t="shared" si="6"/>
        <v>2.61</v>
      </c>
      <c r="T28" t="str">
        <f t="shared" si="7"/>
        <v>4.07799241680283</v>
      </c>
      <c r="U28" t="str">
        <f t="shared" si="8"/>
        <v>5.49</v>
      </c>
    </row>
    <row r="29" spans="1:21" x14ac:dyDescent="0.25">
      <c r="A29" t="s">
        <v>25</v>
      </c>
      <c r="B29" s="1" t="s">
        <v>11</v>
      </c>
      <c r="C29">
        <v>8.8211767724865044</v>
      </c>
      <c r="D29" s="16">
        <v>21.39</v>
      </c>
      <c r="E29">
        <v>70.201332237514251</v>
      </c>
      <c r="F29">
        <v>20.844318078476679</v>
      </c>
      <c r="G29" s="18">
        <v>3.03</v>
      </c>
      <c r="H29" s="18">
        <v>2.39</v>
      </c>
      <c r="I29">
        <v>3.5101058613135012</v>
      </c>
      <c r="J29" s="16">
        <v>21.39</v>
      </c>
      <c r="L29" t="s">
        <v>25</v>
      </c>
      <c r="M29" s="1" t="s">
        <v>11</v>
      </c>
      <c r="N29" t="str">
        <f t="shared" si="1"/>
        <v>8.8211767724865</v>
      </c>
      <c r="O29" t="str">
        <f t="shared" si="2"/>
        <v>21.39</v>
      </c>
      <c r="P29" t="str">
        <f t="shared" si="3"/>
        <v>70.2013322375143</v>
      </c>
      <c r="Q29" t="str">
        <f t="shared" si="4"/>
        <v>20.8443180784767</v>
      </c>
      <c r="R29" t="str">
        <f t="shared" si="5"/>
        <v>3.03</v>
      </c>
      <c r="S29" t="str">
        <f t="shared" si="6"/>
        <v>2.39</v>
      </c>
      <c r="T29" t="str">
        <f t="shared" si="7"/>
        <v>3.5101058613135</v>
      </c>
      <c r="U29" t="str">
        <f t="shared" si="8"/>
        <v>21.39</v>
      </c>
    </row>
    <row r="30" spans="1:21" x14ac:dyDescent="0.25">
      <c r="A30" t="s">
        <v>25</v>
      </c>
      <c r="B30" s="1" t="s">
        <v>12</v>
      </c>
      <c r="C30">
        <v>-0.78785867351784145</v>
      </c>
      <c r="D30" s="18">
        <v>17.649999999999999</v>
      </c>
      <c r="E30">
        <v>69.523575026788421</v>
      </c>
      <c r="F30">
        <v>20.846109676217274</v>
      </c>
      <c r="G30" s="18">
        <v>3.55</v>
      </c>
      <c r="H30" s="16">
        <v>2.4</v>
      </c>
      <c r="I30">
        <v>6.5573521141502455</v>
      </c>
      <c r="J30" s="18">
        <v>5.26</v>
      </c>
      <c r="L30" t="s">
        <v>25</v>
      </c>
      <c r="M30" s="1" t="s">
        <v>12</v>
      </c>
      <c r="N30" t="str">
        <f t="shared" si="1"/>
        <v>-0.787858673517841</v>
      </c>
      <c r="O30" t="str">
        <f t="shared" si="2"/>
        <v>17.65</v>
      </c>
      <c r="P30" t="str">
        <f t="shared" si="3"/>
        <v>69.5235750267884</v>
      </c>
      <c r="Q30" t="str">
        <f t="shared" si="4"/>
        <v>20.8461096762173</v>
      </c>
      <c r="R30" t="str">
        <f t="shared" si="5"/>
        <v>3.55</v>
      </c>
      <c r="S30" t="str">
        <f t="shared" si="6"/>
        <v>2.4</v>
      </c>
      <c r="T30" t="str">
        <f t="shared" si="7"/>
        <v>6.55735211415025</v>
      </c>
      <c r="U30" t="str">
        <f t="shared" si="8"/>
        <v>5.26</v>
      </c>
    </row>
    <row r="31" spans="1:21" x14ac:dyDescent="0.25">
      <c r="A31" t="s">
        <v>25</v>
      </c>
      <c r="B31" s="1" t="s">
        <v>13</v>
      </c>
      <c r="C31">
        <v>-3.9767595188608249</v>
      </c>
      <c r="D31" s="18">
        <v>19.21</v>
      </c>
      <c r="E31">
        <v>64.608230811409712</v>
      </c>
      <c r="F31">
        <v>20.878853830200807</v>
      </c>
      <c r="G31" s="16">
        <v>2.23</v>
      </c>
      <c r="H31" s="18">
        <v>3.42</v>
      </c>
      <c r="I31">
        <v>6.9146601012908757</v>
      </c>
      <c r="J31" s="16">
        <v>4.76</v>
      </c>
      <c r="L31" t="s">
        <v>25</v>
      </c>
      <c r="M31" s="1" t="s">
        <v>13</v>
      </c>
      <c r="N31" t="str">
        <f t="shared" si="1"/>
        <v>-3.97675951886082</v>
      </c>
      <c r="O31" t="str">
        <f t="shared" si="2"/>
        <v>19.21</v>
      </c>
      <c r="P31" t="str">
        <f t="shared" si="3"/>
        <v>64.6082308114097</v>
      </c>
      <c r="Q31" t="str">
        <f t="shared" si="4"/>
        <v>20.8788538302008</v>
      </c>
      <c r="R31" t="str">
        <f t="shared" si="5"/>
        <v>2.23</v>
      </c>
      <c r="S31" t="str">
        <f t="shared" si="6"/>
        <v>3.42</v>
      </c>
      <c r="T31" t="str">
        <f t="shared" si="7"/>
        <v>6.91466010129088</v>
      </c>
      <c r="U31" t="str">
        <f t="shared" si="8"/>
        <v>4.76</v>
      </c>
    </row>
    <row r="32" spans="1:21" x14ac:dyDescent="0.25">
      <c r="A32" t="s">
        <v>25</v>
      </c>
      <c r="B32" s="1" t="s">
        <v>14</v>
      </c>
      <c r="C32">
        <v>-0.48890061959785713</v>
      </c>
      <c r="D32" s="18">
        <v>19.829999999999998</v>
      </c>
      <c r="E32">
        <v>62.304730139118071</v>
      </c>
      <c r="F32">
        <v>20.910257300233628</v>
      </c>
      <c r="G32" s="18">
        <v>1.95</v>
      </c>
      <c r="H32" s="18">
        <v>3.5</v>
      </c>
      <c r="I32">
        <v>7.3915343016694255</v>
      </c>
      <c r="J32" s="16">
        <v>4.5</v>
      </c>
      <c r="L32" t="s">
        <v>25</v>
      </c>
      <c r="M32" s="1" t="s">
        <v>14</v>
      </c>
      <c r="N32" t="str">
        <f t="shared" si="1"/>
        <v>-0.488900619597857</v>
      </c>
      <c r="O32" t="str">
        <f t="shared" si="2"/>
        <v>19.83</v>
      </c>
      <c r="P32" t="str">
        <f t="shared" si="3"/>
        <v>62.3047301391181</v>
      </c>
      <c r="Q32" t="str">
        <f t="shared" si="4"/>
        <v>20.9102573002336</v>
      </c>
      <c r="R32" t="str">
        <f t="shared" si="5"/>
        <v>1.95</v>
      </c>
      <c r="S32" t="str">
        <f t="shared" si="6"/>
        <v>3.5</v>
      </c>
      <c r="T32" t="str">
        <f t="shared" si="7"/>
        <v>7.39153430166943</v>
      </c>
      <c r="U32" t="str">
        <f t="shared" si="8"/>
        <v>4.5</v>
      </c>
    </row>
    <row r="33" spans="1:21" x14ac:dyDescent="0.25">
      <c r="A33" t="s">
        <v>25</v>
      </c>
      <c r="B33" s="1" t="s">
        <v>15</v>
      </c>
      <c r="C33">
        <v>1.6570452928329784</v>
      </c>
      <c r="D33" s="18">
        <v>19.899999999999999</v>
      </c>
      <c r="E33">
        <v>63.157544795704666</v>
      </c>
      <c r="F33">
        <v>20.913096993480686</v>
      </c>
      <c r="G33" s="18">
        <v>1.64</v>
      </c>
      <c r="H33" s="18">
        <v>3.29</v>
      </c>
      <c r="I33">
        <v>7.6599246119663773</v>
      </c>
      <c r="J33" s="18">
        <v>4.4800000000000004</v>
      </c>
      <c r="L33" t="s">
        <v>25</v>
      </c>
      <c r="M33" s="1" t="s">
        <v>15</v>
      </c>
      <c r="N33" t="str">
        <f t="shared" si="1"/>
        <v>1.65704529283298</v>
      </c>
      <c r="O33" t="str">
        <f t="shared" si="2"/>
        <v>19.9</v>
      </c>
      <c r="P33" t="str">
        <f t="shared" si="3"/>
        <v>63.1575447957047</v>
      </c>
      <c r="Q33" t="str">
        <f t="shared" si="4"/>
        <v>20.9130969934807</v>
      </c>
      <c r="R33" t="str">
        <f t="shared" si="5"/>
        <v>1.64</v>
      </c>
      <c r="S33" t="str">
        <f t="shared" si="6"/>
        <v>3.29</v>
      </c>
      <c r="T33" t="str">
        <f t="shared" si="7"/>
        <v>7.65992461196638</v>
      </c>
      <c r="U33" t="str">
        <f t="shared" si="8"/>
        <v>4.48</v>
      </c>
    </row>
    <row r="34" spans="1:21" x14ac:dyDescent="0.25">
      <c r="A34" t="s">
        <v>25</v>
      </c>
      <c r="B34" s="1" t="s">
        <v>16</v>
      </c>
      <c r="C34">
        <v>2.010370524586548</v>
      </c>
      <c r="D34" s="18">
        <v>18.510000000000002</v>
      </c>
      <c r="E34">
        <v>62.14711828178504</v>
      </c>
      <c r="F34">
        <v>20.949129153543669</v>
      </c>
      <c r="G34" s="18">
        <v>2.2200000000000002</v>
      </c>
      <c r="H34" s="18">
        <v>3.3</v>
      </c>
      <c r="I34">
        <v>7.7045762742287627</v>
      </c>
      <c r="J34" s="18">
        <v>4.6500000000000004</v>
      </c>
      <c r="L34" t="s">
        <v>25</v>
      </c>
      <c r="M34" s="1" t="s">
        <v>16</v>
      </c>
      <c r="N34" t="str">
        <f t="shared" si="1"/>
        <v>2.01037052458655</v>
      </c>
      <c r="O34" t="str">
        <f t="shared" si="2"/>
        <v>18.51</v>
      </c>
      <c r="P34" t="str">
        <f t="shared" si="3"/>
        <v>62.147118281785</v>
      </c>
      <c r="Q34" t="str">
        <f t="shared" si="4"/>
        <v>20.9491291535437</v>
      </c>
      <c r="R34" t="str">
        <f t="shared" si="5"/>
        <v>2.22</v>
      </c>
      <c r="S34" t="str">
        <f t="shared" si="6"/>
        <v>3.3</v>
      </c>
      <c r="T34" t="str">
        <f t="shared" si="7"/>
        <v>7.70457627422876</v>
      </c>
      <c r="U34" t="str">
        <f t="shared" si="8"/>
        <v>4.65</v>
      </c>
    </row>
    <row r="35" spans="1:21" x14ac:dyDescent="0.25">
      <c r="A35" t="s">
        <v>25</v>
      </c>
      <c r="B35" s="1" t="s">
        <v>17</v>
      </c>
      <c r="C35">
        <v>3.3698339423533645</v>
      </c>
      <c r="D35" s="18">
        <v>18.940000000000001</v>
      </c>
      <c r="E35">
        <v>65.091849307442061</v>
      </c>
      <c r="F35">
        <v>20.935977256704131</v>
      </c>
      <c r="G35" s="18">
        <v>2.4300000000000002</v>
      </c>
      <c r="H35" s="18">
        <v>3.19</v>
      </c>
      <c r="I35">
        <v>7.4795410301367387</v>
      </c>
      <c r="J35" s="18">
        <v>4.63</v>
      </c>
      <c r="L35" t="s">
        <v>25</v>
      </c>
      <c r="M35" s="1" t="s">
        <v>17</v>
      </c>
      <c r="N35" t="str">
        <f t="shared" si="1"/>
        <v>3.36983394235336</v>
      </c>
      <c r="O35" t="str">
        <f t="shared" si="2"/>
        <v>18.94</v>
      </c>
      <c r="P35" t="str">
        <f t="shared" si="3"/>
        <v>65.0918493074421</v>
      </c>
      <c r="Q35" t="str">
        <f t="shared" si="4"/>
        <v>20.9359772567041</v>
      </c>
      <c r="R35" t="str">
        <f t="shared" si="5"/>
        <v>2.43</v>
      </c>
      <c r="S35" t="str">
        <f t="shared" si="6"/>
        <v>3.19</v>
      </c>
      <c r="T35" t="str">
        <f t="shared" si="7"/>
        <v>7.47954103013674</v>
      </c>
      <c r="U35" t="str">
        <f t="shared" si="8"/>
        <v>4.63</v>
      </c>
    </row>
    <row r="36" spans="1:21" x14ac:dyDescent="0.25">
      <c r="A36" t="s">
        <v>25</v>
      </c>
      <c r="B36" s="1" t="s">
        <v>18</v>
      </c>
      <c r="C36">
        <v>0.45450485896835652</v>
      </c>
      <c r="D36" s="18">
        <v>19.399999999999999</v>
      </c>
      <c r="E36">
        <v>63.028989411814408</v>
      </c>
      <c r="F36">
        <v>20.972716576526786</v>
      </c>
      <c r="G36" s="18">
        <v>2.42</v>
      </c>
      <c r="H36" s="16">
        <v>3.06</v>
      </c>
      <c r="I36">
        <v>7.5205461804266944</v>
      </c>
      <c r="J36" s="16">
        <v>4.67</v>
      </c>
      <c r="L36" t="s">
        <v>25</v>
      </c>
      <c r="M36" s="1" t="s">
        <v>18</v>
      </c>
      <c r="N36" t="str">
        <f t="shared" si="1"/>
        <v>0.454504858968357</v>
      </c>
      <c r="O36" t="str">
        <f t="shared" si="2"/>
        <v>19.4</v>
      </c>
      <c r="P36" t="str">
        <f t="shared" si="3"/>
        <v>63.0289894118144</v>
      </c>
      <c r="Q36" t="str">
        <f t="shared" si="4"/>
        <v>20.9727165765268</v>
      </c>
      <c r="R36" t="str">
        <f t="shared" si="5"/>
        <v>2.42</v>
      </c>
      <c r="S36" t="str">
        <f t="shared" si="6"/>
        <v>3.06</v>
      </c>
      <c r="T36" t="str">
        <f t="shared" si="7"/>
        <v>7.52054618042669</v>
      </c>
      <c r="U36" t="str">
        <f t="shared" si="8"/>
        <v>4.67</v>
      </c>
    </row>
    <row r="37" spans="1:21" x14ac:dyDescent="0.25">
      <c r="A37" t="s">
        <v>25</v>
      </c>
      <c r="B37" s="1" t="s">
        <v>19</v>
      </c>
      <c r="C37">
        <v>2.3798836008055222</v>
      </c>
      <c r="D37" s="16">
        <v>19.600000000000001</v>
      </c>
      <c r="E37">
        <v>61.090366246593362</v>
      </c>
      <c r="F37">
        <v>21.027477222742846</v>
      </c>
      <c r="G37" s="18">
        <v>2.5299999999999998</v>
      </c>
      <c r="H37" s="16">
        <v>2.81</v>
      </c>
      <c r="I37">
        <v>7.3043410698221818</v>
      </c>
      <c r="J37" s="16">
        <v>4.7300000000000004</v>
      </c>
      <c r="L37" t="s">
        <v>25</v>
      </c>
      <c r="M37" s="1" t="s">
        <v>19</v>
      </c>
      <c r="N37" t="str">
        <f t="shared" si="1"/>
        <v>2.37988360080552</v>
      </c>
      <c r="O37" t="str">
        <f t="shared" si="2"/>
        <v>19.6</v>
      </c>
      <c r="P37" t="str">
        <f t="shared" si="3"/>
        <v>61.0903662465934</v>
      </c>
      <c r="Q37" t="str">
        <f t="shared" si="4"/>
        <v>21.0274772227428</v>
      </c>
      <c r="R37" t="str">
        <f t="shared" si="5"/>
        <v>2.53</v>
      </c>
      <c r="S37" t="str">
        <f t="shared" si="6"/>
        <v>2.81</v>
      </c>
      <c r="T37" t="str">
        <f t="shared" si="7"/>
        <v>7.30434106982218</v>
      </c>
      <c r="U37" t="str">
        <f t="shared" si="8"/>
        <v>4.73</v>
      </c>
    </row>
    <row r="38" spans="1:21" x14ac:dyDescent="0.25">
      <c r="A38" t="s">
        <v>25</v>
      </c>
      <c r="B38" s="1" t="s">
        <v>20</v>
      </c>
      <c r="C38">
        <v>1.719589374873199</v>
      </c>
      <c r="D38" s="18">
        <v>18.2</v>
      </c>
      <c r="E38">
        <v>62.265104315135922</v>
      </c>
      <c r="F38">
        <v>21.025479976810207</v>
      </c>
      <c r="G38" s="16">
        <v>3.34</v>
      </c>
      <c r="H38" s="16">
        <v>2.74</v>
      </c>
      <c r="I38">
        <v>7.2483990671185978</v>
      </c>
      <c r="J38" s="18">
        <v>5.01</v>
      </c>
      <c r="L38" t="s">
        <v>25</v>
      </c>
      <c r="M38" s="1" t="s">
        <v>20</v>
      </c>
      <c r="N38" t="str">
        <f t="shared" si="1"/>
        <v>1.7195893748732</v>
      </c>
      <c r="O38" t="str">
        <f t="shared" si="2"/>
        <v>18.2</v>
      </c>
      <c r="P38" t="str">
        <f t="shared" si="3"/>
        <v>62.2651043151359</v>
      </c>
      <c r="Q38" t="str">
        <f t="shared" si="4"/>
        <v>21.0254799768102</v>
      </c>
      <c r="R38" t="str">
        <f t="shared" si="5"/>
        <v>3.34</v>
      </c>
      <c r="S38" t="str">
        <f t="shared" si="6"/>
        <v>2.74</v>
      </c>
      <c r="T38" t="str">
        <f t="shared" si="7"/>
        <v>7.2483990671186</v>
      </c>
      <c r="U38" t="str">
        <f t="shared" si="8"/>
        <v>5.01</v>
      </c>
    </row>
    <row r="39" spans="1:21" x14ac:dyDescent="0.25">
      <c r="A39" t="s">
        <v>25</v>
      </c>
      <c r="B39" s="1" t="s">
        <v>21</v>
      </c>
      <c r="C39">
        <v>5.7895787025631114</v>
      </c>
      <c r="D39" s="16">
        <v>18.41</v>
      </c>
      <c r="E39">
        <v>63.953284799745532</v>
      </c>
      <c r="F39">
        <v>21.055010059101527</v>
      </c>
      <c r="G39" s="18">
        <v>3.38</v>
      </c>
      <c r="H39" s="16">
        <v>2.4700000000000002</v>
      </c>
      <c r="I39">
        <v>6.7111465460589672</v>
      </c>
      <c r="J39" s="18">
        <v>5.0599999999999996</v>
      </c>
      <c r="L39" t="s">
        <v>25</v>
      </c>
      <c r="M39" s="1" t="s">
        <v>21</v>
      </c>
      <c r="N39" t="str">
        <f t="shared" si="1"/>
        <v>5.78957870256311</v>
      </c>
      <c r="O39" t="str">
        <f t="shared" si="2"/>
        <v>18.41</v>
      </c>
      <c r="P39" t="str">
        <f t="shared" si="3"/>
        <v>63.9532847997455</v>
      </c>
      <c r="Q39" t="str">
        <f t="shared" si="4"/>
        <v>21.0550100591015</v>
      </c>
      <c r="R39" t="str">
        <f t="shared" si="5"/>
        <v>3.38</v>
      </c>
      <c r="S39" t="str">
        <f t="shared" si="6"/>
        <v>2.47</v>
      </c>
      <c r="T39" t="str">
        <f t="shared" si="7"/>
        <v>6.71114654605897</v>
      </c>
      <c r="U39" t="str">
        <f t="shared" si="8"/>
        <v>5.06</v>
      </c>
    </row>
    <row r="40" spans="1:21" x14ac:dyDescent="0.25">
      <c r="A40" t="s">
        <v>25</v>
      </c>
      <c r="B40" s="1" t="s">
        <v>22</v>
      </c>
      <c r="C40">
        <v>1.8704309396111605</v>
      </c>
      <c r="D40" s="16">
        <v>19.32</v>
      </c>
      <c r="E40">
        <v>62.90993015103593</v>
      </c>
      <c r="F40">
        <v>21.08999046254543</v>
      </c>
      <c r="G40" s="18">
        <v>3.4</v>
      </c>
      <c r="H40" s="16">
        <v>2.2599999999999998</v>
      </c>
      <c r="I40">
        <v>6.5574644203797812</v>
      </c>
      <c r="J40" s="18">
        <v>5.12</v>
      </c>
      <c r="L40" t="s">
        <v>25</v>
      </c>
      <c r="M40" s="1" t="s">
        <v>22</v>
      </c>
      <c r="N40" t="str">
        <f t="shared" si="1"/>
        <v>1.87043093961116</v>
      </c>
      <c r="O40" t="str">
        <f t="shared" si="2"/>
        <v>19.32</v>
      </c>
      <c r="P40" t="str">
        <f t="shared" si="3"/>
        <v>62.9099301510359</v>
      </c>
      <c r="Q40" t="str">
        <f t="shared" si="4"/>
        <v>21.0899904625454</v>
      </c>
      <c r="R40" t="str">
        <f t="shared" si="5"/>
        <v>3.4</v>
      </c>
      <c r="S40" t="str">
        <f t="shared" si="6"/>
        <v>2.26</v>
      </c>
      <c r="T40" t="str">
        <f t="shared" si="7"/>
        <v>6.55746442037978</v>
      </c>
      <c r="U40" t="str">
        <f t="shared" si="8"/>
        <v>5.12</v>
      </c>
    </row>
    <row r="41" spans="1:21" x14ac:dyDescent="0.25">
      <c r="A41" t="s">
        <v>25</v>
      </c>
      <c r="B41" s="1" t="s">
        <v>23</v>
      </c>
      <c r="C41">
        <v>2.7372441216912087</v>
      </c>
      <c r="D41" s="16">
        <v>19.46</v>
      </c>
      <c r="E41">
        <v>59.391199668830808</v>
      </c>
      <c r="F41">
        <v>21.174552939038119</v>
      </c>
      <c r="G41" s="18">
        <v>3.3</v>
      </c>
      <c r="H41" s="16">
        <v>1.88</v>
      </c>
      <c r="I41">
        <v>5.8186944822665376</v>
      </c>
      <c r="J41" s="16">
        <v>5.16</v>
      </c>
      <c r="L41" t="s">
        <v>25</v>
      </c>
      <c r="M41" s="1" t="s">
        <v>23</v>
      </c>
      <c r="N41" t="str">
        <f t="shared" si="1"/>
        <v>2.73724412169121</v>
      </c>
      <c r="O41" t="str">
        <f t="shared" si="2"/>
        <v>19.46</v>
      </c>
      <c r="P41" t="str">
        <f t="shared" si="3"/>
        <v>59.3911996688308</v>
      </c>
      <c r="Q41" t="str">
        <f t="shared" si="4"/>
        <v>21.1745529390381</v>
      </c>
      <c r="R41" t="str">
        <f t="shared" si="5"/>
        <v>3.3</v>
      </c>
      <c r="S41" t="str">
        <f t="shared" si="6"/>
        <v>1.88</v>
      </c>
      <c r="T41" t="str">
        <f t="shared" si="7"/>
        <v>5.81869448226654</v>
      </c>
      <c r="U41" t="str">
        <f t="shared" si="8"/>
        <v>5.16</v>
      </c>
    </row>
    <row r="42" spans="1:21" x14ac:dyDescent="0.25">
      <c r="A42" t="s">
        <v>26</v>
      </c>
      <c r="B42" s="1" t="s">
        <v>4</v>
      </c>
      <c r="C42">
        <v>-0.52510706486814096</v>
      </c>
      <c r="D42" s="18">
        <v>17.920000000000002</v>
      </c>
      <c r="E42">
        <v>63.980459262875058</v>
      </c>
      <c r="F42">
        <v>20.290287134956547</v>
      </c>
      <c r="G42" s="18">
        <v>2.73</v>
      </c>
      <c r="H42" s="18">
        <v>2.2599999999999998</v>
      </c>
      <c r="I42">
        <v>3.3485380700484879</v>
      </c>
      <c r="J42" s="18">
        <v>5.41</v>
      </c>
      <c r="L42" t="s">
        <v>26</v>
      </c>
      <c r="M42" s="1" t="s">
        <v>4</v>
      </c>
      <c r="N42" t="str">
        <f t="shared" si="1"/>
        <v>-0.525107064868141</v>
      </c>
      <c r="O42" t="str">
        <f t="shared" si="2"/>
        <v>17.92</v>
      </c>
      <c r="P42" t="str">
        <f t="shared" si="3"/>
        <v>63.9804592628751</v>
      </c>
      <c r="Q42" t="str">
        <f t="shared" si="4"/>
        <v>20.2902871349565</v>
      </c>
      <c r="R42" t="str">
        <f t="shared" si="5"/>
        <v>2.73</v>
      </c>
      <c r="S42" t="str">
        <f t="shared" si="6"/>
        <v>2.26</v>
      </c>
      <c r="T42" t="str">
        <f t="shared" si="7"/>
        <v>3.34853807004849</v>
      </c>
      <c r="U42" t="str">
        <f t="shared" si="8"/>
        <v>5.41</v>
      </c>
    </row>
    <row r="43" spans="1:21" x14ac:dyDescent="0.25">
      <c r="A43" t="s">
        <v>26</v>
      </c>
      <c r="B43" s="1" t="s">
        <v>5</v>
      </c>
      <c r="C43">
        <v>4.0748724278954152</v>
      </c>
      <c r="D43" s="18">
        <v>17.46</v>
      </c>
      <c r="E43">
        <v>63.124533751801195</v>
      </c>
      <c r="F43">
        <v>20.343695727540922</v>
      </c>
      <c r="G43" s="18">
        <v>2.73</v>
      </c>
      <c r="H43" s="18">
        <v>2.1</v>
      </c>
      <c r="I43">
        <v>3.1600638620965569</v>
      </c>
      <c r="J43" s="18">
        <v>5.45</v>
      </c>
      <c r="L43" t="s">
        <v>26</v>
      </c>
      <c r="M43" s="1" t="s">
        <v>5</v>
      </c>
      <c r="N43" t="str">
        <f t="shared" si="1"/>
        <v>4.07487242789542</v>
      </c>
      <c r="O43" t="str">
        <f t="shared" si="2"/>
        <v>17.46</v>
      </c>
      <c r="P43" t="str">
        <f t="shared" si="3"/>
        <v>63.1245337518012</v>
      </c>
      <c r="Q43" t="str">
        <f t="shared" si="4"/>
        <v>20.3436957275409</v>
      </c>
      <c r="R43" t="str">
        <f t="shared" si="5"/>
        <v>2.73</v>
      </c>
      <c r="S43" t="str">
        <f t="shared" si="6"/>
        <v>2.1</v>
      </c>
      <c r="T43" t="str">
        <f t="shared" si="7"/>
        <v>3.16006386209656</v>
      </c>
      <c r="U43" t="str">
        <f t="shared" si="8"/>
        <v>5.45</v>
      </c>
    </row>
    <row r="44" spans="1:21" x14ac:dyDescent="0.25">
      <c r="A44" t="s">
        <v>26</v>
      </c>
      <c r="B44" s="1" t="s">
        <v>6</v>
      </c>
      <c r="C44">
        <v>6.3490190610463486</v>
      </c>
      <c r="D44" s="18">
        <v>17.8</v>
      </c>
      <c r="E44">
        <v>64.487608805296873</v>
      </c>
      <c r="F44">
        <v>20.383888267129041</v>
      </c>
      <c r="G44" s="18">
        <v>2.76</v>
      </c>
      <c r="H44" s="18">
        <v>2.0099999999999998</v>
      </c>
      <c r="I44">
        <v>3.0530986638299602</v>
      </c>
      <c r="J44" s="18">
        <v>5.31</v>
      </c>
      <c r="L44" t="s">
        <v>26</v>
      </c>
      <c r="M44" s="1" t="s">
        <v>6</v>
      </c>
      <c r="N44" t="str">
        <f t="shared" si="1"/>
        <v>6.34901906104635</v>
      </c>
      <c r="O44" t="str">
        <f t="shared" si="2"/>
        <v>17.8</v>
      </c>
      <c r="P44" t="str">
        <f t="shared" si="3"/>
        <v>64.4876088052969</v>
      </c>
      <c r="Q44" t="str">
        <f t="shared" si="4"/>
        <v>20.383888267129</v>
      </c>
      <c r="R44" t="str">
        <f t="shared" si="5"/>
        <v>2.76</v>
      </c>
      <c r="S44" t="str">
        <f t="shared" si="6"/>
        <v>2.01</v>
      </c>
      <c r="T44" t="str">
        <f t="shared" si="7"/>
        <v>3.05309866382996</v>
      </c>
      <c r="U44" t="str">
        <f t="shared" si="8"/>
        <v>5.31</v>
      </c>
    </row>
    <row r="45" spans="1:21" x14ac:dyDescent="0.25">
      <c r="A45" t="s">
        <v>26</v>
      </c>
      <c r="B45" s="1" t="s">
        <v>7</v>
      </c>
      <c r="C45">
        <v>5.254284222092557</v>
      </c>
      <c r="D45" s="18">
        <v>18.5</v>
      </c>
      <c r="E45">
        <v>64.065425764517229</v>
      </c>
      <c r="F45">
        <v>20.441665513112817</v>
      </c>
      <c r="G45" s="18">
        <v>2.78</v>
      </c>
      <c r="H45" s="18">
        <v>1.9</v>
      </c>
      <c r="I45">
        <v>2.9083894001549426</v>
      </c>
      <c r="J45" s="18">
        <v>5.29</v>
      </c>
      <c r="L45" t="s">
        <v>26</v>
      </c>
      <c r="M45" s="1" t="s">
        <v>7</v>
      </c>
      <c r="N45" t="str">
        <f t="shared" si="1"/>
        <v>5.25428422209256</v>
      </c>
      <c r="O45" t="str">
        <f t="shared" si="2"/>
        <v>18.5</v>
      </c>
      <c r="P45" t="str">
        <f t="shared" si="3"/>
        <v>64.0654257645172</v>
      </c>
      <c r="Q45" t="str">
        <f t="shared" si="4"/>
        <v>20.4416655131128</v>
      </c>
      <c r="R45" t="str">
        <f t="shared" si="5"/>
        <v>2.78</v>
      </c>
      <c r="S45" t="str">
        <f t="shared" si="6"/>
        <v>1.9</v>
      </c>
      <c r="T45" t="str">
        <f t="shared" si="7"/>
        <v>2.90838940015494</v>
      </c>
      <c r="U45" t="str">
        <f t="shared" si="8"/>
        <v>5.29</v>
      </c>
    </row>
    <row r="46" spans="1:21" x14ac:dyDescent="0.25">
      <c r="A46" t="s">
        <v>26</v>
      </c>
      <c r="B46" s="1" t="s">
        <v>8</v>
      </c>
      <c r="C46">
        <v>1.5269037679621003</v>
      </c>
      <c r="D46" s="18">
        <v>19.18</v>
      </c>
      <c r="E46">
        <v>65.930808381937396</v>
      </c>
      <c r="F46">
        <v>20.428118156732072</v>
      </c>
      <c r="G46" s="18">
        <v>2.68</v>
      </c>
      <c r="H46" s="18">
        <v>1.88</v>
      </c>
      <c r="I46">
        <v>2.8838464782077105</v>
      </c>
      <c r="J46" s="18">
        <v>4.99</v>
      </c>
      <c r="L46" t="s">
        <v>26</v>
      </c>
      <c r="M46" s="1" t="s">
        <v>8</v>
      </c>
      <c r="N46" t="str">
        <f t="shared" si="1"/>
        <v>1.5269037679621</v>
      </c>
      <c r="O46" t="str">
        <f t="shared" si="2"/>
        <v>19.18</v>
      </c>
      <c r="P46" t="str">
        <f t="shared" si="3"/>
        <v>65.9308083819374</v>
      </c>
      <c r="Q46" t="str">
        <f t="shared" si="4"/>
        <v>20.4281181567321</v>
      </c>
      <c r="R46" t="str">
        <f t="shared" si="5"/>
        <v>2.68</v>
      </c>
      <c r="S46" t="str">
        <f t="shared" si="6"/>
        <v>1.88</v>
      </c>
      <c r="T46" t="str">
        <f t="shared" si="7"/>
        <v>2.88384647820771</v>
      </c>
      <c r="U46" t="str">
        <f t="shared" si="8"/>
        <v>4.99</v>
      </c>
    </row>
    <row r="47" spans="1:21" x14ac:dyDescent="0.25">
      <c r="A47" t="s">
        <v>26</v>
      </c>
      <c r="B47" s="1" t="s">
        <v>9</v>
      </c>
      <c r="C47">
        <v>5.2128601922521671</v>
      </c>
      <c r="D47" s="18">
        <v>18.68</v>
      </c>
      <c r="E47">
        <v>65.697637667501311</v>
      </c>
      <c r="F47">
        <v>20.482476374525792</v>
      </c>
      <c r="G47" s="18">
        <v>2.44</v>
      </c>
      <c r="H47" s="18">
        <v>1.75</v>
      </c>
      <c r="I47">
        <v>2.7337801197785945</v>
      </c>
      <c r="J47" s="18">
        <v>4.87</v>
      </c>
      <c r="L47" t="s">
        <v>26</v>
      </c>
      <c r="M47" s="1" t="s">
        <v>9</v>
      </c>
      <c r="N47" t="str">
        <f t="shared" si="1"/>
        <v>5.21286019225217</v>
      </c>
      <c r="O47" t="str">
        <f t="shared" si="2"/>
        <v>18.68</v>
      </c>
      <c r="P47" t="str">
        <f t="shared" si="3"/>
        <v>65.6976376675013</v>
      </c>
      <c r="Q47" t="str">
        <f t="shared" si="4"/>
        <v>20.4824763745258</v>
      </c>
      <c r="R47" t="str">
        <f t="shared" si="5"/>
        <v>2.44</v>
      </c>
      <c r="S47" t="str">
        <f t="shared" si="6"/>
        <v>1.75</v>
      </c>
      <c r="T47" t="str">
        <f t="shared" si="7"/>
        <v>2.73378011977859</v>
      </c>
      <c r="U47" t="str">
        <f t="shared" si="8"/>
        <v>4.87</v>
      </c>
    </row>
    <row r="48" spans="1:21" x14ac:dyDescent="0.25">
      <c r="A48" t="s">
        <v>26</v>
      </c>
      <c r="B48" s="1" t="s">
        <v>10</v>
      </c>
      <c r="C48">
        <v>1.7747949927551778</v>
      </c>
      <c r="D48" s="18">
        <v>19.329999999999998</v>
      </c>
      <c r="E48">
        <v>69.448162773505302</v>
      </c>
      <c r="F48">
        <v>20.44455102219068</v>
      </c>
      <c r="G48" s="18">
        <v>2.5099999999999998</v>
      </c>
      <c r="H48" s="18">
        <v>1.8</v>
      </c>
      <c r="I48">
        <v>2.8689991756910067</v>
      </c>
      <c r="J48" s="18">
        <v>4.8499999999999996</v>
      </c>
      <c r="L48" t="s">
        <v>26</v>
      </c>
      <c r="M48" s="1" t="s">
        <v>10</v>
      </c>
      <c r="N48" t="str">
        <f t="shared" si="1"/>
        <v>1.77479499275518</v>
      </c>
      <c r="O48" t="str">
        <f t="shared" si="2"/>
        <v>19.33</v>
      </c>
      <c r="P48" t="str">
        <f t="shared" si="3"/>
        <v>69.4481627735053</v>
      </c>
      <c r="Q48" t="str">
        <f t="shared" si="4"/>
        <v>20.4445510221907</v>
      </c>
      <c r="R48" t="str">
        <f t="shared" si="5"/>
        <v>2.51</v>
      </c>
      <c r="S48" t="str">
        <f t="shared" si="6"/>
        <v>1.8</v>
      </c>
      <c r="T48" t="str">
        <f t="shared" si="7"/>
        <v>2.86899917569101</v>
      </c>
      <c r="U48" t="str">
        <f t="shared" si="8"/>
        <v>4.85</v>
      </c>
    </row>
    <row r="49" spans="1:21" x14ac:dyDescent="0.25">
      <c r="A49" t="s">
        <v>26</v>
      </c>
      <c r="B49" s="1" t="s">
        <v>11</v>
      </c>
      <c r="C49">
        <v>-0.53330937431264058</v>
      </c>
      <c r="D49" s="18">
        <v>19.73</v>
      </c>
      <c r="E49">
        <v>66.998852876041425</v>
      </c>
      <c r="F49">
        <v>20.475108773652877</v>
      </c>
      <c r="G49" s="18">
        <v>2.42</v>
      </c>
      <c r="H49" s="18">
        <v>2.27</v>
      </c>
      <c r="I49">
        <v>3.0296309900842315</v>
      </c>
      <c r="J49" s="18">
        <v>4.92</v>
      </c>
      <c r="L49" t="s">
        <v>26</v>
      </c>
      <c r="M49" s="1" t="s">
        <v>11</v>
      </c>
      <c r="N49" t="str">
        <f t="shared" si="1"/>
        <v>-0.533309374312641</v>
      </c>
      <c r="O49" t="str">
        <f t="shared" si="2"/>
        <v>19.73</v>
      </c>
      <c r="P49" t="str">
        <f t="shared" si="3"/>
        <v>66.9988528760414</v>
      </c>
      <c r="Q49" t="str">
        <f t="shared" si="4"/>
        <v>20.4751087736529</v>
      </c>
      <c r="R49" t="str">
        <f t="shared" si="5"/>
        <v>2.42</v>
      </c>
      <c r="S49" t="str">
        <f t="shared" si="6"/>
        <v>2.27</v>
      </c>
      <c r="T49" t="str">
        <f t="shared" si="7"/>
        <v>3.02963099008423</v>
      </c>
      <c r="U49" t="str">
        <f t="shared" si="8"/>
        <v>4.92</v>
      </c>
    </row>
    <row r="50" spans="1:21" x14ac:dyDescent="0.25">
      <c r="A50" t="s">
        <v>26</v>
      </c>
      <c r="B50" s="1" t="s">
        <v>12</v>
      </c>
      <c r="C50">
        <v>4.3889493361913257</v>
      </c>
      <c r="D50" s="18">
        <v>16.07</v>
      </c>
      <c r="E50">
        <v>67.933191186696035</v>
      </c>
      <c r="F50">
        <v>20.504213166556795</v>
      </c>
      <c r="G50" s="18">
        <v>2.63</v>
      </c>
      <c r="H50" s="18">
        <v>2.38</v>
      </c>
      <c r="I50">
        <v>5.7778394786921128</v>
      </c>
      <c r="J50" s="18">
        <v>4.88</v>
      </c>
      <c r="L50" t="s">
        <v>26</v>
      </c>
      <c r="M50" s="1" t="s">
        <v>12</v>
      </c>
      <c r="N50" t="str">
        <f t="shared" si="1"/>
        <v>4.38894933619133</v>
      </c>
      <c r="O50" t="str">
        <f t="shared" si="2"/>
        <v>16.07</v>
      </c>
      <c r="P50" t="str">
        <f t="shared" si="3"/>
        <v>67.933191186696</v>
      </c>
      <c r="Q50" t="str">
        <f t="shared" si="4"/>
        <v>20.5042131665568</v>
      </c>
      <c r="R50" t="str">
        <f t="shared" si="5"/>
        <v>2.63</v>
      </c>
      <c r="S50" t="str">
        <f t="shared" si="6"/>
        <v>2.38</v>
      </c>
      <c r="T50" t="str">
        <f t="shared" si="7"/>
        <v>5.77783947869211</v>
      </c>
      <c r="U50" t="str">
        <f t="shared" si="8"/>
        <v>4.88</v>
      </c>
    </row>
    <row r="51" spans="1:21" x14ac:dyDescent="0.25">
      <c r="A51" t="s">
        <v>26</v>
      </c>
      <c r="B51" s="1" t="s">
        <v>13</v>
      </c>
      <c r="C51">
        <v>-0.32861222259822503</v>
      </c>
      <c r="D51" s="18">
        <v>16.71</v>
      </c>
      <c r="E51">
        <v>66.875588425740844</v>
      </c>
      <c r="F51">
        <v>20.516612368781576</v>
      </c>
      <c r="G51" s="18">
        <v>1.38</v>
      </c>
      <c r="H51" s="18">
        <v>3.03</v>
      </c>
      <c r="I51">
        <v>6.4915284326623635</v>
      </c>
      <c r="J51" s="18">
        <v>4.47</v>
      </c>
      <c r="L51" t="s">
        <v>26</v>
      </c>
      <c r="M51" s="1" t="s">
        <v>13</v>
      </c>
      <c r="N51" t="str">
        <f t="shared" si="1"/>
        <v>-0.328612222598225</v>
      </c>
      <c r="O51" t="str">
        <f t="shared" si="2"/>
        <v>16.71</v>
      </c>
      <c r="P51" t="str">
        <f t="shared" si="3"/>
        <v>66.8755884257408</v>
      </c>
      <c r="Q51" t="str">
        <f t="shared" si="4"/>
        <v>20.5166123687816</v>
      </c>
      <c r="R51" t="str">
        <f t="shared" si="5"/>
        <v>1.38</v>
      </c>
      <c r="S51" t="str">
        <f t="shared" si="6"/>
        <v>3.03</v>
      </c>
      <c r="T51" t="str">
        <f t="shared" si="7"/>
        <v>6.49152843266236</v>
      </c>
      <c r="U51" t="str">
        <f t="shared" si="8"/>
        <v>4.47</v>
      </c>
    </row>
    <row r="52" spans="1:21" x14ac:dyDescent="0.25">
      <c r="A52" t="s">
        <v>26</v>
      </c>
      <c r="B52" s="1" t="s">
        <v>14</v>
      </c>
      <c r="C52">
        <v>0.86659642423576511</v>
      </c>
      <c r="D52" s="18">
        <v>16.75</v>
      </c>
      <c r="E52">
        <v>64.727085651670308</v>
      </c>
      <c r="F52">
        <v>20.557895254761025</v>
      </c>
      <c r="G52" s="18">
        <v>0.88</v>
      </c>
      <c r="H52" s="18">
        <v>3.56</v>
      </c>
      <c r="I52">
        <v>7.3678588027557614</v>
      </c>
      <c r="J52" s="18">
        <v>4.32</v>
      </c>
      <c r="L52" t="s">
        <v>26</v>
      </c>
      <c r="M52" s="1" t="s">
        <v>14</v>
      </c>
      <c r="N52" t="str">
        <f t="shared" si="1"/>
        <v>0.866596424235765</v>
      </c>
      <c r="O52" t="str">
        <f t="shared" si="2"/>
        <v>16.75</v>
      </c>
      <c r="P52" t="str">
        <f t="shared" si="3"/>
        <v>64.7270856516703</v>
      </c>
      <c r="Q52" t="str">
        <f t="shared" si="4"/>
        <v>20.557895254761</v>
      </c>
      <c r="R52" t="str">
        <f t="shared" si="5"/>
        <v>0.88</v>
      </c>
      <c r="S52" t="str">
        <f t="shared" si="6"/>
        <v>3.56</v>
      </c>
      <c r="T52" t="str">
        <f t="shared" si="7"/>
        <v>7.36785880275576</v>
      </c>
      <c r="U52" t="str">
        <f t="shared" si="8"/>
        <v>4.32</v>
      </c>
    </row>
    <row r="53" spans="1:21" x14ac:dyDescent="0.25">
      <c r="A53" t="s">
        <v>26</v>
      </c>
      <c r="B53" s="1" t="s">
        <v>15</v>
      </c>
      <c r="C53">
        <v>0.57840971260023955</v>
      </c>
      <c r="D53" s="18">
        <v>16.78</v>
      </c>
      <c r="E53">
        <v>67.436826641261902</v>
      </c>
      <c r="F53">
        <v>20.522651178580819</v>
      </c>
      <c r="G53" s="18">
        <v>0.54</v>
      </c>
      <c r="H53" s="18">
        <v>4.25</v>
      </c>
      <c r="I53">
        <v>7.7583003104021486</v>
      </c>
      <c r="J53" s="18">
        <v>4.5</v>
      </c>
      <c r="L53" t="s">
        <v>26</v>
      </c>
      <c r="M53" s="1" t="s">
        <v>15</v>
      </c>
      <c r="N53" t="str">
        <f t="shared" si="1"/>
        <v>0.57840971260024</v>
      </c>
      <c r="O53" t="str">
        <f t="shared" si="2"/>
        <v>16.78</v>
      </c>
      <c r="P53" t="str">
        <f t="shared" si="3"/>
        <v>67.4368266412619</v>
      </c>
      <c r="Q53" t="str">
        <f t="shared" si="4"/>
        <v>20.5226511785808</v>
      </c>
      <c r="R53" t="str">
        <f t="shared" si="5"/>
        <v>0.54</v>
      </c>
      <c r="S53" t="str">
        <f t="shared" si="6"/>
        <v>4.25</v>
      </c>
      <c r="T53" t="str">
        <f t="shared" si="7"/>
        <v>7.75830031040215</v>
      </c>
      <c r="U53" t="str">
        <f t="shared" si="8"/>
        <v>4.5</v>
      </c>
    </row>
    <row r="54" spans="1:21" x14ac:dyDescent="0.25">
      <c r="A54" t="s">
        <v>26</v>
      </c>
      <c r="B54" s="1" t="s">
        <v>16</v>
      </c>
      <c r="C54">
        <v>1.1387237418633742</v>
      </c>
      <c r="D54" s="18">
        <v>18.07</v>
      </c>
      <c r="E54">
        <v>66.417893435931504</v>
      </c>
      <c r="F54">
        <v>20.549198827839149</v>
      </c>
      <c r="G54" s="18">
        <v>1.46</v>
      </c>
      <c r="H54" s="18">
        <v>4.12</v>
      </c>
      <c r="I54">
        <v>8.2634622276601775</v>
      </c>
      <c r="J54" s="18">
        <v>4.9000000000000004</v>
      </c>
      <c r="L54" t="s">
        <v>26</v>
      </c>
      <c r="M54" s="1" t="s">
        <v>16</v>
      </c>
      <c r="N54" t="str">
        <f t="shared" si="1"/>
        <v>1.13872374186337</v>
      </c>
      <c r="O54" t="str">
        <f t="shared" si="2"/>
        <v>18.07</v>
      </c>
      <c r="P54" t="str">
        <f t="shared" si="3"/>
        <v>66.4178934359315</v>
      </c>
      <c r="Q54" t="str">
        <f t="shared" si="4"/>
        <v>20.5491988278391</v>
      </c>
      <c r="R54" t="str">
        <f t="shared" si="5"/>
        <v>1.46</v>
      </c>
      <c r="S54" t="str">
        <f t="shared" si="6"/>
        <v>4.12</v>
      </c>
      <c r="T54" t="str">
        <f t="shared" si="7"/>
        <v>8.26346222766018</v>
      </c>
      <c r="U54" t="str">
        <f t="shared" si="8"/>
        <v>4.9</v>
      </c>
    </row>
    <row r="55" spans="1:21" x14ac:dyDescent="0.25">
      <c r="A55" t="s">
        <v>26</v>
      </c>
      <c r="B55" s="1" t="s">
        <v>17</v>
      </c>
      <c r="C55">
        <v>1.8754968204254325</v>
      </c>
      <c r="D55" s="18">
        <v>18.18</v>
      </c>
      <c r="E55">
        <v>66.690746748327101</v>
      </c>
      <c r="F55">
        <v>20.563680375913851</v>
      </c>
      <c r="G55" s="18">
        <v>1.48</v>
      </c>
      <c r="H55" s="18">
        <v>3.94</v>
      </c>
      <c r="I55">
        <v>8.4898232636132018</v>
      </c>
      <c r="J55" s="18">
        <v>4.8499999999999996</v>
      </c>
      <c r="L55" t="s">
        <v>26</v>
      </c>
      <c r="M55" s="1" t="s">
        <v>17</v>
      </c>
      <c r="N55" t="str">
        <f t="shared" si="1"/>
        <v>1.87549682042543</v>
      </c>
      <c r="O55" t="str">
        <f t="shared" si="2"/>
        <v>18.18</v>
      </c>
      <c r="P55" t="str">
        <f t="shared" si="3"/>
        <v>66.6907467483271</v>
      </c>
      <c r="Q55" t="str">
        <f t="shared" si="4"/>
        <v>20.5636803759139</v>
      </c>
      <c r="R55" t="str">
        <f t="shared" si="5"/>
        <v>1.48</v>
      </c>
      <c r="S55" t="str">
        <f t="shared" si="6"/>
        <v>3.94</v>
      </c>
      <c r="T55" t="str">
        <f t="shared" si="7"/>
        <v>8.4898232636132</v>
      </c>
      <c r="U55" t="str">
        <f t="shared" si="8"/>
        <v>4.85</v>
      </c>
    </row>
    <row r="56" spans="1:21" x14ac:dyDescent="0.25">
      <c r="A56" t="s">
        <v>26</v>
      </c>
      <c r="B56" s="1" t="s">
        <v>18</v>
      </c>
      <c r="C56">
        <v>0.18143261846982159</v>
      </c>
      <c r="D56" s="18">
        <v>19.899999999999999</v>
      </c>
      <c r="E56">
        <v>63.646485603760183</v>
      </c>
      <c r="F56">
        <v>20.61221516300018</v>
      </c>
      <c r="G56" s="18">
        <v>1.51</v>
      </c>
      <c r="H56" s="18">
        <v>3.81</v>
      </c>
      <c r="I56">
        <v>8.6462390432721463</v>
      </c>
      <c r="J56" s="18">
        <v>4.76</v>
      </c>
      <c r="L56" t="s">
        <v>26</v>
      </c>
      <c r="M56" s="1" t="s">
        <v>18</v>
      </c>
      <c r="N56" t="str">
        <f t="shared" si="1"/>
        <v>0.181432618469822</v>
      </c>
      <c r="O56" t="str">
        <f t="shared" si="2"/>
        <v>19.9</v>
      </c>
      <c r="P56" t="str">
        <f t="shared" si="3"/>
        <v>63.6464856037602</v>
      </c>
      <c r="Q56" t="str">
        <f t="shared" si="4"/>
        <v>20.6122151630002</v>
      </c>
      <c r="R56" t="str">
        <f t="shared" si="5"/>
        <v>1.51</v>
      </c>
      <c r="S56" t="str">
        <f t="shared" si="6"/>
        <v>3.81</v>
      </c>
      <c r="T56" t="str">
        <f t="shared" si="7"/>
        <v>8.64623904327215</v>
      </c>
      <c r="U56" t="str">
        <f t="shared" si="8"/>
        <v>4.76</v>
      </c>
    </row>
    <row r="57" spans="1:21" x14ac:dyDescent="0.25">
      <c r="A57" t="s">
        <v>26</v>
      </c>
      <c r="B57" s="1" t="s">
        <v>19</v>
      </c>
      <c r="C57">
        <v>2.0944094176859056</v>
      </c>
      <c r="D57" s="18">
        <v>19.75</v>
      </c>
      <c r="E57">
        <v>61.781811933698258</v>
      </c>
      <c r="F57">
        <v>20.662678037952009</v>
      </c>
      <c r="G57" s="18">
        <v>1.43</v>
      </c>
      <c r="H57" s="18">
        <v>3.7</v>
      </c>
      <c r="I57">
        <v>8.6351360444605625</v>
      </c>
      <c r="J57" s="18">
        <v>4.67</v>
      </c>
      <c r="L57" t="s">
        <v>26</v>
      </c>
      <c r="M57" s="1" t="s">
        <v>19</v>
      </c>
      <c r="N57" t="str">
        <f t="shared" si="1"/>
        <v>2.09440941768591</v>
      </c>
      <c r="O57" t="str">
        <f t="shared" si="2"/>
        <v>19.75</v>
      </c>
      <c r="P57" t="str">
        <f t="shared" si="3"/>
        <v>61.7818119336983</v>
      </c>
      <c r="Q57" t="str">
        <f t="shared" si="4"/>
        <v>20.662678037952</v>
      </c>
      <c r="R57" t="str">
        <f t="shared" si="5"/>
        <v>1.43</v>
      </c>
      <c r="S57" t="str">
        <f t="shared" si="6"/>
        <v>3.7</v>
      </c>
      <c r="T57" t="str">
        <f t="shared" si="7"/>
        <v>8.63513604446056</v>
      </c>
      <c r="U57" t="str">
        <f t="shared" si="8"/>
        <v>4.67</v>
      </c>
    </row>
    <row r="58" spans="1:21" x14ac:dyDescent="0.25">
      <c r="A58" t="s">
        <v>26</v>
      </c>
      <c r="B58" s="1" t="s">
        <v>20</v>
      </c>
      <c r="C58">
        <v>1.6076441243735533</v>
      </c>
      <c r="D58" s="16">
        <v>19.29</v>
      </c>
      <c r="E58">
        <v>65.038263202045471</v>
      </c>
      <c r="F58">
        <v>20.627259876242686</v>
      </c>
      <c r="G58" s="18">
        <v>2.29</v>
      </c>
      <c r="H58" s="18">
        <v>3.46</v>
      </c>
      <c r="I58">
        <v>8.659957472212847</v>
      </c>
      <c r="J58" s="16">
        <v>4.51</v>
      </c>
      <c r="L58" t="s">
        <v>26</v>
      </c>
      <c r="M58" s="1" t="s">
        <v>20</v>
      </c>
      <c r="N58" t="str">
        <f t="shared" si="1"/>
        <v>1.60764412437355</v>
      </c>
      <c r="O58" t="str">
        <f t="shared" si="2"/>
        <v>19.29</v>
      </c>
      <c r="P58" t="str">
        <f t="shared" si="3"/>
        <v>65.0382632020455</v>
      </c>
      <c r="Q58" t="str">
        <f t="shared" si="4"/>
        <v>20.6272598762427</v>
      </c>
      <c r="R58" t="str">
        <f t="shared" si="5"/>
        <v>2.29</v>
      </c>
      <c r="S58" t="str">
        <f t="shared" si="6"/>
        <v>3.46</v>
      </c>
      <c r="T58" t="str">
        <f t="shared" si="7"/>
        <v>8.65995747221285</v>
      </c>
      <c r="U58" t="str">
        <f t="shared" si="8"/>
        <v>4.51</v>
      </c>
    </row>
    <row r="59" spans="1:21" x14ac:dyDescent="0.25">
      <c r="A59" t="s">
        <v>26</v>
      </c>
      <c r="B59" s="1" t="s">
        <v>21</v>
      </c>
      <c r="C59">
        <v>4.3598433862502066</v>
      </c>
      <c r="D59" s="16">
        <v>18.420000000000002</v>
      </c>
      <c r="E59">
        <v>67.55343506418707</v>
      </c>
      <c r="F59">
        <v>20.631991495877919</v>
      </c>
      <c r="G59" s="18">
        <v>2.44</v>
      </c>
      <c r="H59" s="18">
        <v>3.16</v>
      </c>
      <c r="I59">
        <v>8.3116983410416179</v>
      </c>
      <c r="J59" s="16">
        <v>4.7</v>
      </c>
      <c r="L59" t="s">
        <v>26</v>
      </c>
      <c r="M59" s="1" t="s">
        <v>21</v>
      </c>
      <c r="N59" t="str">
        <f t="shared" si="1"/>
        <v>4.35984338625021</v>
      </c>
      <c r="O59" t="str">
        <f t="shared" si="2"/>
        <v>18.42</v>
      </c>
      <c r="P59" t="str">
        <f t="shared" si="3"/>
        <v>67.5534350641871</v>
      </c>
      <c r="Q59" t="str">
        <f t="shared" si="4"/>
        <v>20.6319914958779</v>
      </c>
      <c r="R59" t="str">
        <f t="shared" si="5"/>
        <v>2.44</v>
      </c>
      <c r="S59" t="str">
        <f t="shared" si="6"/>
        <v>3.16</v>
      </c>
      <c r="T59" t="str">
        <f t="shared" si="7"/>
        <v>8.31169834104162</v>
      </c>
      <c r="U59" t="str">
        <f t="shared" si="8"/>
        <v>4.7</v>
      </c>
    </row>
    <row r="60" spans="1:21" x14ac:dyDescent="0.25">
      <c r="A60" t="s">
        <v>26</v>
      </c>
      <c r="B60" s="1" t="s">
        <v>22</v>
      </c>
      <c r="C60">
        <v>0.39311025247947656</v>
      </c>
      <c r="D60" s="18">
        <v>18.899999999999999</v>
      </c>
      <c r="E60">
        <v>68.052250355799799</v>
      </c>
      <c r="F60">
        <v>20.62855800939154</v>
      </c>
      <c r="G60" s="18">
        <v>2.48</v>
      </c>
      <c r="H60" s="18">
        <v>3.04</v>
      </c>
      <c r="I60">
        <v>8.240670785518823</v>
      </c>
      <c r="J60" s="18">
        <v>4.8</v>
      </c>
      <c r="L60" t="s">
        <v>26</v>
      </c>
      <c r="M60" s="1" t="s">
        <v>22</v>
      </c>
      <c r="N60" t="str">
        <f t="shared" si="1"/>
        <v>0.393110252479477</v>
      </c>
      <c r="O60" t="str">
        <f t="shared" si="2"/>
        <v>18.9</v>
      </c>
      <c r="P60" t="str">
        <f t="shared" si="3"/>
        <v>68.0522503557998</v>
      </c>
      <c r="Q60" t="str">
        <f t="shared" si="4"/>
        <v>20.6285580093915</v>
      </c>
      <c r="R60" t="str">
        <f t="shared" si="5"/>
        <v>2.48</v>
      </c>
      <c r="S60" t="str">
        <f t="shared" si="6"/>
        <v>3.04</v>
      </c>
      <c r="T60" t="str">
        <f t="shared" si="7"/>
        <v>8.24067078551882</v>
      </c>
      <c r="U60" t="str">
        <f t="shared" si="8"/>
        <v>4.8</v>
      </c>
    </row>
    <row r="61" spans="1:21" x14ac:dyDescent="0.25">
      <c r="A61" t="s">
        <v>26</v>
      </c>
      <c r="B61" s="1" t="s">
        <v>23</v>
      </c>
      <c r="C61">
        <v>3.8124265217870859</v>
      </c>
      <c r="D61" s="18">
        <v>19.27</v>
      </c>
      <c r="E61">
        <v>64.420351875946778</v>
      </c>
      <c r="F61">
        <v>20.72081969457814</v>
      </c>
      <c r="G61" s="18">
        <v>2.46</v>
      </c>
      <c r="H61" s="18">
        <v>2.81</v>
      </c>
      <c r="I61">
        <v>7.8085780019066684</v>
      </c>
      <c r="J61" s="18">
        <v>4.8099999999999996</v>
      </c>
      <c r="L61" t="s">
        <v>26</v>
      </c>
      <c r="M61" s="1" t="s">
        <v>23</v>
      </c>
      <c r="N61" t="str">
        <f t="shared" si="1"/>
        <v>3.81242652178709</v>
      </c>
      <c r="O61" t="str">
        <f t="shared" si="2"/>
        <v>19.27</v>
      </c>
      <c r="P61" t="str">
        <f t="shared" si="3"/>
        <v>64.4203518759468</v>
      </c>
      <c r="Q61" t="str">
        <f t="shared" si="4"/>
        <v>20.7208196945781</v>
      </c>
      <c r="R61" t="str">
        <f t="shared" si="5"/>
        <v>2.46</v>
      </c>
      <c r="S61" t="str">
        <f t="shared" si="6"/>
        <v>2.81</v>
      </c>
      <c r="T61" t="str">
        <f t="shared" si="7"/>
        <v>7.80857800190667</v>
      </c>
      <c r="U61" t="str">
        <f t="shared" si="8"/>
        <v>4.81</v>
      </c>
    </row>
    <row r="62" spans="1:21" x14ac:dyDescent="0.25">
      <c r="A62" t="s">
        <v>27</v>
      </c>
      <c r="B62" s="1" t="s">
        <v>4</v>
      </c>
      <c r="C62">
        <v>1.7651438486930193</v>
      </c>
      <c r="D62" s="16">
        <v>17.920000000000002</v>
      </c>
      <c r="E62">
        <v>78.265467875744406</v>
      </c>
      <c r="F62">
        <v>19.371329214633029</v>
      </c>
      <c r="G62" s="18">
        <v>1.37</v>
      </c>
      <c r="H62" s="18">
        <v>2.78</v>
      </c>
      <c r="I62">
        <v>1.1753669824954884</v>
      </c>
      <c r="J62" s="16">
        <v>4.21</v>
      </c>
      <c r="L62" t="s">
        <v>27</v>
      </c>
      <c r="M62" s="1" t="s">
        <v>4</v>
      </c>
      <c r="N62" t="str">
        <f t="shared" si="1"/>
        <v>1.76514384869302</v>
      </c>
      <c r="O62" t="str">
        <f t="shared" si="2"/>
        <v>17.92</v>
      </c>
      <c r="P62" t="str">
        <f t="shared" si="3"/>
        <v>78.2654678757444</v>
      </c>
      <c r="Q62" t="str">
        <f t="shared" si="4"/>
        <v>19.371329214633</v>
      </c>
      <c r="R62" t="str">
        <f t="shared" si="5"/>
        <v>1.37</v>
      </c>
      <c r="S62" t="str">
        <f t="shared" si="6"/>
        <v>2.78</v>
      </c>
      <c r="T62" t="str">
        <f t="shared" si="7"/>
        <v>1.17536698249549</v>
      </c>
      <c r="U62" t="str">
        <f t="shared" si="8"/>
        <v>4.21</v>
      </c>
    </row>
    <row r="63" spans="1:21" x14ac:dyDescent="0.25">
      <c r="A63" t="s">
        <v>27</v>
      </c>
      <c r="B63" s="1" t="s">
        <v>5</v>
      </c>
      <c r="C63">
        <v>4.3701124285776816</v>
      </c>
      <c r="D63" s="17">
        <v>17.420000000000002</v>
      </c>
      <c r="E63">
        <v>78.849872159609504</v>
      </c>
      <c r="F63">
        <v>19.406663174010539</v>
      </c>
      <c r="G63" s="18">
        <v>1.4</v>
      </c>
      <c r="H63" s="18">
        <v>2.78</v>
      </c>
      <c r="I63">
        <v>1.1600213485837241</v>
      </c>
      <c r="J63" s="17">
        <v>4.17</v>
      </c>
      <c r="L63" t="s">
        <v>27</v>
      </c>
      <c r="M63" s="1" t="s">
        <v>5</v>
      </c>
      <c r="N63" t="str">
        <f t="shared" si="1"/>
        <v>4.37011242857768</v>
      </c>
      <c r="O63" t="str">
        <f t="shared" si="2"/>
        <v>17.42</v>
      </c>
      <c r="P63" t="str">
        <f t="shared" si="3"/>
        <v>78.8498721596095</v>
      </c>
      <c r="Q63" t="str">
        <f t="shared" si="4"/>
        <v>19.4066631740105</v>
      </c>
      <c r="R63" t="str">
        <f t="shared" si="5"/>
        <v>1.4</v>
      </c>
      <c r="S63" t="str">
        <f t="shared" si="6"/>
        <v>2.78</v>
      </c>
      <c r="T63" t="str">
        <f t="shared" si="7"/>
        <v>1.16002134858372</v>
      </c>
      <c r="U63" t="str">
        <f t="shared" si="8"/>
        <v>4.17</v>
      </c>
    </row>
    <row r="64" spans="1:21" x14ac:dyDescent="0.25">
      <c r="A64" t="s">
        <v>27</v>
      </c>
      <c r="B64" s="1" t="s">
        <v>6</v>
      </c>
      <c r="C64">
        <v>4.1280213447228782</v>
      </c>
      <c r="D64" s="17">
        <v>17.97</v>
      </c>
      <c r="E64">
        <v>80.820263371032553</v>
      </c>
      <c r="F64">
        <v>19.42243207832005</v>
      </c>
      <c r="G64" s="18">
        <v>1.45</v>
      </c>
      <c r="H64" s="18">
        <v>2.65</v>
      </c>
      <c r="I64">
        <v>1.222605170922977</v>
      </c>
      <c r="J64" s="17">
        <v>4.3499999999999996</v>
      </c>
      <c r="L64" t="s">
        <v>27</v>
      </c>
      <c r="M64" s="1" t="s">
        <v>6</v>
      </c>
      <c r="N64" t="str">
        <f t="shared" si="1"/>
        <v>4.12802134472288</v>
      </c>
      <c r="O64" t="str">
        <f t="shared" si="2"/>
        <v>17.97</v>
      </c>
      <c r="P64" t="str">
        <f t="shared" si="3"/>
        <v>80.8202633710326</v>
      </c>
      <c r="Q64" t="str">
        <f t="shared" si="4"/>
        <v>19.42243207832</v>
      </c>
      <c r="R64" t="str">
        <f t="shared" si="5"/>
        <v>1.45</v>
      </c>
      <c r="S64" t="str">
        <f t="shared" si="6"/>
        <v>2.65</v>
      </c>
      <c r="T64" t="str">
        <f t="shared" si="7"/>
        <v>1.22260517092298</v>
      </c>
      <c r="U64" t="str">
        <f t="shared" si="8"/>
        <v>4.35</v>
      </c>
    </row>
    <row r="65" spans="1:21" x14ac:dyDescent="0.25">
      <c r="A65" t="s">
        <v>27</v>
      </c>
      <c r="B65" s="1" t="s">
        <v>7</v>
      </c>
      <c r="C65">
        <v>8.0336887924561236</v>
      </c>
      <c r="D65" s="17">
        <v>18.21</v>
      </c>
      <c r="E65">
        <v>77.587986881210256</v>
      </c>
      <c r="F65">
        <v>19.540520115486164</v>
      </c>
      <c r="G65" s="18">
        <v>1.34</v>
      </c>
      <c r="H65" s="18">
        <v>2.82</v>
      </c>
      <c r="I65">
        <v>1.3871821441187215</v>
      </c>
      <c r="J65" s="17">
        <v>4.32</v>
      </c>
      <c r="L65" t="s">
        <v>27</v>
      </c>
      <c r="M65" s="1" t="s">
        <v>7</v>
      </c>
      <c r="N65" t="str">
        <f t="shared" si="1"/>
        <v>8.03368879245612</v>
      </c>
      <c r="O65" t="str">
        <f t="shared" si="2"/>
        <v>18.21</v>
      </c>
      <c r="P65" t="str">
        <f t="shared" si="3"/>
        <v>77.5879868812103</v>
      </c>
      <c r="Q65" t="str">
        <f t="shared" si="4"/>
        <v>19.5405201154862</v>
      </c>
      <c r="R65" t="str">
        <f t="shared" si="5"/>
        <v>1.34</v>
      </c>
      <c r="S65" t="str">
        <f t="shared" si="6"/>
        <v>2.82</v>
      </c>
      <c r="T65" t="str">
        <f t="shared" si="7"/>
        <v>1.38718214411872</v>
      </c>
      <c r="U65" t="str">
        <f t="shared" si="8"/>
        <v>4.32</v>
      </c>
    </row>
    <row r="66" spans="1:21" x14ac:dyDescent="0.25">
      <c r="A66" t="s">
        <v>27</v>
      </c>
      <c r="B66" s="1" t="s">
        <v>8</v>
      </c>
      <c r="C66">
        <v>1.840965183735773</v>
      </c>
      <c r="D66" s="16">
        <v>17.62</v>
      </c>
      <c r="E66">
        <v>80.350931450045636</v>
      </c>
      <c r="F66">
        <v>19.523771283602752</v>
      </c>
      <c r="G66" s="18">
        <v>1.24</v>
      </c>
      <c r="H66" s="18">
        <v>2.92</v>
      </c>
      <c r="I66">
        <v>1.3154421354955677</v>
      </c>
      <c r="J66" s="17">
        <v>3.63</v>
      </c>
      <c r="L66" t="s">
        <v>27</v>
      </c>
      <c r="M66" s="1" t="s">
        <v>8</v>
      </c>
      <c r="N66" t="str">
        <f t="shared" si="1"/>
        <v>1.84096518373577</v>
      </c>
      <c r="O66" t="str">
        <f t="shared" si="2"/>
        <v>17.62</v>
      </c>
      <c r="P66" t="str">
        <f t="shared" si="3"/>
        <v>80.3509314500456</v>
      </c>
      <c r="Q66" t="str">
        <f t="shared" si="4"/>
        <v>19.5237712836028</v>
      </c>
      <c r="R66" t="str">
        <f t="shared" si="5"/>
        <v>1.24</v>
      </c>
      <c r="S66" t="str">
        <f t="shared" si="6"/>
        <v>2.92</v>
      </c>
      <c r="T66" t="str">
        <f t="shared" si="7"/>
        <v>1.31544213549557</v>
      </c>
      <c r="U66" t="str">
        <f t="shared" si="8"/>
        <v>3.63</v>
      </c>
    </row>
    <row r="67" spans="1:21" x14ac:dyDescent="0.25">
      <c r="A67" t="s">
        <v>27</v>
      </c>
      <c r="B67" s="1" t="s">
        <v>9</v>
      </c>
      <c r="C67">
        <v>3.6784325551673285</v>
      </c>
      <c r="D67" s="17">
        <v>16.989999999999998</v>
      </c>
      <c r="E67">
        <v>80.33972598348798</v>
      </c>
      <c r="F67">
        <v>19.560034678312849</v>
      </c>
      <c r="G67" s="18">
        <v>1.17</v>
      </c>
      <c r="H67" s="18">
        <v>3.32</v>
      </c>
      <c r="I67">
        <v>1.2558136211055997</v>
      </c>
      <c r="J67" s="17">
        <v>3.53</v>
      </c>
      <c r="L67" t="s">
        <v>27</v>
      </c>
      <c r="M67" s="1" t="s">
        <v>9</v>
      </c>
      <c r="N67" t="str">
        <f t="shared" ref="N67:N130" si="9">SUBSTITUTE(C67,",",".")</f>
        <v>3.67843255516733</v>
      </c>
      <c r="O67" t="str">
        <f t="shared" ref="O67:O130" si="10">SUBSTITUTE(D67,",",".")</f>
        <v>16.99</v>
      </c>
      <c r="P67" t="str">
        <f t="shared" ref="P67:P130" si="11">SUBSTITUTE(E67,",",".")</f>
        <v>80.339725983488</v>
      </c>
      <c r="Q67" t="str">
        <f t="shared" ref="Q67:Q130" si="12">SUBSTITUTE(F67,",",".")</f>
        <v>19.5600346783128</v>
      </c>
      <c r="R67" t="str">
        <f t="shared" ref="R67:R130" si="13">SUBSTITUTE(G67,",",".")</f>
        <v>1.17</v>
      </c>
      <c r="S67" t="str">
        <f t="shared" ref="S67:S130" si="14">SUBSTITUTE(H67,",",".")</f>
        <v>3.32</v>
      </c>
      <c r="T67" t="str">
        <f t="shared" ref="T67:T130" si="15">SUBSTITUTE(I67,",",".")</f>
        <v>1.2558136211056</v>
      </c>
      <c r="U67" t="str">
        <f t="shared" ref="U67:U130" si="16">SUBSTITUTE(J67,",",".")</f>
        <v>3.53</v>
      </c>
    </row>
    <row r="68" spans="1:21" x14ac:dyDescent="0.25">
      <c r="A68" t="s">
        <v>27</v>
      </c>
      <c r="B68" s="1" t="s">
        <v>10</v>
      </c>
      <c r="C68">
        <v>2.3471982350390297</v>
      </c>
      <c r="D68" s="17">
        <v>16.88</v>
      </c>
      <c r="E68">
        <v>81.253856657167063</v>
      </c>
      <c r="F68">
        <v>19.571921361286389</v>
      </c>
      <c r="G68" s="18">
        <v>0.44</v>
      </c>
      <c r="H68" s="18">
        <v>3.54</v>
      </c>
      <c r="I68">
        <v>1.8658463353570613</v>
      </c>
      <c r="J68" s="17">
        <v>3.41</v>
      </c>
      <c r="L68" t="s">
        <v>27</v>
      </c>
      <c r="M68" s="1" t="s">
        <v>10</v>
      </c>
      <c r="N68" t="str">
        <f t="shared" si="9"/>
        <v>2.34719823503903</v>
      </c>
      <c r="O68" t="str">
        <f t="shared" si="10"/>
        <v>16.88</v>
      </c>
      <c r="P68" t="str">
        <f t="shared" si="11"/>
        <v>81.2538566571671</v>
      </c>
      <c r="Q68" t="str">
        <f t="shared" si="12"/>
        <v>19.5719213612864</v>
      </c>
      <c r="R68" t="str">
        <f t="shared" si="13"/>
        <v>0.44</v>
      </c>
      <c r="S68" t="str">
        <f t="shared" si="14"/>
        <v>3.54</v>
      </c>
      <c r="T68" t="str">
        <f t="shared" si="15"/>
        <v>1.86584633535706</v>
      </c>
      <c r="U68" t="str">
        <f t="shared" si="16"/>
        <v>3.41</v>
      </c>
    </row>
    <row r="69" spans="1:21" x14ac:dyDescent="0.25">
      <c r="A69" t="s">
        <v>27</v>
      </c>
      <c r="B69" s="1" t="s">
        <v>11</v>
      </c>
      <c r="C69">
        <v>-0.43153275760837378</v>
      </c>
      <c r="D69" s="17">
        <v>17.32</v>
      </c>
      <c r="E69">
        <v>82.053936028882816</v>
      </c>
      <c r="F69">
        <v>19.557798194956526</v>
      </c>
      <c r="G69" s="18">
        <v>0.13</v>
      </c>
      <c r="H69" s="18">
        <v>4.78</v>
      </c>
      <c r="I69">
        <v>2.3907601675721035</v>
      </c>
      <c r="J69" s="17">
        <v>3.32</v>
      </c>
      <c r="L69" t="s">
        <v>27</v>
      </c>
      <c r="M69" s="1" t="s">
        <v>11</v>
      </c>
      <c r="N69" t="str">
        <f t="shared" si="9"/>
        <v>-0.431532757608374</v>
      </c>
      <c r="O69" t="str">
        <f t="shared" si="10"/>
        <v>17.32</v>
      </c>
      <c r="P69" t="str">
        <f t="shared" si="11"/>
        <v>82.0539360288828</v>
      </c>
      <c r="Q69" t="str">
        <f t="shared" si="12"/>
        <v>19.5577981949565</v>
      </c>
      <c r="R69" t="str">
        <f t="shared" si="13"/>
        <v>0.13</v>
      </c>
      <c r="S69" t="str">
        <f t="shared" si="14"/>
        <v>4.78</v>
      </c>
      <c r="T69" t="str">
        <f t="shared" si="15"/>
        <v>2.3907601675721</v>
      </c>
      <c r="U69" t="str">
        <f t="shared" si="16"/>
        <v>3.32</v>
      </c>
    </row>
    <row r="70" spans="1:21" x14ac:dyDescent="0.25">
      <c r="A70" t="s">
        <v>27</v>
      </c>
      <c r="B70" s="1" t="s">
        <v>12</v>
      </c>
      <c r="C70">
        <v>-1.0058596308739125</v>
      </c>
      <c r="D70" s="17">
        <v>18.73</v>
      </c>
      <c r="E70">
        <v>82.174841884795285</v>
      </c>
      <c r="F70">
        <v>19.546216261227173</v>
      </c>
      <c r="G70" s="18">
        <v>0.76</v>
      </c>
      <c r="H70" s="18">
        <v>4.91</v>
      </c>
      <c r="I70">
        <v>5.1869731750145052</v>
      </c>
      <c r="J70" s="17">
        <v>3.13</v>
      </c>
      <c r="L70" t="s">
        <v>27</v>
      </c>
      <c r="M70" s="1" t="s">
        <v>12</v>
      </c>
      <c r="N70" t="str">
        <f t="shared" si="9"/>
        <v>-1.00585963087391</v>
      </c>
      <c r="O70" t="str">
        <f t="shared" si="10"/>
        <v>18.73</v>
      </c>
      <c r="P70" t="str">
        <f t="shared" si="11"/>
        <v>82.1748418847953</v>
      </c>
      <c r="Q70" t="str">
        <f t="shared" si="12"/>
        <v>19.5462162612272</v>
      </c>
      <c r="R70" t="str">
        <f t="shared" si="13"/>
        <v>0.76</v>
      </c>
      <c r="S70" t="str">
        <f t="shared" si="14"/>
        <v>4.91</v>
      </c>
      <c r="T70" t="str">
        <f t="shared" si="15"/>
        <v>5.18697317501451</v>
      </c>
      <c r="U70" t="str">
        <f t="shared" si="16"/>
        <v>3.13</v>
      </c>
    </row>
    <row r="71" spans="1:21" x14ac:dyDescent="0.25">
      <c r="A71" t="s">
        <v>27</v>
      </c>
      <c r="B71" s="1" t="s">
        <v>13</v>
      </c>
      <c r="C71">
        <v>-0.55873338167071007</v>
      </c>
      <c r="D71" s="17">
        <v>19.100000000000001</v>
      </c>
      <c r="E71">
        <v>80.049146786076221</v>
      </c>
      <c r="F71">
        <v>19.566821674420936</v>
      </c>
      <c r="G71" s="18">
        <v>0.63</v>
      </c>
      <c r="H71" s="18">
        <v>4.71</v>
      </c>
      <c r="I71">
        <v>5.0817550122933923</v>
      </c>
      <c r="J71" s="17">
        <v>3.16</v>
      </c>
      <c r="L71" t="s">
        <v>27</v>
      </c>
      <c r="M71" s="1" t="s">
        <v>13</v>
      </c>
      <c r="N71" t="str">
        <f t="shared" si="9"/>
        <v>-0.55873338167071</v>
      </c>
      <c r="O71" t="str">
        <f t="shared" si="10"/>
        <v>19.1</v>
      </c>
      <c r="P71" t="str">
        <f t="shared" si="11"/>
        <v>80.0491467860762</v>
      </c>
      <c r="Q71" t="str">
        <f t="shared" si="12"/>
        <v>19.5668216744209</v>
      </c>
      <c r="R71" t="str">
        <f t="shared" si="13"/>
        <v>0.63</v>
      </c>
      <c r="S71" t="str">
        <f t="shared" si="14"/>
        <v>4.71</v>
      </c>
      <c r="T71" t="str">
        <f t="shared" si="15"/>
        <v>5.08175501229339</v>
      </c>
      <c r="U71" t="str">
        <f t="shared" si="16"/>
        <v>3.16</v>
      </c>
    </row>
    <row r="72" spans="1:21" x14ac:dyDescent="0.25">
      <c r="A72" t="s">
        <v>27</v>
      </c>
      <c r="B72" s="1" t="s">
        <v>14</v>
      </c>
      <c r="C72">
        <v>1.2234175487077323</v>
      </c>
      <c r="D72" s="17">
        <v>18.95</v>
      </c>
      <c r="E72">
        <v>71.410722284839395</v>
      </c>
      <c r="F72">
        <v>19.693174367966332</v>
      </c>
      <c r="G72" s="18">
        <v>0.59</v>
      </c>
      <c r="H72" s="18">
        <v>4.5599999999999996</v>
      </c>
      <c r="I72">
        <v>5.0783536290352203</v>
      </c>
      <c r="J72" s="17">
        <v>3.13</v>
      </c>
      <c r="L72" t="s">
        <v>27</v>
      </c>
      <c r="M72" s="1" t="s">
        <v>14</v>
      </c>
      <c r="N72" t="str">
        <f t="shared" si="9"/>
        <v>1.22341754870773</v>
      </c>
      <c r="O72" t="str">
        <f t="shared" si="10"/>
        <v>18.95</v>
      </c>
      <c r="P72" t="str">
        <f t="shared" si="11"/>
        <v>71.4107222848394</v>
      </c>
      <c r="Q72" t="str">
        <f t="shared" si="12"/>
        <v>19.6931743679663</v>
      </c>
      <c r="R72" t="str">
        <f t="shared" si="13"/>
        <v>0.59</v>
      </c>
      <c r="S72" t="str">
        <f t="shared" si="14"/>
        <v>4.56</v>
      </c>
      <c r="T72" t="str">
        <f t="shared" si="15"/>
        <v>5.07835362903522</v>
      </c>
      <c r="U72" t="str">
        <f t="shared" si="16"/>
        <v>3.13</v>
      </c>
    </row>
    <row r="73" spans="1:21" x14ac:dyDescent="0.25">
      <c r="A73" t="s">
        <v>27</v>
      </c>
      <c r="B73" s="1" t="s">
        <v>15</v>
      </c>
      <c r="C73">
        <v>2.03839407436584</v>
      </c>
      <c r="D73" s="17">
        <v>19.34</v>
      </c>
      <c r="E73">
        <v>72.012211974933933</v>
      </c>
      <c r="F73">
        <v>19.704965651661556</v>
      </c>
      <c r="G73" s="18">
        <v>0.69</v>
      </c>
      <c r="H73" s="16">
        <v>4.37</v>
      </c>
      <c r="I73">
        <v>5.0212348490997014</v>
      </c>
      <c r="J73" s="17">
        <v>3.06</v>
      </c>
      <c r="L73" t="s">
        <v>27</v>
      </c>
      <c r="M73" s="1" t="s">
        <v>15</v>
      </c>
      <c r="N73" t="str">
        <f t="shared" si="9"/>
        <v>2.03839407436584</v>
      </c>
      <c r="O73" t="str">
        <f t="shared" si="10"/>
        <v>19.34</v>
      </c>
      <c r="P73" t="str">
        <f t="shared" si="11"/>
        <v>72.0122119749339</v>
      </c>
      <c r="Q73" t="str">
        <f t="shared" si="12"/>
        <v>19.7049656516616</v>
      </c>
      <c r="R73" t="str">
        <f t="shared" si="13"/>
        <v>0.69</v>
      </c>
      <c r="S73" t="str">
        <f t="shared" si="14"/>
        <v>4.37</v>
      </c>
      <c r="T73" t="str">
        <f t="shared" si="15"/>
        <v>5.0212348490997</v>
      </c>
      <c r="U73" t="str">
        <f t="shared" si="16"/>
        <v>3.06</v>
      </c>
    </row>
    <row r="74" spans="1:21" x14ac:dyDescent="0.25">
      <c r="A74" t="s">
        <v>27</v>
      </c>
      <c r="B74" s="1" t="s">
        <v>16</v>
      </c>
      <c r="C74">
        <v>0.47119002897200951</v>
      </c>
      <c r="D74" s="17">
        <v>17.649999999999999</v>
      </c>
      <c r="E74">
        <v>69.555242474212804</v>
      </c>
      <c r="F74">
        <v>19.74438090851001</v>
      </c>
      <c r="G74" s="18">
        <v>0.94</v>
      </c>
      <c r="H74" s="18">
        <v>4.25</v>
      </c>
      <c r="I74">
        <v>4.9280324873599906</v>
      </c>
      <c r="J74" s="17">
        <v>3.31</v>
      </c>
      <c r="L74" t="s">
        <v>27</v>
      </c>
      <c r="M74" s="1" t="s">
        <v>16</v>
      </c>
      <c r="N74" t="str">
        <f t="shared" si="9"/>
        <v>0.47119002897201</v>
      </c>
      <c r="O74" t="str">
        <f t="shared" si="10"/>
        <v>17.65</v>
      </c>
      <c r="P74" t="str">
        <f t="shared" si="11"/>
        <v>69.5552424742128</v>
      </c>
      <c r="Q74" t="str">
        <f t="shared" si="12"/>
        <v>19.74438090851</v>
      </c>
      <c r="R74" t="str">
        <f t="shared" si="13"/>
        <v>0.94</v>
      </c>
      <c r="S74" t="str">
        <f t="shared" si="14"/>
        <v>4.25</v>
      </c>
      <c r="T74" t="str">
        <f t="shared" si="15"/>
        <v>4.92803248735999</v>
      </c>
      <c r="U74" t="str">
        <f t="shared" si="16"/>
        <v>3.31</v>
      </c>
    </row>
    <row r="75" spans="1:21" x14ac:dyDescent="0.25">
      <c r="A75" t="s">
        <v>27</v>
      </c>
      <c r="B75" s="1" t="s">
        <v>17</v>
      </c>
      <c r="C75">
        <v>1.7475658462194783</v>
      </c>
      <c r="D75" s="17">
        <v>17.8</v>
      </c>
      <c r="E75">
        <v>69.881046089512381</v>
      </c>
      <c r="F75">
        <v>19.757032461303258</v>
      </c>
      <c r="G75" s="18">
        <v>0.68</v>
      </c>
      <c r="H75" s="18">
        <v>4.0999999999999996</v>
      </c>
      <c r="I75">
        <v>4.9536698711970146</v>
      </c>
      <c r="J75" s="17">
        <v>3.41</v>
      </c>
      <c r="L75" t="s">
        <v>27</v>
      </c>
      <c r="M75" s="1" t="s">
        <v>17</v>
      </c>
      <c r="N75" t="str">
        <f t="shared" si="9"/>
        <v>1.74756584621948</v>
      </c>
      <c r="O75" t="str">
        <f t="shared" si="10"/>
        <v>17.8</v>
      </c>
      <c r="P75" t="str">
        <f t="shared" si="11"/>
        <v>69.8810460895124</v>
      </c>
      <c r="Q75" t="str">
        <f t="shared" si="12"/>
        <v>19.7570324613033</v>
      </c>
      <c r="R75" t="str">
        <f t="shared" si="13"/>
        <v>0.68</v>
      </c>
      <c r="S75" t="str">
        <f t="shared" si="14"/>
        <v>4.1</v>
      </c>
      <c r="T75" t="str">
        <f t="shared" si="15"/>
        <v>4.95366987119701</v>
      </c>
      <c r="U75" t="str">
        <f t="shared" si="16"/>
        <v>3.41</v>
      </c>
    </row>
    <row r="76" spans="1:21" x14ac:dyDescent="0.25">
      <c r="A76" t="s">
        <v>27</v>
      </c>
      <c r="B76" s="1" t="s">
        <v>18</v>
      </c>
      <c r="C76">
        <v>1.6434869981551434</v>
      </c>
      <c r="D76" s="17">
        <v>17.97</v>
      </c>
      <c r="E76">
        <v>73.433757846692458</v>
      </c>
      <c r="F76">
        <v>19.723744449413097</v>
      </c>
      <c r="G76" s="18">
        <v>0.74</v>
      </c>
      <c r="H76" s="18">
        <v>3.94</v>
      </c>
      <c r="I76">
        <v>4.9392037669498547</v>
      </c>
      <c r="J76" s="17">
        <v>3.52</v>
      </c>
      <c r="L76" t="s">
        <v>27</v>
      </c>
      <c r="M76" s="1" t="s">
        <v>18</v>
      </c>
      <c r="N76" t="str">
        <f t="shared" si="9"/>
        <v>1.64348699815514</v>
      </c>
      <c r="O76" t="str">
        <f t="shared" si="10"/>
        <v>17.97</v>
      </c>
      <c r="P76" t="str">
        <f t="shared" si="11"/>
        <v>73.4337578466925</v>
      </c>
      <c r="Q76" t="str">
        <f t="shared" si="12"/>
        <v>19.7237444494131</v>
      </c>
      <c r="R76" t="str">
        <f t="shared" si="13"/>
        <v>0.74</v>
      </c>
      <c r="S76" t="str">
        <f t="shared" si="14"/>
        <v>3.94</v>
      </c>
      <c r="T76" t="str">
        <f t="shared" si="15"/>
        <v>4.93920376694985</v>
      </c>
      <c r="U76" t="str">
        <f t="shared" si="16"/>
        <v>3.52</v>
      </c>
    </row>
    <row r="77" spans="1:21" x14ac:dyDescent="0.25">
      <c r="A77" t="s">
        <v>27</v>
      </c>
      <c r="B77" s="1" t="s">
        <v>19</v>
      </c>
      <c r="C77">
        <v>1.6865162697421283</v>
      </c>
      <c r="D77" s="17">
        <v>19.14</v>
      </c>
      <c r="E77">
        <v>73.906617711235953</v>
      </c>
      <c r="F77">
        <v>19.734050346875506</v>
      </c>
      <c r="G77" s="18">
        <v>0.81</v>
      </c>
      <c r="H77" s="18">
        <v>3.7</v>
      </c>
      <c r="I77">
        <v>5.252513222546809</v>
      </c>
      <c r="J77" s="17">
        <v>3.99</v>
      </c>
      <c r="L77" t="s">
        <v>27</v>
      </c>
      <c r="M77" s="1" t="s">
        <v>19</v>
      </c>
      <c r="N77" t="str">
        <f t="shared" si="9"/>
        <v>1.68651626974213</v>
      </c>
      <c r="O77" t="str">
        <f t="shared" si="10"/>
        <v>19.14</v>
      </c>
      <c r="P77" t="str">
        <f t="shared" si="11"/>
        <v>73.906617711236</v>
      </c>
      <c r="Q77" t="str">
        <f t="shared" si="12"/>
        <v>19.7340503468755</v>
      </c>
      <c r="R77" t="str">
        <f t="shared" si="13"/>
        <v>0.81</v>
      </c>
      <c r="S77" t="str">
        <f t="shared" si="14"/>
        <v>3.7</v>
      </c>
      <c r="T77" t="str">
        <f t="shared" si="15"/>
        <v>5.25251322254681</v>
      </c>
      <c r="U77" t="str">
        <f t="shared" si="16"/>
        <v>3.99</v>
      </c>
    </row>
    <row r="78" spans="1:21" x14ac:dyDescent="0.25">
      <c r="A78" t="s">
        <v>27</v>
      </c>
      <c r="B78" s="1" t="s">
        <v>20</v>
      </c>
      <c r="C78">
        <v>0.83742629690158676</v>
      </c>
      <c r="D78" s="16">
        <v>18.149999999999999</v>
      </c>
      <c r="E78">
        <v>75.408156137470115</v>
      </c>
      <c r="F78">
        <v>19.7222766729803</v>
      </c>
      <c r="G78" s="18">
        <v>1.07</v>
      </c>
      <c r="H78" s="16">
        <v>3.6</v>
      </c>
      <c r="I78">
        <v>5.2865672124983574</v>
      </c>
      <c r="J78" s="17">
        <v>4.29</v>
      </c>
      <c r="L78" t="s">
        <v>27</v>
      </c>
      <c r="M78" s="1" t="s">
        <v>20</v>
      </c>
      <c r="N78" t="str">
        <f t="shared" si="9"/>
        <v>0.837426296901587</v>
      </c>
      <c r="O78" t="str">
        <f t="shared" si="10"/>
        <v>18.15</v>
      </c>
      <c r="P78" t="str">
        <f t="shared" si="11"/>
        <v>75.4081561374701</v>
      </c>
      <c r="Q78" t="str">
        <f t="shared" si="12"/>
        <v>19.7222766729803</v>
      </c>
      <c r="R78" t="str">
        <f t="shared" si="13"/>
        <v>1.07</v>
      </c>
      <c r="S78" t="str">
        <f t="shared" si="14"/>
        <v>3.6</v>
      </c>
      <c r="T78" t="str">
        <f t="shared" si="15"/>
        <v>5.28656721249836</v>
      </c>
      <c r="U78" t="str">
        <f t="shared" si="16"/>
        <v>4.29</v>
      </c>
    </row>
    <row r="79" spans="1:21" x14ac:dyDescent="0.25">
      <c r="A79" t="s">
        <v>27</v>
      </c>
      <c r="B79" s="1" t="s">
        <v>21</v>
      </c>
      <c r="C79">
        <v>3.2530309558201855</v>
      </c>
      <c r="D79" s="17">
        <v>17.36</v>
      </c>
      <c r="E79">
        <v>74.959722521366828</v>
      </c>
      <c r="F79">
        <v>19.760253578421096</v>
      </c>
      <c r="G79" s="18">
        <v>1.03</v>
      </c>
      <c r="H79" s="18">
        <v>3.54</v>
      </c>
      <c r="I79">
        <v>5.3042919145180303</v>
      </c>
      <c r="J79" s="16">
        <v>4.58</v>
      </c>
      <c r="L79" t="s">
        <v>27</v>
      </c>
      <c r="M79" s="1" t="s">
        <v>21</v>
      </c>
      <c r="N79" t="str">
        <f t="shared" si="9"/>
        <v>3.25303095582019</v>
      </c>
      <c r="O79" t="str">
        <f t="shared" si="10"/>
        <v>17.36</v>
      </c>
      <c r="P79" t="str">
        <f t="shared" si="11"/>
        <v>74.9597225213668</v>
      </c>
      <c r="Q79" t="str">
        <f t="shared" si="12"/>
        <v>19.7602535784211</v>
      </c>
      <c r="R79" t="str">
        <f t="shared" si="13"/>
        <v>1.03</v>
      </c>
      <c r="S79" t="str">
        <f t="shared" si="14"/>
        <v>3.54</v>
      </c>
      <c r="T79" t="str">
        <f t="shared" si="15"/>
        <v>5.30429191451803</v>
      </c>
      <c r="U79" t="str">
        <f t="shared" si="16"/>
        <v>4.58</v>
      </c>
    </row>
    <row r="80" spans="1:21" x14ac:dyDescent="0.25">
      <c r="A80" t="s">
        <v>27</v>
      </c>
      <c r="B80" s="1" t="s">
        <v>22</v>
      </c>
      <c r="C80">
        <v>1.2374649697323117</v>
      </c>
      <c r="D80" s="17">
        <v>17.32</v>
      </c>
      <c r="E80">
        <v>74.415434828613087</v>
      </c>
      <c r="F80">
        <v>19.779839846524784</v>
      </c>
      <c r="G80" s="18">
        <v>1.03</v>
      </c>
      <c r="H80" s="16">
        <v>3.45</v>
      </c>
      <c r="I80">
        <v>5.1928482522203643</v>
      </c>
      <c r="J80" s="16">
        <v>4.51</v>
      </c>
      <c r="L80" t="s">
        <v>27</v>
      </c>
      <c r="M80" s="1" t="s">
        <v>22</v>
      </c>
      <c r="N80" t="str">
        <f t="shared" si="9"/>
        <v>1.23746496973231</v>
      </c>
      <c r="O80" t="str">
        <f t="shared" si="10"/>
        <v>17.32</v>
      </c>
      <c r="P80" t="str">
        <f t="shared" si="11"/>
        <v>74.4154348286131</v>
      </c>
      <c r="Q80" t="str">
        <f t="shared" si="12"/>
        <v>19.7798398465248</v>
      </c>
      <c r="R80" t="str">
        <f t="shared" si="13"/>
        <v>1.03</v>
      </c>
      <c r="S80" t="str">
        <f t="shared" si="14"/>
        <v>3.45</v>
      </c>
      <c r="T80" t="str">
        <f t="shared" si="15"/>
        <v>5.19284825222036</v>
      </c>
      <c r="U80" t="str">
        <f t="shared" si="16"/>
        <v>4.51</v>
      </c>
    </row>
    <row r="81" spans="1:21" x14ac:dyDescent="0.25">
      <c r="A81" t="s">
        <v>27</v>
      </c>
      <c r="B81" s="1" t="s">
        <v>23</v>
      </c>
      <c r="C81">
        <v>2.9646845645476527</v>
      </c>
      <c r="D81" s="16">
        <v>20.170000000000002</v>
      </c>
      <c r="E81">
        <v>74.17206416124408</v>
      </c>
      <c r="F81">
        <v>19.812331513866777</v>
      </c>
      <c r="G81" s="16">
        <v>1.02</v>
      </c>
      <c r="H81" s="18">
        <v>3.38</v>
      </c>
      <c r="I81">
        <v>5.2550735730006428</v>
      </c>
      <c r="J81" s="17">
        <v>4.4000000000000004</v>
      </c>
      <c r="L81" t="s">
        <v>27</v>
      </c>
      <c r="M81" s="1" t="s">
        <v>23</v>
      </c>
      <c r="N81" t="str">
        <f t="shared" si="9"/>
        <v>2.96468456454765</v>
      </c>
      <c r="O81" t="str">
        <f t="shared" si="10"/>
        <v>20.17</v>
      </c>
      <c r="P81" t="str">
        <f t="shared" si="11"/>
        <v>74.1720641612441</v>
      </c>
      <c r="Q81" t="str">
        <f t="shared" si="12"/>
        <v>19.8123315138668</v>
      </c>
      <c r="R81" t="str">
        <f t="shared" si="13"/>
        <v>1.02</v>
      </c>
      <c r="S81" t="str">
        <f t="shared" si="14"/>
        <v>3.38</v>
      </c>
      <c r="T81" t="str">
        <f t="shared" si="15"/>
        <v>5.25507357300064</v>
      </c>
      <c r="U81" t="str">
        <f t="shared" si="16"/>
        <v>4.4</v>
      </c>
    </row>
    <row r="82" spans="1:21" x14ac:dyDescent="0.25">
      <c r="A82" t="s">
        <v>28</v>
      </c>
      <c r="B82" s="1" t="s">
        <v>4</v>
      </c>
      <c r="C82">
        <v>2.2109334762857458</v>
      </c>
      <c r="D82" s="18">
        <v>17.73</v>
      </c>
      <c r="E82">
        <v>65.445332844451244</v>
      </c>
      <c r="F82">
        <v>18.838734903048</v>
      </c>
      <c r="G82" s="18">
        <v>0.54</v>
      </c>
      <c r="H82" s="18">
        <v>4.59</v>
      </c>
      <c r="I82">
        <v>8.8868615835207976</v>
      </c>
      <c r="J82" s="18">
        <v>3.91</v>
      </c>
      <c r="L82" t="s">
        <v>28</v>
      </c>
      <c r="M82" s="1" t="s">
        <v>4</v>
      </c>
      <c r="N82" t="str">
        <f t="shared" si="9"/>
        <v>2.21093347628575</v>
      </c>
      <c r="O82" t="str">
        <f t="shared" si="10"/>
        <v>17.73</v>
      </c>
      <c r="P82" t="str">
        <f t="shared" si="11"/>
        <v>65.4453328444512</v>
      </c>
      <c r="Q82" t="str">
        <f t="shared" si="12"/>
        <v>18.838734903048</v>
      </c>
      <c r="R82" t="str">
        <f t="shared" si="13"/>
        <v>0.54</v>
      </c>
      <c r="S82" t="str">
        <f t="shared" si="14"/>
        <v>4.59</v>
      </c>
      <c r="T82" t="str">
        <f t="shared" si="15"/>
        <v>8.8868615835208</v>
      </c>
      <c r="U82" t="str">
        <f t="shared" si="16"/>
        <v>3.91</v>
      </c>
    </row>
    <row r="83" spans="1:21" x14ac:dyDescent="0.25">
      <c r="A83" t="s">
        <v>28</v>
      </c>
      <c r="B83" s="1" t="s">
        <v>5</v>
      </c>
      <c r="C83">
        <v>3.3861654025610055</v>
      </c>
      <c r="D83" s="18">
        <v>19.59</v>
      </c>
      <c r="E83">
        <v>64.614774270033621</v>
      </c>
      <c r="F83">
        <v>18.884807965887877</v>
      </c>
      <c r="G83" s="18">
        <v>0.5</v>
      </c>
      <c r="H83" s="18">
        <v>4.26</v>
      </c>
      <c r="I83">
        <v>8.961748934809874</v>
      </c>
      <c r="J83" s="18">
        <v>3.96</v>
      </c>
      <c r="L83" t="s">
        <v>28</v>
      </c>
      <c r="M83" s="1" t="s">
        <v>5</v>
      </c>
      <c r="N83" t="str">
        <f t="shared" si="9"/>
        <v>3.38616540256101</v>
      </c>
      <c r="O83" t="str">
        <f t="shared" si="10"/>
        <v>19.59</v>
      </c>
      <c r="P83" t="str">
        <f t="shared" si="11"/>
        <v>64.6147742700336</v>
      </c>
      <c r="Q83" t="str">
        <f t="shared" si="12"/>
        <v>18.8848079658879</v>
      </c>
      <c r="R83" t="str">
        <f t="shared" si="13"/>
        <v>0.5</v>
      </c>
      <c r="S83" t="str">
        <f t="shared" si="14"/>
        <v>4.26</v>
      </c>
      <c r="T83" t="str">
        <f t="shared" si="15"/>
        <v>8.96174893480987</v>
      </c>
      <c r="U83" t="str">
        <f t="shared" si="16"/>
        <v>3.96</v>
      </c>
    </row>
    <row r="84" spans="1:21" x14ac:dyDescent="0.25">
      <c r="A84" t="s">
        <v>28</v>
      </c>
      <c r="B84" s="1" t="s">
        <v>6</v>
      </c>
      <c r="C84">
        <v>3.7124431891464291</v>
      </c>
      <c r="D84" s="18">
        <v>19.190000000000001</v>
      </c>
      <c r="E84">
        <v>68.533631417608348</v>
      </c>
      <c r="F84">
        <v>18.862378374245697</v>
      </c>
      <c r="G84" s="18">
        <v>0.56999999999999995</v>
      </c>
      <c r="H84" s="18">
        <v>4.78</v>
      </c>
      <c r="I84">
        <v>9.0345133440495005</v>
      </c>
      <c r="J84" s="18">
        <v>4.0199999999999996</v>
      </c>
      <c r="L84" t="s">
        <v>28</v>
      </c>
      <c r="M84" s="1" t="s">
        <v>6</v>
      </c>
      <c r="N84" t="str">
        <f t="shared" si="9"/>
        <v>3.71244318914643</v>
      </c>
      <c r="O84" t="str">
        <f t="shared" si="10"/>
        <v>19.19</v>
      </c>
      <c r="P84" t="str">
        <f t="shared" si="11"/>
        <v>68.5336314176083</v>
      </c>
      <c r="Q84" t="str">
        <f t="shared" si="12"/>
        <v>18.8623783742457</v>
      </c>
      <c r="R84" t="str">
        <f t="shared" si="13"/>
        <v>0.57</v>
      </c>
      <c r="S84" t="str">
        <f t="shared" si="14"/>
        <v>4.78</v>
      </c>
      <c r="T84" t="str">
        <f t="shared" si="15"/>
        <v>9.0345133440495</v>
      </c>
      <c r="U84" t="str">
        <f t="shared" si="16"/>
        <v>4.02</v>
      </c>
    </row>
    <row r="85" spans="1:21" x14ac:dyDescent="0.25">
      <c r="A85" t="s">
        <v>28</v>
      </c>
      <c r="B85" s="1" t="s">
        <v>7</v>
      </c>
      <c r="C85">
        <v>-0.28849047568740777</v>
      </c>
      <c r="D85" s="18">
        <v>19.440000000000001</v>
      </c>
      <c r="E85">
        <v>69.577433859088345</v>
      </c>
      <c r="F85">
        <v>18.844373605907343</v>
      </c>
      <c r="G85" s="18">
        <v>0.78</v>
      </c>
      <c r="H85" s="18">
        <v>4.3600000000000003</v>
      </c>
      <c r="I85">
        <v>7.6820535695426546</v>
      </c>
      <c r="J85" s="18">
        <v>4.1100000000000003</v>
      </c>
      <c r="L85" t="s">
        <v>28</v>
      </c>
      <c r="M85" s="1" t="s">
        <v>7</v>
      </c>
      <c r="N85" t="str">
        <f t="shared" si="9"/>
        <v>-0.288490475687408</v>
      </c>
      <c r="O85" t="str">
        <f t="shared" si="10"/>
        <v>19.44</v>
      </c>
      <c r="P85" t="str">
        <f t="shared" si="11"/>
        <v>69.5774338590883</v>
      </c>
      <c r="Q85" t="str">
        <f t="shared" si="12"/>
        <v>18.8443736059073</v>
      </c>
      <c r="R85" t="str">
        <f t="shared" si="13"/>
        <v>0.78</v>
      </c>
      <c r="S85" t="str">
        <f t="shared" si="14"/>
        <v>4.36</v>
      </c>
      <c r="T85" t="str">
        <f t="shared" si="15"/>
        <v>7.68205356954265</v>
      </c>
      <c r="U85" t="str">
        <f t="shared" si="16"/>
        <v>4.11</v>
      </c>
    </row>
    <row r="86" spans="1:21" x14ac:dyDescent="0.25">
      <c r="A86" t="s">
        <v>28</v>
      </c>
      <c r="B86" s="1" t="s">
        <v>8</v>
      </c>
      <c r="C86">
        <v>-1.9042826495749132</v>
      </c>
      <c r="D86" s="18">
        <v>19.899999999999999</v>
      </c>
      <c r="E86">
        <v>65.061671445815634</v>
      </c>
      <c r="F86">
        <v>18.892251806632242</v>
      </c>
      <c r="G86" s="18">
        <v>1.3</v>
      </c>
      <c r="H86" s="18">
        <v>3.78</v>
      </c>
      <c r="I86">
        <v>6.5336076039998092</v>
      </c>
      <c r="J86" s="18">
        <v>4.0199999999999996</v>
      </c>
      <c r="L86" t="s">
        <v>28</v>
      </c>
      <c r="M86" s="1" t="s">
        <v>8</v>
      </c>
      <c r="N86" t="str">
        <f t="shared" si="9"/>
        <v>-1.90428264957491</v>
      </c>
      <c r="O86" t="str">
        <f t="shared" si="10"/>
        <v>19.9</v>
      </c>
      <c r="P86" t="str">
        <f t="shared" si="11"/>
        <v>65.0616714458156</v>
      </c>
      <c r="Q86" t="str">
        <f t="shared" si="12"/>
        <v>18.8922518066322</v>
      </c>
      <c r="R86" t="str">
        <f t="shared" si="13"/>
        <v>1.3</v>
      </c>
      <c r="S86" t="str">
        <f t="shared" si="14"/>
        <v>3.78</v>
      </c>
      <c r="T86" t="str">
        <f t="shared" si="15"/>
        <v>6.53360760399981</v>
      </c>
      <c r="U86" t="str">
        <f t="shared" si="16"/>
        <v>4.02</v>
      </c>
    </row>
    <row r="87" spans="1:21" x14ac:dyDescent="0.25">
      <c r="A87" t="s">
        <v>28</v>
      </c>
      <c r="B87" s="1" t="s">
        <v>9</v>
      </c>
      <c r="C87">
        <v>2.3639031566351569</v>
      </c>
      <c r="D87" s="18">
        <v>19.809999999999999</v>
      </c>
      <c r="E87">
        <v>72.293373505507503</v>
      </c>
      <c r="F87">
        <v>18.810218902214416</v>
      </c>
      <c r="G87" s="18">
        <v>1.24</v>
      </c>
      <c r="H87" s="18">
        <v>3.58</v>
      </c>
      <c r="I87">
        <v>5.5273406854383529</v>
      </c>
      <c r="J87" s="18">
        <v>4.1500000000000004</v>
      </c>
      <c r="L87" t="s">
        <v>28</v>
      </c>
      <c r="M87" s="1" t="s">
        <v>9</v>
      </c>
      <c r="N87" t="str">
        <f t="shared" si="9"/>
        <v>2.36390315663516</v>
      </c>
      <c r="O87" t="str">
        <f t="shared" si="10"/>
        <v>19.81</v>
      </c>
      <c r="P87" t="str">
        <f t="shared" si="11"/>
        <v>72.2933735055075</v>
      </c>
      <c r="Q87" t="str">
        <f t="shared" si="12"/>
        <v>18.8102189022144</v>
      </c>
      <c r="R87" t="str">
        <f t="shared" si="13"/>
        <v>1.24</v>
      </c>
      <c r="S87" t="str">
        <f t="shared" si="14"/>
        <v>3.58</v>
      </c>
      <c r="T87" t="str">
        <f t="shared" si="15"/>
        <v>5.52734068543835</v>
      </c>
      <c r="U87" t="str">
        <f t="shared" si="16"/>
        <v>4.15</v>
      </c>
    </row>
    <row r="88" spans="1:21" x14ac:dyDescent="0.25">
      <c r="A88" t="s">
        <v>28</v>
      </c>
      <c r="B88" s="1" t="s">
        <v>10</v>
      </c>
      <c r="C88">
        <v>0.52512015230839026</v>
      </c>
      <c r="D88" s="18">
        <v>19.84</v>
      </c>
      <c r="E88">
        <v>69.258123851902539</v>
      </c>
      <c r="F88">
        <v>18.858348386334324</v>
      </c>
      <c r="G88" s="16">
        <v>1.28</v>
      </c>
      <c r="H88" s="18">
        <v>3.33</v>
      </c>
      <c r="I88">
        <v>5.3660970220408206</v>
      </c>
      <c r="J88" s="18">
        <v>4.2300000000000004</v>
      </c>
      <c r="L88" t="s">
        <v>28</v>
      </c>
      <c r="M88" s="1" t="s">
        <v>10</v>
      </c>
      <c r="N88" t="str">
        <f t="shared" si="9"/>
        <v>0.52512015230839</v>
      </c>
      <c r="O88" t="str">
        <f t="shared" si="10"/>
        <v>19.84</v>
      </c>
      <c r="P88" t="str">
        <f t="shared" si="11"/>
        <v>69.2581238519025</v>
      </c>
      <c r="Q88" t="str">
        <f t="shared" si="12"/>
        <v>18.8583483863343</v>
      </c>
      <c r="R88" t="str">
        <f t="shared" si="13"/>
        <v>1.28</v>
      </c>
      <c r="S88" t="str">
        <f t="shared" si="14"/>
        <v>3.33</v>
      </c>
      <c r="T88" t="str">
        <f t="shared" si="15"/>
        <v>5.36609702204082</v>
      </c>
      <c r="U88" t="str">
        <f t="shared" si="16"/>
        <v>4.23</v>
      </c>
    </row>
    <row r="89" spans="1:21" x14ac:dyDescent="0.25">
      <c r="A89" t="s">
        <v>28</v>
      </c>
      <c r="B89" s="1" t="s">
        <v>11</v>
      </c>
      <c r="C89">
        <v>0.54432656909758881</v>
      </c>
      <c r="D89" s="18">
        <v>19.89</v>
      </c>
      <c r="E89">
        <v>66.890830917734206</v>
      </c>
      <c r="F89">
        <v>18.898555439918656</v>
      </c>
      <c r="G89" s="18">
        <v>1.3</v>
      </c>
      <c r="H89" s="18">
        <v>2.77</v>
      </c>
      <c r="I89">
        <v>3.6213671290900575</v>
      </c>
      <c r="J89" s="18">
        <v>4.3899999999999997</v>
      </c>
      <c r="L89" t="s">
        <v>28</v>
      </c>
      <c r="M89" s="1" t="s">
        <v>11</v>
      </c>
      <c r="N89" t="str">
        <f t="shared" si="9"/>
        <v>0.544326569097589</v>
      </c>
      <c r="O89" t="str">
        <f t="shared" si="10"/>
        <v>19.89</v>
      </c>
      <c r="P89" t="str">
        <f t="shared" si="11"/>
        <v>66.8908309177342</v>
      </c>
      <c r="Q89" t="str">
        <f t="shared" si="12"/>
        <v>18.8985554399187</v>
      </c>
      <c r="R89" t="str">
        <f t="shared" si="13"/>
        <v>1.3</v>
      </c>
      <c r="S89" t="str">
        <f t="shared" si="14"/>
        <v>2.77</v>
      </c>
      <c r="T89" t="str">
        <f t="shared" si="15"/>
        <v>3.62136712909006</v>
      </c>
      <c r="U89" t="str">
        <f t="shared" si="16"/>
        <v>4.39</v>
      </c>
    </row>
    <row r="90" spans="1:21" x14ac:dyDescent="0.25">
      <c r="A90" t="s">
        <v>28</v>
      </c>
      <c r="B90" s="1" t="s">
        <v>12</v>
      </c>
      <c r="C90">
        <v>2.1732659947885744</v>
      </c>
      <c r="D90" s="18">
        <v>19.61</v>
      </c>
      <c r="E90">
        <v>65.894225089946815</v>
      </c>
      <c r="F90">
        <v>18.935066407251</v>
      </c>
      <c r="G90" s="18">
        <v>0.69</v>
      </c>
      <c r="H90" s="18">
        <v>3.18</v>
      </c>
      <c r="I90">
        <v>4.6704243151831566</v>
      </c>
      <c r="J90" s="18">
        <v>4.59</v>
      </c>
      <c r="L90" t="s">
        <v>28</v>
      </c>
      <c r="M90" s="1" t="s">
        <v>12</v>
      </c>
      <c r="N90" t="str">
        <f t="shared" si="9"/>
        <v>2.17326599478857</v>
      </c>
      <c r="O90" t="str">
        <f t="shared" si="10"/>
        <v>19.61</v>
      </c>
      <c r="P90" t="str">
        <f t="shared" si="11"/>
        <v>65.8942250899468</v>
      </c>
      <c r="Q90" t="str">
        <f t="shared" si="12"/>
        <v>18.935066407251</v>
      </c>
      <c r="R90" t="str">
        <f t="shared" si="13"/>
        <v>0.69</v>
      </c>
      <c r="S90" t="str">
        <f t="shared" si="14"/>
        <v>3.18</v>
      </c>
      <c r="T90" t="str">
        <f t="shared" si="15"/>
        <v>4.67042431518316</v>
      </c>
      <c r="U90" t="str">
        <f t="shared" si="16"/>
        <v>4.59</v>
      </c>
    </row>
    <row r="91" spans="1:21" x14ac:dyDescent="0.25">
      <c r="A91" t="s">
        <v>28</v>
      </c>
      <c r="B91" s="1" t="s">
        <v>13</v>
      </c>
      <c r="C91">
        <v>-6.1565952745144052</v>
      </c>
      <c r="D91" s="18">
        <v>21.26</v>
      </c>
      <c r="E91">
        <v>65.529515756529918</v>
      </c>
      <c r="F91">
        <v>18.877073850068815</v>
      </c>
      <c r="G91" s="18">
        <v>0.93</v>
      </c>
      <c r="H91" s="18">
        <v>3.74</v>
      </c>
      <c r="I91">
        <v>4.0701454252087554</v>
      </c>
      <c r="J91" s="18">
        <v>4.53</v>
      </c>
      <c r="L91" t="s">
        <v>28</v>
      </c>
      <c r="M91" s="1" t="s">
        <v>13</v>
      </c>
      <c r="N91" t="str">
        <f t="shared" si="9"/>
        <v>-6.15659527451441</v>
      </c>
      <c r="O91" t="str">
        <f t="shared" si="10"/>
        <v>21.26</v>
      </c>
      <c r="P91" t="str">
        <f t="shared" si="11"/>
        <v>65.5295157565299</v>
      </c>
      <c r="Q91" t="str">
        <f t="shared" si="12"/>
        <v>18.8770738500688</v>
      </c>
      <c r="R91" t="str">
        <f t="shared" si="13"/>
        <v>0.93</v>
      </c>
      <c r="S91" t="str">
        <f t="shared" si="14"/>
        <v>3.74</v>
      </c>
      <c r="T91" t="str">
        <f t="shared" si="15"/>
        <v>4.07014542520876</v>
      </c>
      <c r="U91" t="str">
        <f t="shared" si="16"/>
        <v>4.53</v>
      </c>
    </row>
    <row r="92" spans="1:21" x14ac:dyDescent="0.25">
      <c r="A92" t="s">
        <v>28</v>
      </c>
      <c r="B92" s="1" t="s">
        <v>14</v>
      </c>
      <c r="C92">
        <v>-0.71937634803301065</v>
      </c>
      <c r="D92" s="18">
        <v>21.6</v>
      </c>
      <c r="E92">
        <v>61.622948987364204</v>
      </c>
      <c r="F92">
        <v>18.931320400427513</v>
      </c>
      <c r="G92" s="18">
        <v>0.68</v>
      </c>
      <c r="H92" s="18">
        <v>3.78</v>
      </c>
      <c r="I92">
        <v>4.3349696482426587</v>
      </c>
      <c r="J92" s="18">
        <v>4.42</v>
      </c>
      <c r="L92" t="s">
        <v>28</v>
      </c>
      <c r="M92" s="1" t="s">
        <v>14</v>
      </c>
      <c r="N92" t="str">
        <f t="shared" si="9"/>
        <v>-0.719376348033011</v>
      </c>
      <c r="O92" t="str">
        <f t="shared" si="10"/>
        <v>21.6</v>
      </c>
      <c r="P92" t="str">
        <f t="shared" si="11"/>
        <v>61.6229489873642</v>
      </c>
      <c r="Q92" t="str">
        <f t="shared" si="12"/>
        <v>18.9313204004275</v>
      </c>
      <c r="R92" t="str">
        <f t="shared" si="13"/>
        <v>0.68</v>
      </c>
      <c r="S92" t="str">
        <f t="shared" si="14"/>
        <v>3.78</v>
      </c>
      <c r="T92" t="str">
        <f t="shared" si="15"/>
        <v>4.33496964824266</v>
      </c>
      <c r="U92" t="str">
        <f t="shared" si="16"/>
        <v>4.42</v>
      </c>
    </row>
    <row r="93" spans="1:21" x14ac:dyDescent="0.25">
      <c r="A93" t="s">
        <v>28</v>
      </c>
      <c r="B93" s="1" t="s">
        <v>15</v>
      </c>
      <c r="C93">
        <v>14.870466483214523</v>
      </c>
      <c r="D93" s="18">
        <v>35.68</v>
      </c>
      <c r="E93">
        <v>59.701902275265894</v>
      </c>
      <c r="F93">
        <v>19.101625795413394</v>
      </c>
      <c r="G93" s="18">
        <v>0.97</v>
      </c>
      <c r="H93" s="18">
        <v>2.9</v>
      </c>
      <c r="I93">
        <v>6.7385896144701878</v>
      </c>
      <c r="J93" s="18">
        <v>4.74</v>
      </c>
      <c r="L93" t="s">
        <v>28</v>
      </c>
      <c r="M93" s="1" t="s">
        <v>15</v>
      </c>
      <c r="N93" t="str">
        <f t="shared" si="9"/>
        <v>14.8704664832145</v>
      </c>
      <c r="O93" t="str">
        <f t="shared" si="10"/>
        <v>35.68</v>
      </c>
      <c r="P93" t="str">
        <f t="shared" si="11"/>
        <v>59.7019022752659</v>
      </c>
      <c r="Q93" t="str">
        <f t="shared" si="12"/>
        <v>19.1016257954134</v>
      </c>
      <c r="R93" t="str">
        <f t="shared" si="13"/>
        <v>0.97</v>
      </c>
      <c r="S93" t="str">
        <f t="shared" si="14"/>
        <v>2.9</v>
      </c>
      <c r="T93" t="str">
        <f t="shared" si="15"/>
        <v>6.73858961447019</v>
      </c>
      <c r="U93" t="str">
        <f t="shared" si="16"/>
        <v>4.74</v>
      </c>
    </row>
    <row r="94" spans="1:21" x14ac:dyDescent="0.25">
      <c r="A94" t="s">
        <v>28</v>
      </c>
      <c r="B94" s="1" t="s">
        <v>16</v>
      </c>
      <c r="C94">
        <v>-0.35985720297294382</v>
      </c>
      <c r="D94" s="18">
        <v>35.21</v>
      </c>
      <c r="E94">
        <v>57.803784520009138</v>
      </c>
      <c r="F94">
        <v>19.130330367086419</v>
      </c>
      <c r="G94" s="18">
        <v>1.3</v>
      </c>
      <c r="H94" s="18">
        <v>2.93</v>
      </c>
      <c r="I94">
        <v>7.0229833855613073</v>
      </c>
      <c r="J94" s="18">
        <v>4.45</v>
      </c>
      <c r="L94" t="s">
        <v>28</v>
      </c>
      <c r="M94" s="1" t="s">
        <v>16</v>
      </c>
      <c r="N94" t="str">
        <f t="shared" si="9"/>
        <v>-0.359857202972944</v>
      </c>
      <c r="O94" t="str">
        <f t="shared" si="10"/>
        <v>35.21</v>
      </c>
      <c r="P94" t="str">
        <f t="shared" si="11"/>
        <v>57.8037845200091</v>
      </c>
      <c r="Q94" t="str">
        <f t="shared" si="12"/>
        <v>19.1303303670864</v>
      </c>
      <c r="R94" t="str">
        <f t="shared" si="13"/>
        <v>1.3</v>
      </c>
      <c r="S94" t="str">
        <f t="shared" si="14"/>
        <v>2.93</v>
      </c>
      <c r="T94" t="str">
        <f t="shared" si="15"/>
        <v>7.02298338556131</v>
      </c>
      <c r="U94" t="str">
        <f t="shared" si="16"/>
        <v>4.45</v>
      </c>
    </row>
    <row r="95" spans="1:21" x14ac:dyDescent="0.25">
      <c r="A95" t="s">
        <v>28</v>
      </c>
      <c r="B95" s="1" t="s">
        <v>17</v>
      </c>
      <c r="C95">
        <v>2.6497345960164367</v>
      </c>
      <c r="D95" s="18">
        <v>35.43</v>
      </c>
      <c r="E95">
        <v>56.6642568384502</v>
      </c>
      <c r="F95">
        <v>19.176393367598465</v>
      </c>
      <c r="G95" s="18">
        <v>1.02</v>
      </c>
      <c r="H95" s="18">
        <v>3.31</v>
      </c>
      <c r="I95">
        <v>7.0303642565278253</v>
      </c>
      <c r="J95" s="18">
        <v>4.43</v>
      </c>
      <c r="L95" t="s">
        <v>28</v>
      </c>
      <c r="M95" s="1" t="s">
        <v>17</v>
      </c>
      <c r="N95" t="str">
        <f t="shared" si="9"/>
        <v>2.64973459601644</v>
      </c>
      <c r="O95" t="str">
        <f t="shared" si="10"/>
        <v>35.43</v>
      </c>
      <c r="P95" t="str">
        <f t="shared" si="11"/>
        <v>56.6642568384502</v>
      </c>
      <c r="Q95" t="str">
        <f t="shared" si="12"/>
        <v>19.1763933675985</v>
      </c>
      <c r="R95" t="str">
        <f t="shared" si="13"/>
        <v>1.02</v>
      </c>
      <c r="S95" t="str">
        <f t="shared" si="14"/>
        <v>3.31</v>
      </c>
      <c r="T95" t="str">
        <f t="shared" si="15"/>
        <v>7.03036425652783</v>
      </c>
      <c r="U95" t="str">
        <f t="shared" si="16"/>
        <v>4.43</v>
      </c>
    </row>
    <row r="96" spans="1:21" x14ac:dyDescent="0.25">
      <c r="A96" t="s">
        <v>28</v>
      </c>
      <c r="B96" s="1" t="s">
        <v>18</v>
      </c>
      <c r="C96">
        <v>2.7655468539349219</v>
      </c>
      <c r="D96" s="18">
        <v>34.04</v>
      </c>
      <c r="E96">
        <v>56.665493718487035</v>
      </c>
      <c r="F96">
        <v>19.203651503136943</v>
      </c>
      <c r="G96" s="18">
        <v>0.82</v>
      </c>
      <c r="H96" s="18">
        <v>3.3</v>
      </c>
      <c r="I96">
        <v>6.9887254661215801</v>
      </c>
      <c r="J96" s="18">
        <v>4.3899999999999997</v>
      </c>
      <c r="L96" t="s">
        <v>28</v>
      </c>
      <c r="M96" s="1" t="s">
        <v>18</v>
      </c>
      <c r="N96" t="str">
        <f t="shared" si="9"/>
        <v>2.76554685393492</v>
      </c>
      <c r="O96" t="str">
        <f t="shared" si="10"/>
        <v>34.04</v>
      </c>
      <c r="P96" t="str">
        <f t="shared" si="11"/>
        <v>56.665493718487</v>
      </c>
      <c r="Q96" t="str">
        <f t="shared" si="12"/>
        <v>19.2036515031369</v>
      </c>
      <c r="R96" t="str">
        <f t="shared" si="13"/>
        <v>0.82</v>
      </c>
      <c r="S96" t="str">
        <f t="shared" si="14"/>
        <v>3.3</v>
      </c>
      <c r="T96" t="str">
        <f t="shared" si="15"/>
        <v>6.98872546612158</v>
      </c>
      <c r="U96" t="str">
        <f t="shared" si="16"/>
        <v>4.39</v>
      </c>
    </row>
    <row r="97" spans="1:21" x14ac:dyDescent="0.25">
      <c r="A97" t="s">
        <v>28</v>
      </c>
      <c r="B97" s="1" t="s">
        <v>19</v>
      </c>
      <c r="C97">
        <v>1.1950938643283611</v>
      </c>
      <c r="D97" s="18">
        <v>34.94</v>
      </c>
      <c r="E97">
        <v>53.530246104513047</v>
      </c>
      <c r="F97">
        <v>19.272450200406908</v>
      </c>
      <c r="G97" s="18">
        <v>0.73</v>
      </c>
      <c r="H97" s="18">
        <v>3.2</v>
      </c>
      <c r="I97">
        <v>7.2029213108195353</v>
      </c>
      <c r="J97" s="18">
        <v>4.0199999999999996</v>
      </c>
      <c r="L97" t="s">
        <v>28</v>
      </c>
      <c r="M97" s="1" t="s">
        <v>19</v>
      </c>
      <c r="N97" t="str">
        <f t="shared" si="9"/>
        <v>1.19509386432836</v>
      </c>
      <c r="O97" t="str">
        <f t="shared" si="10"/>
        <v>34.94</v>
      </c>
      <c r="P97" t="str">
        <f t="shared" si="11"/>
        <v>53.530246104513</v>
      </c>
      <c r="Q97" t="str">
        <f t="shared" si="12"/>
        <v>19.2724502004069</v>
      </c>
      <c r="R97" t="str">
        <f t="shared" si="13"/>
        <v>0.73</v>
      </c>
      <c r="S97" t="str">
        <f t="shared" si="14"/>
        <v>3.2</v>
      </c>
      <c r="T97" t="str">
        <f t="shared" si="15"/>
        <v>7.20292131081954</v>
      </c>
      <c r="U97" t="str">
        <f t="shared" si="16"/>
        <v>4.02</v>
      </c>
    </row>
    <row r="98" spans="1:21" x14ac:dyDescent="0.25">
      <c r="A98" t="s">
        <v>28</v>
      </c>
      <c r="B98" s="1" t="s">
        <v>20</v>
      </c>
      <c r="C98">
        <v>3.2052368176230259</v>
      </c>
      <c r="D98" s="18">
        <v>33.119999999999997</v>
      </c>
      <c r="E98">
        <v>53.756634062841044</v>
      </c>
      <c r="F98">
        <v>19.299779368620122</v>
      </c>
      <c r="G98" s="18" t="s">
        <v>197</v>
      </c>
      <c r="H98" s="18" t="s">
        <v>196</v>
      </c>
      <c r="I98">
        <v>7.1100149711450165</v>
      </c>
      <c r="J98" s="18" t="s">
        <v>195</v>
      </c>
      <c r="L98" t="s">
        <v>28</v>
      </c>
      <c r="M98" s="1" t="s">
        <v>20</v>
      </c>
      <c r="N98" t="str">
        <f t="shared" si="9"/>
        <v>3.20523681762303</v>
      </c>
      <c r="O98" t="str">
        <f t="shared" si="10"/>
        <v>33.12</v>
      </c>
      <c r="P98" t="str">
        <f t="shared" si="11"/>
        <v>53.756634062841</v>
      </c>
      <c r="Q98" t="str">
        <f t="shared" si="12"/>
        <v>19.2997793686201</v>
      </c>
      <c r="R98" t="str">
        <f t="shared" si="13"/>
        <v>1.60</v>
      </c>
      <c r="S98" t="str">
        <f t="shared" si="14"/>
        <v>3.17</v>
      </c>
      <c r="T98" t="str">
        <f t="shared" si="15"/>
        <v>7.11001497114502</v>
      </c>
      <c r="U98" t="str">
        <f t="shared" si="16"/>
        <v>3.81</v>
      </c>
    </row>
    <row r="99" spans="1:21" x14ac:dyDescent="0.25">
      <c r="A99" t="s">
        <v>28</v>
      </c>
      <c r="B99" s="1" t="s">
        <v>21</v>
      </c>
      <c r="C99">
        <v>4.0067981265425425</v>
      </c>
      <c r="D99" s="18" t="s">
        <v>200</v>
      </c>
      <c r="E99">
        <v>58.606238970991683</v>
      </c>
      <c r="F99">
        <v>19.252691372057505</v>
      </c>
      <c r="G99" s="18" t="s">
        <v>203</v>
      </c>
      <c r="H99" s="18" t="s">
        <v>202</v>
      </c>
      <c r="I99">
        <v>7.0852675079777505</v>
      </c>
      <c r="J99" s="18" t="s">
        <v>201</v>
      </c>
      <c r="L99" t="s">
        <v>28</v>
      </c>
      <c r="M99" s="1" t="s">
        <v>21</v>
      </c>
      <c r="N99" t="str">
        <f t="shared" si="9"/>
        <v>4.00679812654254</v>
      </c>
      <c r="O99" t="str">
        <f t="shared" si="10"/>
        <v>32.96</v>
      </c>
      <c r="P99" t="str">
        <f t="shared" si="11"/>
        <v>58.6062389709917</v>
      </c>
      <c r="Q99" t="str">
        <f t="shared" si="12"/>
        <v>19.2526913720575</v>
      </c>
      <c r="R99" t="str">
        <f t="shared" si="13"/>
        <v>1.54</v>
      </c>
      <c r="S99" t="str">
        <f t="shared" si="14"/>
        <v>3.11</v>
      </c>
      <c r="T99" t="str">
        <f t="shared" si="15"/>
        <v>7.08526750797775</v>
      </c>
      <c r="U99" t="str">
        <f t="shared" si="16"/>
        <v>4.02</v>
      </c>
    </row>
    <row r="100" spans="1:21" x14ac:dyDescent="0.25">
      <c r="A100" t="s">
        <v>28</v>
      </c>
      <c r="B100" s="1" t="s">
        <v>22</v>
      </c>
      <c r="C100">
        <v>0.7304187678132944</v>
      </c>
      <c r="D100" s="18" t="s">
        <v>206</v>
      </c>
      <c r="E100">
        <v>61.535220920979825</v>
      </c>
      <c r="F100">
        <v>19.211200462556782</v>
      </c>
      <c r="G100" s="18" t="s">
        <v>209</v>
      </c>
      <c r="H100" s="18" t="s">
        <v>208</v>
      </c>
      <c r="I100">
        <v>7.3101352086064191</v>
      </c>
      <c r="J100" s="18" t="s">
        <v>207</v>
      </c>
      <c r="L100" t="s">
        <v>28</v>
      </c>
      <c r="M100" s="1" t="s">
        <v>22</v>
      </c>
      <c r="N100" t="str">
        <f t="shared" si="9"/>
        <v>0.730418767813294</v>
      </c>
      <c r="O100" t="str">
        <f t="shared" si="10"/>
        <v>33.17</v>
      </c>
      <c r="P100" t="str">
        <f t="shared" si="11"/>
        <v>61.5352209209798</v>
      </c>
      <c r="Q100" t="str">
        <f t="shared" si="12"/>
        <v>19.2112004625568</v>
      </c>
      <c r="R100" t="str">
        <f t="shared" si="13"/>
        <v>1.64</v>
      </c>
      <c r="S100" t="str">
        <f t="shared" si="14"/>
        <v>3.09</v>
      </c>
      <c r="T100" t="str">
        <f t="shared" si="15"/>
        <v>7.31013520860642</v>
      </c>
      <c r="U100" t="str">
        <f t="shared" si="16"/>
        <v>4.25</v>
      </c>
    </row>
    <row r="101" spans="1:21" x14ac:dyDescent="0.25">
      <c r="A101" t="s">
        <v>28</v>
      </c>
      <c r="B101" s="1" t="s">
        <v>23</v>
      </c>
      <c r="C101">
        <v>0.49144175569127224</v>
      </c>
      <c r="D101" s="19">
        <v>34.19</v>
      </c>
      <c r="E101">
        <v>53.436684402621772</v>
      </c>
      <c r="F101">
        <v>19.357215068628218</v>
      </c>
      <c r="G101" s="18">
        <v>1.1000000000000001</v>
      </c>
      <c r="H101" s="19">
        <v>3.13</v>
      </c>
      <c r="I101">
        <v>7.4490341902974047</v>
      </c>
      <c r="J101" s="19">
        <v>4.33</v>
      </c>
      <c r="L101" t="s">
        <v>28</v>
      </c>
      <c r="M101" s="1" t="s">
        <v>23</v>
      </c>
      <c r="N101" t="str">
        <f t="shared" si="9"/>
        <v>0.491441755691272</v>
      </c>
      <c r="O101" t="str">
        <f t="shared" si="10"/>
        <v>34.19</v>
      </c>
      <c r="P101" t="str">
        <f t="shared" si="11"/>
        <v>53.4366844026218</v>
      </c>
      <c r="Q101" t="str">
        <f t="shared" si="12"/>
        <v>19.3572150686282</v>
      </c>
      <c r="R101" t="str">
        <f t="shared" si="13"/>
        <v>1.1</v>
      </c>
      <c r="S101" t="str">
        <f t="shared" si="14"/>
        <v>3.13</v>
      </c>
      <c r="T101" t="str">
        <f t="shared" si="15"/>
        <v>7.4490341902974</v>
      </c>
      <c r="U101" t="str">
        <f t="shared" si="16"/>
        <v>4.33</v>
      </c>
    </row>
    <row r="102" spans="1:21" x14ac:dyDescent="0.25">
      <c r="A102" t="s">
        <v>29</v>
      </c>
      <c r="B102" s="1" t="s">
        <v>4</v>
      </c>
      <c r="C102">
        <v>0.52025240569599962</v>
      </c>
      <c r="D102" s="18">
        <v>23.65</v>
      </c>
      <c r="E102">
        <v>63.09059345906023</v>
      </c>
      <c r="F102">
        <v>20.428953151821162</v>
      </c>
      <c r="G102" s="18">
        <v>3.4</v>
      </c>
      <c r="H102" s="18">
        <v>1.54</v>
      </c>
      <c r="I102">
        <v>2.8212018763186295</v>
      </c>
      <c r="J102" s="18">
        <v>6.06</v>
      </c>
      <c r="L102" t="s">
        <v>29</v>
      </c>
      <c r="M102" s="1" t="s">
        <v>4</v>
      </c>
      <c r="N102" t="str">
        <f t="shared" si="9"/>
        <v>0.520252405696</v>
      </c>
      <c r="O102" t="str">
        <f t="shared" si="10"/>
        <v>23.65</v>
      </c>
      <c r="P102" t="str">
        <f t="shared" si="11"/>
        <v>63.0905934590602</v>
      </c>
      <c r="Q102" t="str">
        <f t="shared" si="12"/>
        <v>20.4289531518212</v>
      </c>
      <c r="R102" t="str">
        <f t="shared" si="13"/>
        <v>3.4</v>
      </c>
      <c r="S102" t="str">
        <f t="shared" si="14"/>
        <v>1.54</v>
      </c>
      <c r="T102" t="str">
        <f t="shared" si="15"/>
        <v>2.82120187631863</v>
      </c>
      <c r="U102" t="str">
        <f t="shared" si="16"/>
        <v>6.06</v>
      </c>
    </row>
    <row r="103" spans="1:21" x14ac:dyDescent="0.25">
      <c r="A103" t="s">
        <v>29</v>
      </c>
      <c r="B103" s="1" t="s">
        <v>5</v>
      </c>
      <c r="C103">
        <v>5.1839233399445117</v>
      </c>
      <c r="D103" s="18">
        <v>22.81</v>
      </c>
      <c r="E103">
        <v>63.665446021776319</v>
      </c>
      <c r="F103">
        <v>20.470423152619755</v>
      </c>
      <c r="G103" s="18">
        <v>3.59</v>
      </c>
      <c r="H103" s="18">
        <v>1.43</v>
      </c>
      <c r="I103">
        <v>2.6865215922687065</v>
      </c>
      <c r="J103" s="18">
        <v>6.05</v>
      </c>
      <c r="L103" t="s">
        <v>29</v>
      </c>
      <c r="M103" s="1" t="s">
        <v>5</v>
      </c>
      <c r="N103" t="str">
        <f t="shared" si="9"/>
        <v>5.18392333994451</v>
      </c>
      <c r="O103" t="str">
        <f t="shared" si="10"/>
        <v>22.81</v>
      </c>
      <c r="P103" t="str">
        <f t="shared" si="11"/>
        <v>63.6654460217763</v>
      </c>
      <c r="Q103" t="str">
        <f t="shared" si="12"/>
        <v>20.4704231526198</v>
      </c>
      <c r="R103" t="str">
        <f t="shared" si="13"/>
        <v>3.59</v>
      </c>
      <c r="S103" t="str">
        <f t="shared" si="14"/>
        <v>1.43</v>
      </c>
      <c r="T103" t="str">
        <f t="shared" si="15"/>
        <v>2.68652159226871</v>
      </c>
      <c r="U103" t="str">
        <f t="shared" si="16"/>
        <v>6.05</v>
      </c>
    </row>
    <row r="104" spans="1:21" x14ac:dyDescent="0.25">
      <c r="A104" t="s">
        <v>29</v>
      </c>
      <c r="B104" s="1" t="s">
        <v>6</v>
      </c>
      <c r="C104">
        <v>4.2764434657811661</v>
      </c>
      <c r="D104" s="18">
        <v>23.19</v>
      </c>
      <c r="E104">
        <v>65.776191399988207</v>
      </c>
      <c r="F104">
        <v>20.479682476228611</v>
      </c>
      <c r="G104" s="18">
        <v>3.86</v>
      </c>
      <c r="H104" s="18">
        <v>1.44</v>
      </c>
      <c r="I104">
        <v>2.6875126251523613</v>
      </c>
      <c r="J104" s="18">
        <v>6.07</v>
      </c>
      <c r="L104" t="s">
        <v>29</v>
      </c>
      <c r="M104" s="1" t="s">
        <v>6</v>
      </c>
      <c r="N104" t="str">
        <f t="shared" si="9"/>
        <v>4.27644346578117</v>
      </c>
      <c r="O104" t="str">
        <f t="shared" si="10"/>
        <v>23.19</v>
      </c>
      <c r="P104" t="str">
        <f t="shared" si="11"/>
        <v>65.7761913999882</v>
      </c>
      <c r="Q104" t="str">
        <f t="shared" si="12"/>
        <v>20.4796824762286</v>
      </c>
      <c r="R104" t="str">
        <f t="shared" si="13"/>
        <v>3.86</v>
      </c>
      <c r="S104" t="str">
        <f t="shared" si="14"/>
        <v>1.44</v>
      </c>
      <c r="T104" t="str">
        <f t="shared" si="15"/>
        <v>2.68751262515236</v>
      </c>
      <c r="U104" t="str">
        <f t="shared" si="16"/>
        <v>6.07</v>
      </c>
    </row>
    <row r="105" spans="1:21" x14ac:dyDescent="0.25">
      <c r="A105" t="s">
        <v>29</v>
      </c>
      <c r="B105" s="1" t="s">
        <v>7</v>
      </c>
      <c r="C105">
        <v>4.3353274604600518</v>
      </c>
      <c r="D105" s="18">
        <v>23.39</v>
      </c>
      <c r="E105">
        <v>66.520210751890701</v>
      </c>
      <c r="F105">
        <v>20.510874422428302</v>
      </c>
      <c r="G105" s="18">
        <v>4.01</v>
      </c>
      <c r="H105" s="18">
        <v>1.41</v>
      </c>
      <c r="I105">
        <v>2.5223920697439253</v>
      </c>
      <c r="J105" s="16">
        <v>6.13</v>
      </c>
      <c r="L105" t="s">
        <v>29</v>
      </c>
      <c r="M105" s="1" t="s">
        <v>7</v>
      </c>
      <c r="N105" t="str">
        <f t="shared" si="9"/>
        <v>4.33532746046005</v>
      </c>
      <c r="O105" t="str">
        <f t="shared" si="10"/>
        <v>23.39</v>
      </c>
      <c r="P105" t="str">
        <f t="shared" si="11"/>
        <v>66.5202107518907</v>
      </c>
      <c r="Q105" t="str">
        <f t="shared" si="12"/>
        <v>20.5108744224283</v>
      </c>
      <c r="R105" t="str">
        <f t="shared" si="13"/>
        <v>4.01</v>
      </c>
      <c r="S105" t="str">
        <f t="shared" si="14"/>
        <v>1.41</v>
      </c>
      <c r="T105" t="str">
        <f t="shared" si="15"/>
        <v>2.52239206974393</v>
      </c>
      <c r="U105" t="str">
        <f t="shared" si="16"/>
        <v>6.13</v>
      </c>
    </row>
    <row r="106" spans="1:21" x14ac:dyDescent="0.25">
      <c r="A106" t="s">
        <v>29</v>
      </c>
      <c r="B106" s="1" t="s">
        <v>8</v>
      </c>
      <c r="C106">
        <v>-1.0765409226340652</v>
      </c>
      <c r="D106" s="16">
        <v>24.49</v>
      </c>
      <c r="E106">
        <v>65.326576364128144</v>
      </c>
      <c r="F106">
        <v>20.518157527267153</v>
      </c>
      <c r="G106" s="18">
        <v>3.46</v>
      </c>
      <c r="H106" s="18">
        <v>1.47</v>
      </c>
      <c r="I106">
        <v>2.5272834938766215</v>
      </c>
      <c r="J106" s="18">
        <v>6.19</v>
      </c>
      <c r="L106" t="s">
        <v>29</v>
      </c>
      <c r="M106" s="1" t="s">
        <v>8</v>
      </c>
      <c r="N106" t="str">
        <f t="shared" si="9"/>
        <v>-1.07654092263407</v>
      </c>
      <c r="O106" t="str">
        <f t="shared" si="10"/>
        <v>24.49</v>
      </c>
      <c r="P106" t="str">
        <f t="shared" si="11"/>
        <v>65.3265763641281</v>
      </c>
      <c r="Q106" t="str">
        <f t="shared" si="12"/>
        <v>20.5181575272672</v>
      </c>
      <c r="R106" t="str">
        <f t="shared" si="13"/>
        <v>3.46</v>
      </c>
      <c r="S106" t="str">
        <f t="shared" si="14"/>
        <v>1.47</v>
      </c>
      <c r="T106" t="str">
        <f t="shared" si="15"/>
        <v>2.52728349387662</v>
      </c>
      <c r="U106" t="str">
        <f t="shared" si="16"/>
        <v>6.19</v>
      </c>
    </row>
    <row r="107" spans="1:21" x14ac:dyDescent="0.25">
      <c r="A107" t="s">
        <v>29</v>
      </c>
      <c r="B107" s="1" t="s">
        <v>9</v>
      </c>
      <c r="C107">
        <v>3.6747077789624063</v>
      </c>
      <c r="D107" s="18">
        <v>23.58</v>
      </c>
      <c r="E107">
        <v>64.626275919216496</v>
      </c>
      <c r="F107">
        <v>20.565023394932989</v>
      </c>
      <c r="G107" s="18">
        <v>3.7</v>
      </c>
      <c r="H107" s="18">
        <v>1.41</v>
      </c>
      <c r="I107">
        <v>2.5867585150057311</v>
      </c>
      <c r="J107" s="18">
        <v>6.24</v>
      </c>
      <c r="L107" t="s">
        <v>29</v>
      </c>
      <c r="M107" s="1" t="s">
        <v>9</v>
      </c>
      <c r="N107" t="str">
        <f t="shared" si="9"/>
        <v>3.67470777896241</v>
      </c>
      <c r="O107" t="str">
        <f t="shared" si="10"/>
        <v>23.58</v>
      </c>
      <c r="P107" t="str">
        <f t="shared" si="11"/>
        <v>64.6262759192165</v>
      </c>
      <c r="Q107" t="str">
        <f t="shared" si="12"/>
        <v>20.565023394933</v>
      </c>
      <c r="R107" t="str">
        <f t="shared" si="13"/>
        <v>3.7</v>
      </c>
      <c r="S107" t="str">
        <f t="shared" si="14"/>
        <v>1.41</v>
      </c>
      <c r="T107" t="str">
        <f t="shared" si="15"/>
        <v>2.58675851500573</v>
      </c>
      <c r="U107" t="str">
        <f t="shared" si="16"/>
        <v>6.24</v>
      </c>
    </row>
    <row r="108" spans="1:21" x14ac:dyDescent="0.25">
      <c r="A108" t="s">
        <v>29</v>
      </c>
      <c r="B108" s="1" t="s">
        <v>10</v>
      </c>
      <c r="C108">
        <v>3.4346222716512576</v>
      </c>
      <c r="D108" s="18">
        <v>23.79</v>
      </c>
      <c r="E108">
        <v>65.16393316397432</v>
      </c>
      <c r="F108">
        <v>20.590507885710398</v>
      </c>
      <c r="G108" s="18">
        <v>3.98</v>
      </c>
      <c r="H108" s="18">
        <v>1.62</v>
      </c>
      <c r="I108">
        <v>2.6537579571221119</v>
      </c>
      <c r="J108" s="18">
        <v>6.23</v>
      </c>
      <c r="L108" t="s">
        <v>29</v>
      </c>
      <c r="M108" s="1" t="s">
        <v>10</v>
      </c>
      <c r="N108" t="str">
        <f t="shared" si="9"/>
        <v>3.43462227165126</v>
      </c>
      <c r="O108" t="str">
        <f t="shared" si="10"/>
        <v>23.79</v>
      </c>
      <c r="P108" t="str">
        <f t="shared" si="11"/>
        <v>65.1639331639743</v>
      </c>
      <c r="Q108" t="str">
        <f t="shared" si="12"/>
        <v>20.5905078857104</v>
      </c>
      <c r="R108" t="str">
        <f t="shared" si="13"/>
        <v>3.98</v>
      </c>
      <c r="S108" t="str">
        <f t="shared" si="14"/>
        <v>1.62</v>
      </c>
      <c r="T108" t="str">
        <f t="shared" si="15"/>
        <v>2.65375795712211</v>
      </c>
      <c r="U108" t="str">
        <f t="shared" si="16"/>
        <v>6.23</v>
      </c>
    </row>
    <row r="109" spans="1:21" x14ac:dyDescent="0.25">
      <c r="A109" t="s">
        <v>29</v>
      </c>
      <c r="B109" s="1" t="s">
        <v>11</v>
      </c>
      <c r="C109">
        <v>3.0887784054689873</v>
      </c>
      <c r="D109" s="18">
        <v>23.8</v>
      </c>
      <c r="E109">
        <v>65.431303625649633</v>
      </c>
      <c r="F109">
        <v>20.61683359386052</v>
      </c>
      <c r="G109" s="18">
        <v>4.0199999999999996</v>
      </c>
      <c r="H109" s="18">
        <v>1.34</v>
      </c>
      <c r="I109">
        <v>2.5337891932006231</v>
      </c>
      <c r="J109" s="18">
        <v>6.24</v>
      </c>
      <c r="L109" t="s">
        <v>29</v>
      </c>
      <c r="M109" s="1" t="s">
        <v>11</v>
      </c>
      <c r="N109" t="str">
        <f t="shared" si="9"/>
        <v>3.08877840546899</v>
      </c>
      <c r="O109" t="str">
        <f t="shared" si="10"/>
        <v>23.8</v>
      </c>
      <c r="P109" t="str">
        <f t="shared" si="11"/>
        <v>65.4313036256496</v>
      </c>
      <c r="Q109" t="str">
        <f t="shared" si="12"/>
        <v>20.6168335938605</v>
      </c>
      <c r="R109" t="str">
        <f t="shared" si="13"/>
        <v>4.02</v>
      </c>
      <c r="S109" t="str">
        <f t="shared" si="14"/>
        <v>1.34</v>
      </c>
      <c r="T109" t="str">
        <f t="shared" si="15"/>
        <v>2.53378919320062</v>
      </c>
      <c r="U109" t="str">
        <f t="shared" si="16"/>
        <v>6.24</v>
      </c>
    </row>
    <row r="110" spans="1:21" x14ac:dyDescent="0.25">
      <c r="A110" t="s">
        <v>29</v>
      </c>
      <c r="B110" s="1" t="s">
        <v>12</v>
      </c>
      <c r="C110">
        <v>1.6111181800896368</v>
      </c>
      <c r="D110" s="18">
        <v>22.5</v>
      </c>
      <c r="E110">
        <v>62.674547513340038</v>
      </c>
      <c r="F110">
        <v>20.67586173614718</v>
      </c>
      <c r="G110" s="18">
        <v>3.17</v>
      </c>
      <c r="H110" s="18">
        <v>1.6</v>
      </c>
      <c r="I110">
        <v>3.6882151124538893</v>
      </c>
      <c r="J110" s="18">
        <v>6.13</v>
      </c>
      <c r="L110" t="s">
        <v>29</v>
      </c>
      <c r="M110" s="1" t="s">
        <v>12</v>
      </c>
      <c r="N110" t="str">
        <f t="shared" si="9"/>
        <v>1.61111818008964</v>
      </c>
      <c r="O110" t="str">
        <f t="shared" si="10"/>
        <v>22.5</v>
      </c>
      <c r="P110" t="str">
        <f t="shared" si="11"/>
        <v>62.67454751334</v>
      </c>
      <c r="Q110" t="str">
        <f t="shared" si="12"/>
        <v>20.6758617361472</v>
      </c>
      <c r="R110" t="str">
        <f t="shared" si="13"/>
        <v>3.17</v>
      </c>
      <c r="S110" t="str">
        <f t="shared" si="14"/>
        <v>1.6</v>
      </c>
      <c r="T110" t="str">
        <f t="shared" si="15"/>
        <v>3.68821511245389</v>
      </c>
      <c r="U110" t="str">
        <f t="shared" si="16"/>
        <v>6.13</v>
      </c>
    </row>
    <row r="111" spans="1:21" x14ac:dyDescent="0.25">
      <c r="A111" t="s">
        <v>29</v>
      </c>
      <c r="B111" s="1" t="s">
        <v>13</v>
      </c>
      <c r="C111">
        <v>-2.6005556758182844</v>
      </c>
      <c r="D111" s="18">
        <v>22.93</v>
      </c>
      <c r="E111">
        <v>60.790172966692083</v>
      </c>
      <c r="F111">
        <v>20.680039333075833</v>
      </c>
      <c r="G111" s="18">
        <v>3.12</v>
      </c>
      <c r="H111" s="18">
        <v>2.08</v>
      </c>
      <c r="I111">
        <v>4.2629952649566389</v>
      </c>
      <c r="J111" s="18">
        <v>5.96</v>
      </c>
      <c r="L111" t="s">
        <v>29</v>
      </c>
      <c r="M111" s="1" t="s">
        <v>13</v>
      </c>
      <c r="N111" t="str">
        <f t="shared" si="9"/>
        <v>-2.60055567581828</v>
      </c>
      <c r="O111" t="str">
        <f t="shared" si="10"/>
        <v>22.93</v>
      </c>
      <c r="P111" t="str">
        <f t="shared" si="11"/>
        <v>60.7901729666921</v>
      </c>
      <c r="Q111" t="str">
        <f t="shared" si="12"/>
        <v>20.6800393330758</v>
      </c>
      <c r="R111" t="str">
        <f t="shared" si="13"/>
        <v>3.12</v>
      </c>
      <c r="S111" t="str">
        <f t="shared" si="14"/>
        <v>2.08</v>
      </c>
      <c r="T111" t="str">
        <f t="shared" si="15"/>
        <v>4.26299526495664</v>
      </c>
      <c r="U111" t="str">
        <f t="shared" si="16"/>
        <v>5.96</v>
      </c>
    </row>
    <row r="112" spans="1:21" x14ac:dyDescent="0.25">
      <c r="A112" t="s">
        <v>29</v>
      </c>
      <c r="B112" s="1" t="s">
        <v>14</v>
      </c>
      <c r="C112">
        <v>-2.2363583613375471</v>
      </c>
      <c r="D112" s="18">
        <v>24.72</v>
      </c>
      <c r="E112">
        <v>57.733603956282288</v>
      </c>
      <c r="F112">
        <v>20.709010644779642</v>
      </c>
      <c r="G112" s="18">
        <v>3.38</v>
      </c>
      <c r="H112" s="18">
        <v>1.93</v>
      </c>
      <c r="I112">
        <v>4.7102221536398101</v>
      </c>
      <c r="J112" s="18">
        <v>5.83</v>
      </c>
      <c r="L112" t="s">
        <v>29</v>
      </c>
      <c r="M112" s="1" t="s">
        <v>14</v>
      </c>
      <c r="N112" t="str">
        <f t="shared" si="9"/>
        <v>-2.23635836133755</v>
      </c>
      <c r="O112" t="str">
        <f t="shared" si="10"/>
        <v>24.72</v>
      </c>
      <c r="P112" t="str">
        <f t="shared" si="11"/>
        <v>57.7336039562823</v>
      </c>
      <c r="Q112" t="str">
        <f t="shared" si="12"/>
        <v>20.7090106447796</v>
      </c>
      <c r="R112" t="str">
        <f t="shared" si="13"/>
        <v>3.38</v>
      </c>
      <c r="S112" t="str">
        <f t="shared" si="14"/>
        <v>1.93</v>
      </c>
      <c r="T112" t="str">
        <f t="shared" si="15"/>
        <v>4.71022215363981</v>
      </c>
      <c r="U112" t="str">
        <f t="shared" si="16"/>
        <v>5.83</v>
      </c>
    </row>
    <row r="113" spans="1:21" x14ac:dyDescent="0.25">
      <c r="A113" t="s">
        <v>29</v>
      </c>
      <c r="B113" s="1" t="s">
        <v>15</v>
      </c>
      <c r="C113">
        <v>1.1392752532481889</v>
      </c>
      <c r="D113" s="18">
        <v>25.83</v>
      </c>
      <c r="E113">
        <v>54.493504702650696</v>
      </c>
      <c r="F113">
        <v>20.778096868754925</v>
      </c>
      <c r="G113" s="18">
        <v>3.32</v>
      </c>
      <c r="H113" s="18">
        <v>1.79</v>
      </c>
      <c r="I113">
        <v>4.6807838464198133</v>
      </c>
      <c r="J113" s="18">
        <v>5.7</v>
      </c>
      <c r="L113" t="s">
        <v>29</v>
      </c>
      <c r="M113" s="1" t="s">
        <v>15</v>
      </c>
      <c r="N113" t="str">
        <f t="shared" si="9"/>
        <v>1.13927525324819</v>
      </c>
      <c r="O113" t="str">
        <f t="shared" si="10"/>
        <v>25.83</v>
      </c>
      <c r="P113" t="str">
        <f t="shared" si="11"/>
        <v>54.4935047026507</v>
      </c>
      <c r="Q113" t="str">
        <f t="shared" si="12"/>
        <v>20.7780968687549</v>
      </c>
      <c r="R113" t="str">
        <f t="shared" si="13"/>
        <v>3.32</v>
      </c>
      <c r="S113" t="str">
        <f t="shared" si="14"/>
        <v>1.79</v>
      </c>
      <c r="T113" t="str">
        <f t="shared" si="15"/>
        <v>4.68078384641981</v>
      </c>
      <c r="U113" t="str">
        <f t="shared" si="16"/>
        <v>5.7</v>
      </c>
    </row>
    <row r="114" spans="1:21" x14ac:dyDescent="0.25">
      <c r="A114" t="s">
        <v>29</v>
      </c>
      <c r="B114" s="1" t="s">
        <v>16</v>
      </c>
      <c r="C114">
        <v>-0.29791848669657894</v>
      </c>
      <c r="D114" s="18">
        <v>24.53</v>
      </c>
      <c r="E114">
        <v>53.576674363784925</v>
      </c>
      <c r="F114">
        <v>20.792080958503448</v>
      </c>
      <c r="G114" s="18">
        <v>3.05</v>
      </c>
      <c r="H114" s="16">
        <v>1.83</v>
      </c>
      <c r="I114">
        <v>5.1406882624441348</v>
      </c>
      <c r="J114" s="18">
        <v>5.3</v>
      </c>
      <c r="L114" t="s">
        <v>29</v>
      </c>
      <c r="M114" s="1" t="s">
        <v>16</v>
      </c>
      <c r="N114" t="str">
        <f t="shared" si="9"/>
        <v>-0.297918486696579</v>
      </c>
      <c r="O114" t="str">
        <f t="shared" si="10"/>
        <v>24.53</v>
      </c>
      <c r="P114" t="str">
        <f t="shared" si="11"/>
        <v>53.5766743637849</v>
      </c>
      <c r="Q114" t="str">
        <f t="shared" si="12"/>
        <v>20.7920809585034</v>
      </c>
      <c r="R114" t="str">
        <f t="shared" si="13"/>
        <v>3.05</v>
      </c>
      <c r="S114" t="str">
        <f t="shared" si="14"/>
        <v>1.83</v>
      </c>
      <c r="T114" t="str">
        <f t="shared" si="15"/>
        <v>5.14068826244413</v>
      </c>
      <c r="U114" t="str">
        <f t="shared" si="16"/>
        <v>5.3</v>
      </c>
    </row>
    <row r="115" spans="1:21" x14ac:dyDescent="0.25">
      <c r="A115" t="s">
        <v>29</v>
      </c>
      <c r="B115" s="1" t="s">
        <v>17</v>
      </c>
      <c r="C115">
        <v>1.041667924433741</v>
      </c>
      <c r="D115" s="18">
        <v>25.33</v>
      </c>
      <c r="E115">
        <v>52.267313507764932</v>
      </c>
      <c r="F115">
        <v>20.827186356607484</v>
      </c>
      <c r="G115" s="18">
        <v>3.14</v>
      </c>
      <c r="H115" s="18">
        <v>2.39</v>
      </c>
      <c r="I115">
        <v>5.5062909474123805</v>
      </c>
      <c r="J115" s="18">
        <v>5.25</v>
      </c>
      <c r="L115" t="s">
        <v>29</v>
      </c>
      <c r="M115" s="1" t="s">
        <v>17</v>
      </c>
      <c r="N115" t="str">
        <f t="shared" si="9"/>
        <v>1.04166792443374</v>
      </c>
      <c r="O115" t="str">
        <f t="shared" si="10"/>
        <v>25.33</v>
      </c>
      <c r="P115" t="str">
        <f t="shared" si="11"/>
        <v>52.2673135077649</v>
      </c>
      <c r="Q115" t="str">
        <f t="shared" si="12"/>
        <v>20.8271863566075</v>
      </c>
      <c r="R115" t="str">
        <f t="shared" si="13"/>
        <v>3.14</v>
      </c>
      <c r="S115" t="str">
        <f t="shared" si="14"/>
        <v>2.39</v>
      </c>
      <c r="T115" t="str">
        <f t="shared" si="15"/>
        <v>5.50629094741238</v>
      </c>
      <c r="U115" t="str">
        <f t="shared" si="16"/>
        <v>5.25</v>
      </c>
    </row>
    <row r="116" spans="1:21" x14ac:dyDescent="0.25">
      <c r="A116" t="s">
        <v>29</v>
      </c>
      <c r="B116" s="1" t="s">
        <v>18</v>
      </c>
      <c r="C116">
        <v>1.9746759792134416</v>
      </c>
      <c r="D116" s="18">
        <v>26.15</v>
      </c>
      <c r="E116">
        <v>51.474384554781281</v>
      </c>
      <c r="F116">
        <v>20.862027576676937</v>
      </c>
      <c r="G116" s="18">
        <v>3.49</v>
      </c>
      <c r="H116" s="18">
        <v>2.36</v>
      </c>
      <c r="I116">
        <v>5.4367013225397081</v>
      </c>
      <c r="J116" s="18">
        <v>5.17</v>
      </c>
      <c r="L116" t="s">
        <v>29</v>
      </c>
      <c r="M116" s="1" t="s">
        <v>18</v>
      </c>
      <c r="N116" t="str">
        <f t="shared" si="9"/>
        <v>1.97467597921344</v>
      </c>
      <c r="O116" t="str">
        <f t="shared" si="10"/>
        <v>26.15</v>
      </c>
      <c r="P116" t="str">
        <f t="shared" si="11"/>
        <v>51.4743845547813</v>
      </c>
      <c r="Q116" t="str">
        <f t="shared" si="12"/>
        <v>20.8620275766769</v>
      </c>
      <c r="R116" t="str">
        <f t="shared" si="13"/>
        <v>3.49</v>
      </c>
      <c r="S116" t="str">
        <f t="shared" si="14"/>
        <v>2.36</v>
      </c>
      <c r="T116" t="str">
        <f t="shared" si="15"/>
        <v>5.43670132253971</v>
      </c>
      <c r="U116" t="str">
        <f t="shared" si="16"/>
        <v>5.17</v>
      </c>
    </row>
    <row r="117" spans="1:21" x14ac:dyDescent="0.25">
      <c r="A117" t="s">
        <v>29</v>
      </c>
      <c r="B117" s="1" t="s">
        <v>19</v>
      </c>
      <c r="C117">
        <v>4.950674825303726</v>
      </c>
      <c r="D117" s="18">
        <v>25.66</v>
      </c>
      <c r="E117">
        <v>51.484392885529708</v>
      </c>
      <c r="F117">
        <v>20.910153452576047</v>
      </c>
      <c r="G117" s="18">
        <v>3.41</v>
      </c>
      <c r="H117" s="18">
        <v>2.16</v>
      </c>
      <c r="I117">
        <v>5.1865145736772478</v>
      </c>
      <c r="J117" s="18">
        <v>5.0999999999999996</v>
      </c>
      <c r="L117" t="s">
        <v>29</v>
      </c>
      <c r="M117" s="1" t="s">
        <v>19</v>
      </c>
      <c r="N117" t="str">
        <f t="shared" si="9"/>
        <v>4.95067482530373</v>
      </c>
      <c r="O117" t="str">
        <f t="shared" si="10"/>
        <v>25.66</v>
      </c>
      <c r="P117" t="str">
        <f t="shared" si="11"/>
        <v>51.4843928855297</v>
      </c>
      <c r="Q117" t="str">
        <f t="shared" si="12"/>
        <v>20.910153452576</v>
      </c>
      <c r="R117" t="str">
        <f t="shared" si="13"/>
        <v>3.41</v>
      </c>
      <c r="S117" t="str">
        <f t="shared" si="14"/>
        <v>2.16</v>
      </c>
      <c r="T117" t="str">
        <f t="shared" si="15"/>
        <v>5.18651457367725</v>
      </c>
      <c r="U117" t="str">
        <f t="shared" si="16"/>
        <v>5.1</v>
      </c>
    </row>
    <row r="118" spans="1:21" x14ac:dyDescent="0.25">
      <c r="A118" t="s">
        <v>29</v>
      </c>
      <c r="B118" s="1" t="s">
        <v>20</v>
      </c>
      <c r="C118">
        <v>-0.12703448533349279</v>
      </c>
      <c r="D118" s="18" t="s">
        <v>229</v>
      </c>
      <c r="E118">
        <v>50.220215138207244</v>
      </c>
      <c r="F118">
        <v>20.933743373489616</v>
      </c>
      <c r="G118" s="18" t="s">
        <v>233</v>
      </c>
      <c r="H118" s="18" t="s">
        <v>231</v>
      </c>
      <c r="I118">
        <v>5.6362319576543491</v>
      </c>
      <c r="J118" s="18" t="s">
        <v>230</v>
      </c>
      <c r="L118" t="s">
        <v>29</v>
      </c>
      <c r="M118" s="1" t="s">
        <v>20</v>
      </c>
      <c r="N118" t="str">
        <f t="shared" si="9"/>
        <v>-0.127034485333493</v>
      </c>
      <c r="O118" t="str">
        <f t="shared" si="10"/>
        <v>23.86</v>
      </c>
      <c r="P118" t="str">
        <f t="shared" si="11"/>
        <v>50.2202151382072</v>
      </c>
      <c r="Q118" t="str">
        <f t="shared" si="12"/>
        <v>20.9337433734896</v>
      </c>
      <c r="R118" t="str">
        <f t="shared" si="13"/>
        <v>3.06</v>
      </c>
      <c r="S118" t="str">
        <f t="shared" si="14"/>
        <v>2.30</v>
      </c>
      <c r="T118" t="str">
        <f t="shared" si="15"/>
        <v>5.63623195765435</v>
      </c>
      <c r="U118" t="str">
        <f t="shared" si="16"/>
        <v>4.92</v>
      </c>
    </row>
    <row r="119" spans="1:21" x14ac:dyDescent="0.25">
      <c r="A119" t="s">
        <v>29</v>
      </c>
      <c r="B119" s="1" t="s">
        <v>21</v>
      </c>
      <c r="C119">
        <v>5.9725162618613226</v>
      </c>
      <c r="D119" s="18" t="s">
        <v>236</v>
      </c>
      <c r="E119">
        <v>53.07188364495358</v>
      </c>
      <c r="F119">
        <v>20.936523315278873</v>
      </c>
      <c r="G119" s="18" t="s">
        <v>238</v>
      </c>
      <c r="H119" s="18" t="s">
        <v>237</v>
      </c>
      <c r="I119">
        <v>5.4380899892542454</v>
      </c>
      <c r="J119" s="18" t="s">
        <v>210</v>
      </c>
      <c r="L119" t="s">
        <v>29</v>
      </c>
      <c r="M119" s="1" t="s">
        <v>21</v>
      </c>
      <c r="N119" t="str">
        <f t="shared" si="9"/>
        <v>5.97251626186132</v>
      </c>
      <c r="O119" t="str">
        <f t="shared" si="10"/>
        <v>24.72</v>
      </c>
      <c r="P119" t="str">
        <f t="shared" si="11"/>
        <v>53.0718836449536</v>
      </c>
      <c r="Q119" t="str">
        <f t="shared" si="12"/>
        <v>20.9365233152789</v>
      </c>
      <c r="R119" t="str">
        <f t="shared" si="13"/>
        <v>3.47</v>
      </c>
      <c r="S119" t="str">
        <f t="shared" si="14"/>
        <v>2.21</v>
      </c>
      <c r="T119" t="str">
        <f t="shared" si="15"/>
        <v>5.43808998925425</v>
      </c>
      <c r="U119" t="str">
        <f t="shared" si="16"/>
        <v>4.98</v>
      </c>
    </row>
    <row r="120" spans="1:21" x14ac:dyDescent="0.25">
      <c r="A120" t="s">
        <v>29</v>
      </c>
      <c r="B120" s="1" t="s">
        <v>22</v>
      </c>
      <c r="C120">
        <v>0.88326097268463466</v>
      </c>
      <c r="D120" s="18" t="s">
        <v>241</v>
      </c>
      <c r="E120">
        <v>52.614403024741343</v>
      </c>
      <c r="F120">
        <v>20.953974531467455</v>
      </c>
      <c r="G120" s="18" t="s">
        <v>244</v>
      </c>
      <c r="H120" s="18" t="s">
        <v>243</v>
      </c>
      <c r="I120">
        <v>5.3586797276198777</v>
      </c>
      <c r="J120" s="18" t="s">
        <v>242</v>
      </c>
      <c r="L120" t="s">
        <v>29</v>
      </c>
      <c r="M120" s="1" t="s">
        <v>22</v>
      </c>
      <c r="N120" t="str">
        <f t="shared" si="9"/>
        <v>0.883260972684635</v>
      </c>
      <c r="O120" t="str">
        <f t="shared" si="10"/>
        <v>25.36</v>
      </c>
      <c r="P120" t="str">
        <f t="shared" si="11"/>
        <v>52.6144030247413</v>
      </c>
      <c r="Q120" t="str">
        <f t="shared" si="12"/>
        <v>20.9539745314675</v>
      </c>
      <c r="R120" t="str">
        <f t="shared" si="13"/>
        <v>3.69</v>
      </c>
      <c r="S120" t="str">
        <f t="shared" si="14"/>
        <v>2.16</v>
      </c>
      <c r="T120" t="str">
        <f t="shared" si="15"/>
        <v>5.35867972761988</v>
      </c>
      <c r="U120" t="str">
        <f t="shared" si="16"/>
        <v>5.13</v>
      </c>
    </row>
    <row r="121" spans="1:21" x14ac:dyDescent="0.25">
      <c r="A121" t="s">
        <v>29</v>
      </c>
      <c r="B121" s="1" t="s">
        <v>23</v>
      </c>
      <c r="C121">
        <v>4.2957737903930848</v>
      </c>
      <c r="D121" s="16">
        <v>25.77</v>
      </c>
      <c r="E121">
        <v>53.853783629850568</v>
      </c>
      <c r="F121">
        <v>20.972752427415784</v>
      </c>
      <c r="G121" s="18">
        <v>3.91</v>
      </c>
      <c r="H121" s="18">
        <v>1.71</v>
      </c>
      <c r="I121">
        <v>4.9038645264657443</v>
      </c>
      <c r="J121" s="18">
        <v>5.34</v>
      </c>
      <c r="L121" t="s">
        <v>29</v>
      </c>
      <c r="M121" s="1" t="s">
        <v>23</v>
      </c>
      <c r="N121" t="str">
        <f t="shared" si="9"/>
        <v>4.29577379039308</v>
      </c>
      <c r="O121" t="str">
        <f t="shared" si="10"/>
        <v>25.77</v>
      </c>
      <c r="P121" t="str">
        <f t="shared" si="11"/>
        <v>53.8537836298506</v>
      </c>
      <c r="Q121" t="str">
        <f t="shared" si="12"/>
        <v>20.9727524274158</v>
      </c>
      <c r="R121" t="str">
        <f t="shared" si="13"/>
        <v>3.91</v>
      </c>
      <c r="S121" t="str">
        <f t="shared" si="14"/>
        <v>1.71</v>
      </c>
      <c r="T121" t="str">
        <f t="shared" si="15"/>
        <v>4.90386452646574</v>
      </c>
      <c r="U121" t="str">
        <f t="shared" si="16"/>
        <v>5.34</v>
      </c>
    </row>
    <row r="122" spans="1:21" x14ac:dyDescent="0.25">
      <c r="A122" t="s">
        <v>30</v>
      </c>
      <c r="B122" s="1" t="s">
        <v>4</v>
      </c>
      <c r="C122">
        <v>-3.7858293365270206</v>
      </c>
      <c r="D122" s="17">
        <v>17.86</v>
      </c>
      <c r="E122">
        <v>66.842760005824587</v>
      </c>
      <c r="F122">
        <v>18.896191785771663</v>
      </c>
      <c r="G122" s="18">
        <v>1.17</v>
      </c>
      <c r="H122" s="18">
        <v>3.25</v>
      </c>
      <c r="I122">
        <v>1.8587564238292973</v>
      </c>
      <c r="J122" s="17">
        <v>4.01</v>
      </c>
      <c r="L122" t="s">
        <v>30</v>
      </c>
      <c r="M122" s="1" t="s">
        <v>4</v>
      </c>
      <c r="N122" t="str">
        <f t="shared" si="9"/>
        <v>-3.78582933652702</v>
      </c>
      <c r="O122" t="str">
        <f t="shared" si="10"/>
        <v>17.86</v>
      </c>
      <c r="P122" t="str">
        <f t="shared" si="11"/>
        <v>66.8427600058246</v>
      </c>
      <c r="Q122" t="str">
        <f t="shared" si="12"/>
        <v>18.8961917857717</v>
      </c>
      <c r="R122" t="str">
        <f t="shared" si="13"/>
        <v>1.17</v>
      </c>
      <c r="S122" t="str">
        <f t="shared" si="14"/>
        <v>3.25</v>
      </c>
      <c r="T122" t="str">
        <f t="shared" si="15"/>
        <v>1.8587564238293</v>
      </c>
      <c r="U122" t="str">
        <f t="shared" si="16"/>
        <v>4.01</v>
      </c>
    </row>
    <row r="123" spans="1:21" x14ac:dyDescent="0.25">
      <c r="A123" t="s">
        <v>30</v>
      </c>
      <c r="B123" s="1" t="s">
        <v>5</v>
      </c>
      <c r="C123">
        <v>3.4958863780180316</v>
      </c>
      <c r="D123" s="17">
        <v>19.2</v>
      </c>
      <c r="E123">
        <v>71.392524267612956</v>
      </c>
      <c r="F123">
        <v>18.864703300430552</v>
      </c>
      <c r="G123" s="18">
        <v>1.23</v>
      </c>
      <c r="H123" s="18">
        <v>2.93</v>
      </c>
      <c r="I123">
        <v>1.8585912030273402</v>
      </c>
      <c r="J123" s="17">
        <v>4.1900000000000004</v>
      </c>
      <c r="L123" t="s">
        <v>30</v>
      </c>
      <c r="M123" s="1" t="s">
        <v>5</v>
      </c>
      <c r="N123" t="str">
        <f t="shared" si="9"/>
        <v>3.49588637801803</v>
      </c>
      <c r="O123" t="str">
        <f t="shared" si="10"/>
        <v>19.2</v>
      </c>
      <c r="P123" t="str">
        <f t="shared" si="11"/>
        <v>71.392524267613</v>
      </c>
      <c r="Q123" t="str">
        <f t="shared" si="12"/>
        <v>18.8647033004306</v>
      </c>
      <c r="R123" t="str">
        <f t="shared" si="13"/>
        <v>1.23</v>
      </c>
      <c r="S123" t="str">
        <f t="shared" si="14"/>
        <v>2.93</v>
      </c>
      <c r="T123" t="str">
        <f t="shared" si="15"/>
        <v>1.85859120302734</v>
      </c>
      <c r="U123" t="str">
        <f t="shared" si="16"/>
        <v>4.19</v>
      </c>
    </row>
    <row r="124" spans="1:21" x14ac:dyDescent="0.25">
      <c r="A124" t="s">
        <v>30</v>
      </c>
      <c r="B124" s="1" t="s">
        <v>6</v>
      </c>
      <c r="C124">
        <v>65.372104364431962</v>
      </c>
      <c r="D124" s="17">
        <v>19.04</v>
      </c>
      <c r="E124">
        <v>116.52471193006031</v>
      </c>
      <c r="F124">
        <v>18.877821018858864</v>
      </c>
      <c r="G124" s="18">
        <v>1.35</v>
      </c>
      <c r="H124" s="18">
        <v>2.83</v>
      </c>
      <c r="I124">
        <v>1.1531997809804873</v>
      </c>
      <c r="J124" s="17">
        <v>4.34</v>
      </c>
      <c r="L124" t="s">
        <v>30</v>
      </c>
      <c r="M124" s="1" t="s">
        <v>6</v>
      </c>
      <c r="N124" t="str">
        <f t="shared" si="9"/>
        <v>65.372104364432</v>
      </c>
      <c r="O124" t="str">
        <f t="shared" si="10"/>
        <v>19.04</v>
      </c>
      <c r="P124" t="str">
        <f t="shared" si="11"/>
        <v>116.52471193006</v>
      </c>
      <c r="Q124" t="str">
        <f t="shared" si="12"/>
        <v>18.8778210188589</v>
      </c>
      <c r="R124" t="str">
        <f t="shared" si="13"/>
        <v>1.35</v>
      </c>
      <c r="S124" t="str">
        <f t="shared" si="14"/>
        <v>2.83</v>
      </c>
      <c r="T124" t="str">
        <f t="shared" si="15"/>
        <v>1.15319978098049</v>
      </c>
      <c r="U124" t="str">
        <f t="shared" si="16"/>
        <v>4.34</v>
      </c>
    </row>
    <row r="125" spans="1:21" x14ac:dyDescent="0.25">
      <c r="A125" t="s">
        <v>30</v>
      </c>
      <c r="B125" s="1" t="s">
        <v>7</v>
      </c>
      <c r="C125">
        <v>-35.379633641075529</v>
      </c>
      <c r="D125" s="17">
        <v>19.09</v>
      </c>
      <c r="E125">
        <v>72.862639446150254</v>
      </c>
      <c r="F125">
        <v>18.91070781557362</v>
      </c>
      <c r="G125" s="18">
        <v>1.48</v>
      </c>
      <c r="H125" s="18">
        <v>2.66</v>
      </c>
      <c r="I125">
        <v>1.6895924878160142</v>
      </c>
      <c r="J125" s="17">
        <v>4.3499999999999996</v>
      </c>
      <c r="L125" t="s">
        <v>30</v>
      </c>
      <c r="M125" s="1" t="s">
        <v>7</v>
      </c>
      <c r="N125" t="str">
        <f t="shared" si="9"/>
        <v>-35.3796336410755</v>
      </c>
      <c r="O125" t="str">
        <f t="shared" si="10"/>
        <v>19.09</v>
      </c>
      <c r="P125" t="str">
        <f t="shared" si="11"/>
        <v>72.8626394461503</v>
      </c>
      <c r="Q125" t="str">
        <f t="shared" si="12"/>
        <v>18.9107078155736</v>
      </c>
      <c r="R125" t="str">
        <f t="shared" si="13"/>
        <v>1.48</v>
      </c>
      <c r="S125" t="str">
        <f t="shared" si="14"/>
        <v>2.66</v>
      </c>
      <c r="T125" t="str">
        <f t="shared" si="15"/>
        <v>1.68959248781601</v>
      </c>
      <c r="U125" t="str">
        <f t="shared" si="16"/>
        <v>4.35</v>
      </c>
    </row>
    <row r="126" spans="1:21" x14ac:dyDescent="0.25">
      <c r="A126" t="s">
        <v>30</v>
      </c>
      <c r="B126" s="1" t="s">
        <v>8</v>
      </c>
      <c r="C126">
        <v>2.0550767555637854</v>
      </c>
      <c r="D126" s="17">
        <v>18.739999999999998</v>
      </c>
      <c r="E126">
        <v>69.760863736057701</v>
      </c>
      <c r="F126">
        <v>18.974553121465519</v>
      </c>
      <c r="G126" s="18">
        <v>0.96</v>
      </c>
      <c r="H126" s="18">
        <v>3.01</v>
      </c>
      <c r="I126">
        <v>1.7979911199120975</v>
      </c>
      <c r="J126" s="17">
        <v>4.12</v>
      </c>
      <c r="L126" t="s">
        <v>30</v>
      </c>
      <c r="M126" s="1" t="s">
        <v>8</v>
      </c>
      <c r="N126" t="str">
        <f t="shared" si="9"/>
        <v>2.05507675556379</v>
      </c>
      <c r="O126" t="str">
        <f t="shared" si="10"/>
        <v>18.74</v>
      </c>
      <c r="P126" t="str">
        <f t="shared" si="11"/>
        <v>69.7608637360577</v>
      </c>
      <c r="Q126" t="str">
        <f t="shared" si="12"/>
        <v>18.9745531214655</v>
      </c>
      <c r="R126" t="str">
        <f t="shared" si="13"/>
        <v>0.96</v>
      </c>
      <c r="S126" t="str">
        <f t="shared" si="14"/>
        <v>3.01</v>
      </c>
      <c r="T126" t="str">
        <f t="shared" si="15"/>
        <v>1.7979911199121</v>
      </c>
      <c r="U126" t="str">
        <f t="shared" si="16"/>
        <v>4.12</v>
      </c>
    </row>
    <row r="127" spans="1:21" x14ac:dyDescent="0.25">
      <c r="A127" t="s">
        <v>30</v>
      </c>
      <c r="B127" s="1" t="s">
        <v>9</v>
      </c>
      <c r="C127">
        <v>-0.28568072705986425</v>
      </c>
      <c r="D127" s="17">
        <v>19.059999999999999</v>
      </c>
      <c r="E127">
        <v>71.506092382667191</v>
      </c>
      <c r="F127">
        <v>18.946982732574995</v>
      </c>
      <c r="G127" s="18">
        <v>0.89</v>
      </c>
      <c r="H127" s="16">
        <v>3.22</v>
      </c>
      <c r="I127">
        <v>2.020860954857485</v>
      </c>
      <c r="J127" s="17">
        <v>4.0199999999999996</v>
      </c>
      <c r="L127" t="s">
        <v>30</v>
      </c>
      <c r="M127" s="1" t="s">
        <v>9</v>
      </c>
      <c r="N127" t="str">
        <f t="shared" si="9"/>
        <v>-0.285680727059864</v>
      </c>
      <c r="O127" t="str">
        <f t="shared" si="10"/>
        <v>19.06</v>
      </c>
      <c r="P127" t="str">
        <f t="shared" si="11"/>
        <v>71.5060923826672</v>
      </c>
      <c r="Q127" t="str">
        <f t="shared" si="12"/>
        <v>18.946982732575</v>
      </c>
      <c r="R127" t="str">
        <f t="shared" si="13"/>
        <v>0.89</v>
      </c>
      <c r="S127" t="str">
        <f t="shared" si="14"/>
        <v>3.22</v>
      </c>
      <c r="T127" t="str">
        <f t="shared" si="15"/>
        <v>2.02086095485748</v>
      </c>
      <c r="U127" t="str">
        <f t="shared" si="16"/>
        <v>4.02</v>
      </c>
    </row>
    <row r="128" spans="1:21" x14ac:dyDescent="0.25">
      <c r="A128" t="s">
        <v>30</v>
      </c>
      <c r="B128" s="1" t="s">
        <v>10</v>
      </c>
      <c r="C128">
        <v>-4.3864064744394069</v>
      </c>
      <c r="D128" s="17">
        <v>20.059999999999999</v>
      </c>
      <c r="E128">
        <v>70.684966353866557</v>
      </c>
      <c r="F128">
        <v>18.913677292127243</v>
      </c>
      <c r="G128" s="18">
        <v>0.82</v>
      </c>
      <c r="H128" s="18">
        <v>2.78</v>
      </c>
      <c r="I128">
        <v>2.3587877616045656</v>
      </c>
      <c r="J128" s="17">
        <v>4.09</v>
      </c>
      <c r="L128" t="s">
        <v>30</v>
      </c>
      <c r="M128" s="1" t="s">
        <v>10</v>
      </c>
      <c r="N128" t="str">
        <f t="shared" si="9"/>
        <v>-4.38640647443941</v>
      </c>
      <c r="O128" t="str">
        <f t="shared" si="10"/>
        <v>20.06</v>
      </c>
      <c r="P128" t="str">
        <f t="shared" si="11"/>
        <v>70.6849663538666</v>
      </c>
      <c r="Q128" t="str">
        <f t="shared" si="12"/>
        <v>18.9136772921272</v>
      </c>
      <c r="R128" t="str">
        <f t="shared" si="13"/>
        <v>0.82</v>
      </c>
      <c r="S128" t="str">
        <f t="shared" si="14"/>
        <v>2.78</v>
      </c>
      <c r="T128" t="str">
        <f t="shared" si="15"/>
        <v>2.35878776160457</v>
      </c>
      <c r="U128" t="str">
        <f t="shared" si="16"/>
        <v>4.09</v>
      </c>
    </row>
    <row r="129" spans="1:21" x14ac:dyDescent="0.25">
      <c r="A129" t="s">
        <v>30</v>
      </c>
      <c r="B129" s="1" t="s">
        <v>11</v>
      </c>
      <c r="C129">
        <v>-6.4634240402615548</v>
      </c>
      <c r="D129" s="17">
        <v>21.42</v>
      </c>
      <c r="E129">
        <v>69.970477344606095</v>
      </c>
      <c r="F129">
        <v>18.85701916212626</v>
      </c>
      <c r="G129" s="18">
        <v>1.0900000000000001</v>
      </c>
      <c r="H129" s="18">
        <v>3.62</v>
      </c>
      <c r="I129">
        <v>2.208292298551497</v>
      </c>
      <c r="J129" s="17">
        <v>4.1399999999999997</v>
      </c>
      <c r="L129" t="s">
        <v>30</v>
      </c>
      <c r="M129" s="1" t="s">
        <v>11</v>
      </c>
      <c r="N129" t="str">
        <f t="shared" si="9"/>
        <v>-6.46342404026155</v>
      </c>
      <c r="O129" t="str">
        <f t="shared" si="10"/>
        <v>21.42</v>
      </c>
      <c r="P129" t="str">
        <f t="shared" si="11"/>
        <v>69.9704773446061</v>
      </c>
      <c r="Q129" t="str">
        <f t="shared" si="12"/>
        <v>18.8570191621263</v>
      </c>
      <c r="R129" t="str">
        <f t="shared" si="13"/>
        <v>1.09</v>
      </c>
      <c r="S129" t="str">
        <f t="shared" si="14"/>
        <v>3.62</v>
      </c>
      <c r="T129" t="str">
        <f t="shared" si="15"/>
        <v>2.2082922985515</v>
      </c>
      <c r="U129" t="str">
        <f t="shared" si="16"/>
        <v>4.14</v>
      </c>
    </row>
    <row r="130" spans="1:21" x14ac:dyDescent="0.25">
      <c r="A130" t="s">
        <v>30</v>
      </c>
      <c r="B130" s="1" t="s">
        <v>12</v>
      </c>
      <c r="C130">
        <v>0.78930804144999123</v>
      </c>
      <c r="D130" s="17">
        <v>20.53</v>
      </c>
      <c r="E130">
        <v>65.092569121405432</v>
      </c>
      <c r="F130">
        <v>18.937144258900226</v>
      </c>
      <c r="G130" s="18">
        <v>1.37</v>
      </c>
      <c r="H130" s="18">
        <v>3.97</v>
      </c>
      <c r="I130">
        <v>3.0252366926406458</v>
      </c>
      <c r="J130" s="17">
        <v>4.12</v>
      </c>
      <c r="L130" t="s">
        <v>30</v>
      </c>
      <c r="M130" s="1" t="s">
        <v>12</v>
      </c>
      <c r="N130" t="str">
        <f t="shared" si="9"/>
        <v>0.789308041449991</v>
      </c>
      <c r="O130" t="str">
        <f t="shared" si="10"/>
        <v>20.53</v>
      </c>
      <c r="P130" t="str">
        <f t="shared" si="11"/>
        <v>65.0925691214054</v>
      </c>
      <c r="Q130" t="str">
        <f t="shared" si="12"/>
        <v>18.9371442589002</v>
      </c>
      <c r="R130" t="str">
        <f t="shared" si="13"/>
        <v>1.37</v>
      </c>
      <c r="S130" t="str">
        <f t="shared" si="14"/>
        <v>3.97</v>
      </c>
      <c r="T130" t="str">
        <f t="shared" si="15"/>
        <v>3.02523669264065</v>
      </c>
      <c r="U130" t="str">
        <f t="shared" si="16"/>
        <v>4.12</v>
      </c>
    </row>
    <row r="131" spans="1:21" x14ac:dyDescent="0.25">
      <c r="A131" t="s">
        <v>30</v>
      </c>
      <c r="B131" s="1" t="s">
        <v>13</v>
      </c>
      <c r="C131">
        <v>-5.4009237900182461</v>
      </c>
      <c r="D131" s="17">
        <v>21.98</v>
      </c>
      <c r="E131">
        <v>68.016215519260754</v>
      </c>
      <c r="F131">
        <v>18.837686040532251</v>
      </c>
      <c r="G131" s="18">
        <v>1.01</v>
      </c>
      <c r="H131" s="18">
        <v>5.23</v>
      </c>
      <c r="I131">
        <v>3.5040487886838569</v>
      </c>
      <c r="J131" s="17">
        <v>4.13</v>
      </c>
      <c r="L131" t="s">
        <v>30</v>
      </c>
      <c r="M131" s="1" t="s">
        <v>13</v>
      </c>
      <c r="N131" t="str">
        <f t="shared" ref="N131:N194" si="17">SUBSTITUTE(C131,",",".")</f>
        <v>-5.40092379001825</v>
      </c>
      <c r="O131" t="str">
        <f t="shared" ref="O131:O194" si="18">SUBSTITUTE(D131,",",".")</f>
        <v>21.98</v>
      </c>
      <c r="P131" t="str">
        <f t="shared" ref="P131:P194" si="19">SUBSTITUTE(E131,",",".")</f>
        <v>68.0162155192608</v>
      </c>
      <c r="Q131" t="str">
        <f t="shared" ref="Q131:Q194" si="20">SUBSTITUTE(F131,",",".")</f>
        <v>18.8376860405323</v>
      </c>
      <c r="R131" t="str">
        <f t="shared" ref="R131:R194" si="21">SUBSTITUTE(G131,",",".")</f>
        <v>1.01</v>
      </c>
      <c r="S131" t="str">
        <f t="shared" ref="S131:S194" si="22">SUBSTITUTE(H131,",",".")</f>
        <v>5.23</v>
      </c>
      <c r="T131" t="str">
        <f t="shared" ref="T131:T194" si="23">SUBSTITUTE(I131,",",".")</f>
        <v>3.50404878868386</v>
      </c>
      <c r="U131" t="str">
        <f t="shared" ref="U131:U194" si="24">SUBSTITUTE(J131,",",".")</f>
        <v>4.13</v>
      </c>
    </row>
    <row r="132" spans="1:21" x14ac:dyDescent="0.25">
      <c r="A132" t="s">
        <v>30</v>
      </c>
      <c r="B132" s="1" t="s">
        <v>14</v>
      </c>
      <c r="C132">
        <v>-5.2133766123171821</v>
      </c>
      <c r="D132" s="17">
        <v>23.36</v>
      </c>
      <c r="E132">
        <v>58.883014122738473</v>
      </c>
      <c r="F132">
        <v>18.928337626556729</v>
      </c>
      <c r="G132" s="18">
        <v>0.88</v>
      </c>
      <c r="H132" s="18">
        <v>4.51</v>
      </c>
      <c r="I132">
        <v>3.0808693644921692</v>
      </c>
      <c r="J132" s="17">
        <v>3.92</v>
      </c>
      <c r="L132" t="s">
        <v>30</v>
      </c>
      <c r="M132" s="1" t="s">
        <v>14</v>
      </c>
      <c r="N132" t="str">
        <f t="shared" si="17"/>
        <v>-5.21337661231718</v>
      </c>
      <c r="O132" t="str">
        <f t="shared" si="18"/>
        <v>23.36</v>
      </c>
      <c r="P132" t="str">
        <f t="shared" si="19"/>
        <v>58.8830141227385</v>
      </c>
      <c r="Q132" t="str">
        <f t="shared" si="20"/>
        <v>18.9283376265567</v>
      </c>
      <c r="R132" t="str">
        <f t="shared" si="21"/>
        <v>0.88</v>
      </c>
      <c r="S132" t="str">
        <f t="shared" si="22"/>
        <v>4.51</v>
      </c>
      <c r="T132" t="str">
        <f t="shared" si="23"/>
        <v>3.08086936449217</v>
      </c>
      <c r="U132" t="str">
        <f t="shared" si="24"/>
        <v>3.92</v>
      </c>
    </row>
    <row r="133" spans="1:21" x14ac:dyDescent="0.25">
      <c r="A133" t="s">
        <v>30</v>
      </c>
      <c r="B133" s="1" t="s">
        <v>15</v>
      </c>
      <c r="C133">
        <v>-3.5224285871734269</v>
      </c>
      <c r="D133" s="17">
        <v>24.25</v>
      </c>
      <c r="E133">
        <v>58.052956989192751</v>
      </c>
      <c r="F133">
        <v>18.906675019854692</v>
      </c>
      <c r="G133" s="18">
        <v>0.82</v>
      </c>
      <c r="H133" s="18">
        <v>4.13</v>
      </c>
      <c r="I133">
        <v>3.1797730153020667</v>
      </c>
      <c r="J133" s="17">
        <v>3.79</v>
      </c>
      <c r="L133" t="s">
        <v>30</v>
      </c>
      <c r="M133" s="1" t="s">
        <v>15</v>
      </c>
      <c r="N133" t="str">
        <f t="shared" si="17"/>
        <v>-3.52242858717343</v>
      </c>
      <c r="O133" t="str">
        <f t="shared" si="18"/>
        <v>24.25</v>
      </c>
      <c r="P133" t="str">
        <f t="shared" si="19"/>
        <v>58.0529569891928</v>
      </c>
      <c r="Q133" t="str">
        <f t="shared" si="20"/>
        <v>18.9066750198547</v>
      </c>
      <c r="R133" t="str">
        <f t="shared" si="21"/>
        <v>0.82</v>
      </c>
      <c r="S133" t="str">
        <f t="shared" si="22"/>
        <v>4.13</v>
      </c>
      <c r="T133" t="str">
        <f t="shared" si="23"/>
        <v>3.17977301530207</v>
      </c>
      <c r="U133" t="str">
        <f t="shared" si="24"/>
        <v>3.79</v>
      </c>
    </row>
    <row r="134" spans="1:21" x14ac:dyDescent="0.25">
      <c r="A134" t="s">
        <v>30</v>
      </c>
      <c r="B134" s="1" t="s">
        <v>16</v>
      </c>
      <c r="C134">
        <v>-2.3346178337878709</v>
      </c>
      <c r="D134" s="17">
        <v>24.74</v>
      </c>
      <c r="E134">
        <v>56.079837159703828</v>
      </c>
      <c r="F134">
        <v>18.917631308745655</v>
      </c>
      <c r="G134" s="18">
        <v>1.1499999999999999</v>
      </c>
      <c r="H134" s="18">
        <v>4.16</v>
      </c>
      <c r="I134">
        <v>3.424152089957551</v>
      </c>
      <c r="J134" s="17">
        <v>4.3499999999999996</v>
      </c>
      <c r="L134" t="s">
        <v>30</v>
      </c>
      <c r="M134" s="1" t="s">
        <v>16</v>
      </c>
      <c r="N134" t="str">
        <f t="shared" si="17"/>
        <v>-2.33461783378787</v>
      </c>
      <c r="O134" t="str">
        <f t="shared" si="18"/>
        <v>24.74</v>
      </c>
      <c r="P134" t="str">
        <f t="shared" si="19"/>
        <v>56.0798371597038</v>
      </c>
      <c r="Q134" t="str">
        <f t="shared" si="20"/>
        <v>18.9176313087457</v>
      </c>
      <c r="R134" t="str">
        <f t="shared" si="21"/>
        <v>1.15</v>
      </c>
      <c r="S134" t="str">
        <f t="shared" si="22"/>
        <v>4.16</v>
      </c>
      <c r="T134" t="str">
        <f t="shared" si="23"/>
        <v>3.42415208995755</v>
      </c>
      <c r="U134" t="str">
        <f t="shared" si="24"/>
        <v>4.35</v>
      </c>
    </row>
    <row r="135" spans="1:21" x14ac:dyDescent="0.25">
      <c r="A135" t="s">
        <v>30</v>
      </c>
      <c r="B135" s="1" t="s">
        <v>17</v>
      </c>
      <c r="C135">
        <v>-3.4123890431324986</v>
      </c>
      <c r="D135" s="17">
        <v>25.41</v>
      </c>
      <c r="E135">
        <v>58.552782769798782</v>
      </c>
      <c r="F135">
        <v>18.839759326788414</v>
      </c>
      <c r="G135" s="18">
        <v>0.59</v>
      </c>
      <c r="H135" s="18">
        <v>4.66</v>
      </c>
      <c r="I135">
        <v>3.8424602290768335</v>
      </c>
      <c r="J135" s="17">
        <v>3.71</v>
      </c>
      <c r="L135" t="s">
        <v>30</v>
      </c>
      <c r="M135" s="1" t="s">
        <v>17</v>
      </c>
      <c r="N135" t="str">
        <f t="shared" si="17"/>
        <v>-3.4123890431325</v>
      </c>
      <c r="O135" t="str">
        <f t="shared" si="18"/>
        <v>25.41</v>
      </c>
      <c r="P135" t="str">
        <f t="shared" si="19"/>
        <v>58.5527827697988</v>
      </c>
      <c r="Q135" t="str">
        <f t="shared" si="20"/>
        <v>18.8397593267884</v>
      </c>
      <c r="R135" t="str">
        <f t="shared" si="21"/>
        <v>0.59</v>
      </c>
      <c r="S135" t="str">
        <f t="shared" si="22"/>
        <v>4.66</v>
      </c>
      <c r="T135" t="str">
        <f t="shared" si="23"/>
        <v>3.84246022907683</v>
      </c>
      <c r="U135" t="str">
        <f t="shared" si="24"/>
        <v>3.71</v>
      </c>
    </row>
    <row r="136" spans="1:21" x14ac:dyDescent="0.25">
      <c r="A136" t="s">
        <v>30</v>
      </c>
      <c r="B136" s="1" t="s">
        <v>18</v>
      </c>
      <c r="C136">
        <v>-0.28224700029797933</v>
      </c>
      <c r="D136" s="17">
        <v>26.01</v>
      </c>
      <c r="E136">
        <v>61.620037182579836</v>
      </c>
      <c r="F136">
        <v>18.785874386526935</v>
      </c>
      <c r="G136" s="18">
        <v>0.9</v>
      </c>
      <c r="H136" s="18">
        <v>4.99</v>
      </c>
      <c r="I136">
        <v>3.9452233166429975</v>
      </c>
      <c r="J136" s="17">
        <v>3.98</v>
      </c>
      <c r="L136" t="s">
        <v>30</v>
      </c>
      <c r="M136" s="1" t="s">
        <v>18</v>
      </c>
      <c r="N136" t="str">
        <f t="shared" si="17"/>
        <v>-0.282247000297979</v>
      </c>
      <c r="O136" t="str">
        <f t="shared" si="18"/>
        <v>26.01</v>
      </c>
      <c r="P136" t="str">
        <f t="shared" si="19"/>
        <v>61.6200371825798</v>
      </c>
      <c r="Q136" t="str">
        <f t="shared" si="20"/>
        <v>18.7858743865269</v>
      </c>
      <c r="R136" t="str">
        <f t="shared" si="21"/>
        <v>0.9</v>
      </c>
      <c r="S136" t="str">
        <f t="shared" si="22"/>
        <v>4.99</v>
      </c>
      <c r="T136" t="str">
        <f t="shared" si="23"/>
        <v>3.945223316643</v>
      </c>
      <c r="U136" t="str">
        <f t="shared" si="24"/>
        <v>3.98</v>
      </c>
    </row>
    <row r="137" spans="1:21" x14ac:dyDescent="0.25">
      <c r="A137" t="s">
        <v>30</v>
      </c>
      <c r="B137" s="1" t="s">
        <v>19</v>
      </c>
      <c r="C137">
        <v>2.1699490222744848</v>
      </c>
      <c r="D137" s="17">
        <v>26.38</v>
      </c>
      <c r="E137">
        <v>57.424035278326826</v>
      </c>
      <c r="F137">
        <v>18.877865942024556</v>
      </c>
      <c r="G137" s="17">
        <v>1</v>
      </c>
      <c r="H137" s="17">
        <v>4.04</v>
      </c>
      <c r="I137">
        <v>3.380322635535792</v>
      </c>
      <c r="J137" s="17">
        <v>3.95</v>
      </c>
      <c r="L137" t="s">
        <v>30</v>
      </c>
      <c r="M137" s="1" t="s">
        <v>19</v>
      </c>
      <c r="N137" t="str">
        <f t="shared" si="17"/>
        <v>2.16994902227448</v>
      </c>
      <c r="O137" t="str">
        <f t="shared" si="18"/>
        <v>26.38</v>
      </c>
      <c r="P137" t="str">
        <f t="shared" si="19"/>
        <v>57.4240352783268</v>
      </c>
      <c r="Q137" t="str">
        <f t="shared" si="20"/>
        <v>18.8778659420246</v>
      </c>
      <c r="R137" t="str">
        <f t="shared" si="21"/>
        <v>1</v>
      </c>
      <c r="S137" t="str">
        <f t="shared" si="22"/>
        <v>4.04</v>
      </c>
      <c r="T137" t="str">
        <f t="shared" si="23"/>
        <v>3.38032263553579</v>
      </c>
      <c r="U137" t="str">
        <f t="shared" si="24"/>
        <v>3.95</v>
      </c>
    </row>
    <row r="138" spans="1:21" x14ac:dyDescent="0.25">
      <c r="A138" t="s">
        <v>30</v>
      </c>
      <c r="B138" s="1" t="s">
        <v>20</v>
      </c>
      <c r="C138">
        <v>-1.6700887190672378</v>
      </c>
      <c r="D138" s="18" t="s">
        <v>264</v>
      </c>
      <c r="E138">
        <v>59.638788972142123</v>
      </c>
      <c r="F138">
        <v>18.823180787263968</v>
      </c>
      <c r="G138" s="17" t="s">
        <v>268</v>
      </c>
      <c r="H138" s="18" t="s">
        <v>266</v>
      </c>
      <c r="I138">
        <v>3.4982291892755613</v>
      </c>
      <c r="J138" s="17" t="s">
        <v>265</v>
      </c>
      <c r="L138" t="s">
        <v>30</v>
      </c>
      <c r="M138" s="1" t="s">
        <v>20</v>
      </c>
      <c r="N138" t="str">
        <f t="shared" si="17"/>
        <v>-1.67008871906724</v>
      </c>
      <c r="O138" t="str">
        <f t="shared" si="18"/>
        <v>25.58</v>
      </c>
      <c r="P138" t="str">
        <f t="shared" si="19"/>
        <v>59.6387889721421</v>
      </c>
      <c r="Q138" t="str">
        <f t="shared" si="20"/>
        <v>18.823180787264</v>
      </c>
      <c r="R138" t="str">
        <f t="shared" si="21"/>
        <v>1.02</v>
      </c>
      <c r="S138" t="str">
        <f t="shared" si="22"/>
        <v>4.28</v>
      </c>
      <c r="T138" t="str">
        <f t="shared" si="23"/>
        <v>3.49822918927556</v>
      </c>
      <c r="U138" t="str">
        <f t="shared" si="24"/>
        <v>3.75</v>
      </c>
    </row>
    <row r="139" spans="1:21" x14ac:dyDescent="0.25">
      <c r="A139" t="s">
        <v>30</v>
      </c>
      <c r="B139" s="1" t="s">
        <v>21</v>
      </c>
      <c r="C139">
        <v>8.2020743547328383</v>
      </c>
      <c r="D139" s="18" t="s">
        <v>271</v>
      </c>
      <c r="E139">
        <v>61.409978626872821</v>
      </c>
      <c r="F139">
        <v>18.872744982747562</v>
      </c>
      <c r="G139" s="18" t="s">
        <v>273</v>
      </c>
      <c r="H139" s="18" t="s">
        <v>272</v>
      </c>
      <c r="I139">
        <v>3.3058999764063528</v>
      </c>
      <c r="J139" s="17" t="s">
        <v>265</v>
      </c>
      <c r="L139" t="s">
        <v>30</v>
      </c>
      <c r="M139" s="1" t="s">
        <v>21</v>
      </c>
      <c r="N139" t="str">
        <f t="shared" si="17"/>
        <v>8.20207435473284</v>
      </c>
      <c r="O139" t="str">
        <f t="shared" si="18"/>
        <v>24.81</v>
      </c>
      <c r="P139" t="str">
        <f t="shared" si="19"/>
        <v>61.4099786268728</v>
      </c>
      <c r="Q139" t="str">
        <f t="shared" si="20"/>
        <v>18.8727449827476</v>
      </c>
      <c r="R139" t="str">
        <f t="shared" si="21"/>
        <v>0.77</v>
      </c>
      <c r="S139" t="str">
        <f t="shared" si="22"/>
        <v>3.79</v>
      </c>
      <c r="T139" t="str">
        <f t="shared" si="23"/>
        <v>3.30589997640635</v>
      </c>
      <c r="U139" t="str">
        <f t="shared" si="24"/>
        <v>3.75</v>
      </c>
    </row>
    <row r="140" spans="1:21" x14ac:dyDescent="0.25">
      <c r="A140" t="s">
        <v>30</v>
      </c>
      <c r="B140" s="1" t="s">
        <v>22</v>
      </c>
      <c r="C140">
        <v>4.5651417281885438</v>
      </c>
      <c r="D140" s="18" t="s">
        <v>277</v>
      </c>
      <c r="E140">
        <v>65.324371591950865</v>
      </c>
      <c r="F140">
        <v>18.8555921884311</v>
      </c>
      <c r="G140" s="18" t="s">
        <v>280</v>
      </c>
      <c r="H140" s="18" t="s">
        <v>279</v>
      </c>
      <c r="I140">
        <v>2.7907600157455592</v>
      </c>
      <c r="J140" s="17" t="s">
        <v>278</v>
      </c>
      <c r="L140" t="s">
        <v>30</v>
      </c>
      <c r="M140" s="1" t="s">
        <v>22</v>
      </c>
      <c r="N140" t="str">
        <f t="shared" si="17"/>
        <v>4.56514172818854</v>
      </c>
      <c r="O140" t="str">
        <f t="shared" si="18"/>
        <v>23.40</v>
      </c>
      <c r="P140" t="str">
        <f t="shared" si="19"/>
        <v>65.3243715919509</v>
      </c>
      <c r="Q140" t="str">
        <f t="shared" si="20"/>
        <v>18.8555921884311</v>
      </c>
      <c r="R140" t="str">
        <f t="shared" si="21"/>
        <v>0.80</v>
      </c>
      <c r="S140" t="str">
        <f t="shared" si="22"/>
        <v>3.73</v>
      </c>
      <c r="T140" t="str">
        <f t="shared" si="23"/>
        <v>2.79076001574556</v>
      </c>
      <c r="U140" t="str">
        <f t="shared" si="24"/>
        <v>3.82</v>
      </c>
    </row>
    <row r="141" spans="1:21" x14ac:dyDescent="0.25">
      <c r="A141" t="s">
        <v>30</v>
      </c>
      <c r="B141" s="1" t="s">
        <v>23</v>
      </c>
      <c r="C141">
        <v>-4.9109811480186787</v>
      </c>
      <c r="D141" s="17">
        <v>25.66</v>
      </c>
      <c r="E141">
        <v>64.425124368573151</v>
      </c>
      <c r="F141">
        <v>18.819097000508947</v>
      </c>
      <c r="G141" s="17" t="s">
        <v>232</v>
      </c>
      <c r="H141" s="17" t="s">
        <v>195</v>
      </c>
      <c r="I141">
        <v>3.2874606718332746</v>
      </c>
      <c r="J141" s="17">
        <v>4.0599999999999996</v>
      </c>
      <c r="L141" t="s">
        <v>30</v>
      </c>
      <c r="M141" s="1" t="s">
        <v>23</v>
      </c>
      <c r="N141" t="str">
        <f t="shared" si="17"/>
        <v>-4.91098114801868</v>
      </c>
      <c r="O141" t="str">
        <f t="shared" si="18"/>
        <v>25.66</v>
      </c>
      <c r="P141" t="str">
        <f t="shared" si="19"/>
        <v>64.4251243685732</v>
      </c>
      <c r="Q141" t="str">
        <f t="shared" si="20"/>
        <v>18.8190970005089</v>
      </c>
      <c r="R141" t="str">
        <f t="shared" si="21"/>
        <v>0.79</v>
      </c>
      <c r="S141" t="str">
        <f t="shared" si="22"/>
        <v>3.81</v>
      </c>
      <c r="T141" t="str">
        <f t="shared" si="23"/>
        <v>3.28746067183327</v>
      </c>
      <c r="U141" t="str">
        <f t="shared" si="24"/>
        <v>4.06</v>
      </c>
    </row>
    <row r="142" spans="1:21" x14ac:dyDescent="0.25">
      <c r="A142" t="s">
        <v>31</v>
      </c>
      <c r="B142" s="1" t="s">
        <v>4</v>
      </c>
      <c r="C142">
        <v>0.44660880556829263</v>
      </c>
      <c r="D142" s="17">
        <v>22.35</v>
      </c>
      <c r="E142">
        <v>64.592406445543361</v>
      </c>
      <c r="F142">
        <v>19.103389503262402</v>
      </c>
      <c r="G142" s="17">
        <v>1.65</v>
      </c>
      <c r="H142" s="17">
        <v>2.65</v>
      </c>
      <c r="I142">
        <v>2.3360090378113632</v>
      </c>
      <c r="J142" s="17">
        <v>4.3499999999999996</v>
      </c>
      <c r="L142" t="s">
        <v>31</v>
      </c>
      <c r="M142" s="1" t="s">
        <v>4</v>
      </c>
      <c r="N142" t="str">
        <f t="shared" si="17"/>
        <v>0.446608805568293</v>
      </c>
      <c r="O142" t="str">
        <f t="shared" si="18"/>
        <v>22.35</v>
      </c>
      <c r="P142" t="str">
        <f t="shared" si="19"/>
        <v>64.5924064455434</v>
      </c>
      <c r="Q142" t="str">
        <f t="shared" si="20"/>
        <v>19.1033895032624</v>
      </c>
      <c r="R142" t="str">
        <f t="shared" si="21"/>
        <v>1.65</v>
      </c>
      <c r="S142" t="str">
        <f t="shared" si="22"/>
        <v>2.65</v>
      </c>
      <c r="T142" t="str">
        <f t="shared" si="23"/>
        <v>2.33600903781136</v>
      </c>
      <c r="U142" t="str">
        <f t="shared" si="24"/>
        <v>4.35</v>
      </c>
    </row>
    <row r="143" spans="1:21" x14ac:dyDescent="0.25">
      <c r="A143" t="s">
        <v>31</v>
      </c>
      <c r="B143" s="1" t="s">
        <v>5</v>
      </c>
      <c r="C143">
        <v>4.6902575864315059</v>
      </c>
      <c r="D143" s="17">
        <v>21.7</v>
      </c>
      <c r="E143">
        <v>70.645512954363596</v>
      </c>
      <c r="F143">
        <v>19.05964764046179</v>
      </c>
      <c r="G143" s="17">
        <v>1.66</v>
      </c>
      <c r="H143" s="17">
        <v>2.78</v>
      </c>
      <c r="I143">
        <v>2.4596785211196548</v>
      </c>
      <c r="J143" s="17">
        <v>4.5</v>
      </c>
      <c r="L143" t="s">
        <v>31</v>
      </c>
      <c r="M143" s="1" t="s">
        <v>5</v>
      </c>
      <c r="N143" t="str">
        <f t="shared" si="17"/>
        <v>4.69025758643151</v>
      </c>
      <c r="O143" t="str">
        <f t="shared" si="18"/>
        <v>21.7</v>
      </c>
      <c r="P143" t="str">
        <f t="shared" si="19"/>
        <v>70.6455129543636</v>
      </c>
      <c r="Q143" t="str">
        <f t="shared" si="20"/>
        <v>19.0596476404618</v>
      </c>
      <c r="R143" t="str">
        <f t="shared" si="21"/>
        <v>1.66</v>
      </c>
      <c r="S143" t="str">
        <f t="shared" si="22"/>
        <v>2.78</v>
      </c>
      <c r="T143" t="str">
        <f t="shared" si="23"/>
        <v>2.45967852111965</v>
      </c>
      <c r="U143" t="str">
        <f t="shared" si="24"/>
        <v>4.5</v>
      </c>
    </row>
    <row r="144" spans="1:21" x14ac:dyDescent="0.25">
      <c r="A144" t="s">
        <v>31</v>
      </c>
      <c r="B144" s="1" t="s">
        <v>6</v>
      </c>
      <c r="C144">
        <v>-0.88999794178883906</v>
      </c>
      <c r="D144" s="17">
        <v>23.04</v>
      </c>
      <c r="E144">
        <v>70.99875718251127</v>
      </c>
      <c r="F144">
        <v>19.045720043448643</v>
      </c>
      <c r="G144" s="17">
        <v>1.92</v>
      </c>
      <c r="H144" s="17">
        <v>3.08</v>
      </c>
      <c r="I144">
        <v>2.6192884383623789</v>
      </c>
      <c r="J144" s="17">
        <v>4.5999999999999996</v>
      </c>
      <c r="L144" t="s">
        <v>31</v>
      </c>
      <c r="M144" s="1" t="s">
        <v>6</v>
      </c>
      <c r="N144" t="str">
        <f t="shared" si="17"/>
        <v>-0.889997941788839</v>
      </c>
      <c r="O144" t="str">
        <f t="shared" si="18"/>
        <v>23.04</v>
      </c>
      <c r="P144" t="str">
        <f t="shared" si="19"/>
        <v>70.9987571825113</v>
      </c>
      <c r="Q144" t="str">
        <f t="shared" si="20"/>
        <v>19.0457200434486</v>
      </c>
      <c r="R144" t="str">
        <f t="shared" si="21"/>
        <v>1.92</v>
      </c>
      <c r="S144" t="str">
        <f t="shared" si="22"/>
        <v>3.08</v>
      </c>
      <c r="T144" t="str">
        <f t="shared" si="23"/>
        <v>2.61928843836238</v>
      </c>
      <c r="U144" t="str">
        <f t="shared" si="24"/>
        <v>4.6</v>
      </c>
    </row>
    <row r="145" spans="1:21" x14ac:dyDescent="0.25">
      <c r="A145" t="s">
        <v>31</v>
      </c>
      <c r="B145" s="1" t="s">
        <v>7</v>
      </c>
      <c r="C145">
        <v>2.7137939457582716</v>
      </c>
      <c r="D145" s="17">
        <v>23.49</v>
      </c>
      <c r="E145">
        <v>72.127711026170729</v>
      </c>
      <c r="F145">
        <v>19.056720338792356</v>
      </c>
      <c r="G145" s="17">
        <v>2.25</v>
      </c>
      <c r="H145" s="17">
        <v>2.97</v>
      </c>
      <c r="I145">
        <v>2.6383843122369721</v>
      </c>
      <c r="J145" s="17">
        <v>4.6100000000000003</v>
      </c>
      <c r="L145" t="s">
        <v>31</v>
      </c>
      <c r="M145" s="1" t="s">
        <v>7</v>
      </c>
      <c r="N145" t="str">
        <f t="shared" si="17"/>
        <v>2.71379394575827</v>
      </c>
      <c r="O145" t="str">
        <f t="shared" si="18"/>
        <v>23.49</v>
      </c>
      <c r="P145" t="str">
        <f t="shared" si="19"/>
        <v>72.1277110261707</v>
      </c>
      <c r="Q145" t="str">
        <f t="shared" si="20"/>
        <v>19.0567203387924</v>
      </c>
      <c r="R145" t="str">
        <f t="shared" si="21"/>
        <v>2.25</v>
      </c>
      <c r="S145" t="str">
        <f t="shared" si="22"/>
        <v>2.97</v>
      </c>
      <c r="T145" t="str">
        <f t="shared" si="23"/>
        <v>2.63838431223697</v>
      </c>
      <c r="U145" t="str">
        <f t="shared" si="24"/>
        <v>4.61</v>
      </c>
    </row>
    <row r="146" spans="1:21" x14ac:dyDescent="0.25">
      <c r="A146" t="s">
        <v>31</v>
      </c>
      <c r="B146" s="1" t="s">
        <v>8</v>
      </c>
      <c r="C146">
        <v>0.60745482230633041</v>
      </c>
      <c r="D146" s="17">
        <v>23.89</v>
      </c>
      <c r="E146">
        <v>71.083363331728435</v>
      </c>
      <c r="F146">
        <v>19.077361503611325</v>
      </c>
      <c r="G146" s="17">
        <v>1.94</v>
      </c>
      <c r="H146" s="17">
        <v>3.03</v>
      </c>
      <c r="I146">
        <v>2.6997339566925609</v>
      </c>
      <c r="J146" s="17">
        <v>4.4400000000000004</v>
      </c>
      <c r="L146" t="s">
        <v>31</v>
      </c>
      <c r="M146" s="1" t="s">
        <v>8</v>
      </c>
      <c r="N146" t="str">
        <f t="shared" si="17"/>
        <v>0.60745482230633</v>
      </c>
      <c r="O146" t="str">
        <f t="shared" si="18"/>
        <v>23.89</v>
      </c>
      <c r="P146" t="str">
        <f t="shared" si="19"/>
        <v>71.0833633317284</v>
      </c>
      <c r="Q146" t="str">
        <f t="shared" si="20"/>
        <v>19.0773615036113</v>
      </c>
      <c r="R146" t="str">
        <f t="shared" si="21"/>
        <v>1.94</v>
      </c>
      <c r="S146" t="str">
        <f t="shared" si="22"/>
        <v>3.03</v>
      </c>
      <c r="T146" t="str">
        <f t="shared" si="23"/>
        <v>2.69973395669256</v>
      </c>
      <c r="U146" t="str">
        <f t="shared" si="24"/>
        <v>4.44</v>
      </c>
    </row>
    <row r="147" spans="1:21" x14ac:dyDescent="0.25">
      <c r="A147" t="s">
        <v>31</v>
      </c>
      <c r="B147" s="1" t="s">
        <v>9</v>
      </c>
      <c r="C147">
        <v>-0.70826650565016203</v>
      </c>
      <c r="D147" s="17">
        <v>23.81</v>
      </c>
      <c r="E147">
        <v>70.162867104724128</v>
      </c>
      <c r="F147">
        <v>19.083287744677264</v>
      </c>
      <c r="G147" s="17">
        <v>2.0099999999999998</v>
      </c>
      <c r="H147" s="17">
        <v>2.94</v>
      </c>
      <c r="I147">
        <v>2.5229840847585394</v>
      </c>
      <c r="J147" s="17">
        <v>4.43</v>
      </c>
      <c r="L147" t="s">
        <v>31</v>
      </c>
      <c r="M147" s="1" t="s">
        <v>9</v>
      </c>
      <c r="N147" t="str">
        <f t="shared" si="17"/>
        <v>-0.708266505650162</v>
      </c>
      <c r="O147" t="str">
        <f t="shared" si="18"/>
        <v>23.81</v>
      </c>
      <c r="P147" t="str">
        <f t="shared" si="19"/>
        <v>70.1628671047241</v>
      </c>
      <c r="Q147" t="str">
        <f t="shared" si="20"/>
        <v>19.0832877446773</v>
      </c>
      <c r="R147" t="str">
        <f t="shared" si="21"/>
        <v>2.01</v>
      </c>
      <c r="S147" t="str">
        <f t="shared" si="22"/>
        <v>2.94</v>
      </c>
      <c r="T147" t="str">
        <f t="shared" si="23"/>
        <v>2.52298408475854</v>
      </c>
      <c r="U147" t="str">
        <f t="shared" si="24"/>
        <v>4.43</v>
      </c>
    </row>
    <row r="148" spans="1:21" x14ac:dyDescent="0.25">
      <c r="A148" t="s">
        <v>31</v>
      </c>
      <c r="B148" s="1" t="s">
        <v>10</v>
      </c>
      <c r="C148">
        <v>-0.4107602530021302</v>
      </c>
      <c r="D148" s="17">
        <v>23.8</v>
      </c>
      <c r="E148">
        <v>70.253097867154708</v>
      </c>
      <c r="F148">
        <v>19.077886490241831</v>
      </c>
      <c r="G148" s="17">
        <v>2.02</v>
      </c>
      <c r="H148" s="17">
        <v>2.95</v>
      </c>
      <c r="I148">
        <v>2.6854088869513077</v>
      </c>
      <c r="J148" s="17">
        <v>4.5199999999999996</v>
      </c>
      <c r="L148" t="s">
        <v>31</v>
      </c>
      <c r="M148" s="1" t="s">
        <v>10</v>
      </c>
      <c r="N148" t="str">
        <f t="shared" si="17"/>
        <v>-0.41076025300213</v>
      </c>
      <c r="O148" t="str">
        <f t="shared" si="18"/>
        <v>23.8</v>
      </c>
      <c r="P148" t="str">
        <f t="shared" si="19"/>
        <v>70.2530978671547</v>
      </c>
      <c r="Q148" t="str">
        <f t="shared" si="20"/>
        <v>19.0778864902418</v>
      </c>
      <c r="R148" t="str">
        <f t="shared" si="21"/>
        <v>2.02</v>
      </c>
      <c r="S148" t="str">
        <f t="shared" si="22"/>
        <v>2.95</v>
      </c>
      <c r="T148" t="str">
        <f t="shared" si="23"/>
        <v>2.68540888695131</v>
      </c>
      <c r="U148" t="str">
        <f t="shared" si="24"/>
        <v>4.52</v>
      </c>
    </row>
    <row r="149" spans="1:21" x14ac:dyDescent="0.25">
      <c r="A149" t="s">
        <v>31</v>
      </c>
      <c r="B149" s="1" t="s">
        <v>11</v>
      </c>
      <c r="C149">
        <v>-2.2531279372896598</v>
      </c>
      <c r="D149" s="17">
        <v>24.07</v>
      </c>
      <c r="E149">
        <v>69.640062471134385</v>
      </c>
      <c r="F149">
        <v>19.063861896285626</v>
      </c>
      <c r="G149" s="17">
        <v>2.09</v>
      </c>
      <c r="H149" s="17">
        <v>3.02</v>
      </c>
      <c r="I149">
        <v>2.8049475403974644</v>
      </c>
      <c r="J149" s="17">
        <v>4.63</v>
      </c>
      <c r="L149" t="s">
        <v>31</v>
      </c>
      <c r="M149" s="1" t="s">
        <v>11</v>
      </c>
      <c r="N149" t="str">
        <f t="shared" si="17"/>
        <v>-2.25312793728966</v>
      </c>
      <c r="O149" t="str">
        <f t="shared" si="18"/>
        <v>24.07</v>
      </c>
      <c r="P149" t="str">
        <f t="shared" si="19"/>
        <v>69.6400624711344</v>
      </c>
      <c r="Q149" t="str">
        <f t="shared" si="20"/>
        <v>19.0638618962856</v>
      </c>
      <c r="R149" t="str">
        <f t="shared" si="21"/>
        <v>2.09</v>
      </c>
      <c r="S149" t="str">
        <f t="shared" si="22"/>
        <v>3.02</v>
      </c>
      <c r="T149" t="str">
        <f t="shared" si="23"/>
        <v>2.80494754039746</v>
      </c>
      <c r="U149" t="str">
        <f t="shared" si="24"/>
        <v>4.63</v>
      </c>
    </row>
    <row r="150" spans="1:21" x14ac:dyDescent="0.25">
      <c r="A150" t="s">
        <v>31</v>
      </c>
      <c r="B150" s="1" t="s">
        <v>12</v>
      </c>
      <c r="C150">
        <v>-0.59349158175415073</v>
      </c>
      <c r="D150" s="16">
        <v>24.48</v>
      </c>
      <c r="E150">
        <v>71.141278284804216</v>
      </c>
      <c r="F150">
        <v>19.036581575879868</v>
      </c>
      <c r="G150" s="18">
        <v>2</v>
      </c>
      <c r="H150" s="18">
        <v>2.89</v>
      </c>
      <c r="I150">
        <v>4.8625818479324856</v>
      </c>
      <c r="J150" s="18">
        <v>5.08</v>
      </c>
      <c r="L150" t="s">
        <v>31</v>
      </c>
      <c r="M150" s="1" t="s">
        <v>12</v>
      </c>
      <c r="N150" t="str">
        <f t="shared" si="17"/>
        <v>-0.593491581754151</v>
      </c>
      <c r="O150" t="str">
        <f t="shared" si="18"/>
        <v>24.48</v>
      </c>
      <c r="P150" t="str">
        <f t="shared" si="19"/>
        <v>71.1412782848042</v>
      </c>
      <c r="Q150" t="str">
        <f t="shared" si="20"/>
        <v>19.0365815758799</v>
      </c>
      <c r="R150" t="str">
        <f t="shared" si="21"/>
        <v>2</v>
      </c>
      <c r="S150" t="str">
        <f t="shared" si="22"/>
        <v>2.89</v>
      </c>
      <c r="T150" t="str">
        <f t="shared" si="23"/>
        <v>4.86258184793249</v>
      </c>
      <c r="U150" t="str">
        <f t="shared" si="24"/>
        <v>5.08</v>
      </c>
    </row>
    <row r="151" spans="1:21" x14ac:dyDescent="0.25">
      <c r="A151" t="s">
        <v>31</v>
      </c>
      <c r="B151" s="1" t="s">
        <v>13</v>
      </c>
      <c r="C151">
        <v>-7.5900004377948429</v>
      </c>
      <c r="D151" s="18">
        <v>26.7</v>
      </c>
      <c r="E151">
        <v>63.123712695792541</v>
      </c>
      <c r="F151">
        <v>19.077217823543755</v>
      </c>
      <c r="G151" s="18">
        <v>1.77</v>
      </c>
      <c r="H151" s="18">
        <v>2.9</v>
      </c>
      <c r="I151">
        <v>4.5176129674996464</v>
      </c>
      <c r="J151" s="18">
        <v>4.6100000000000003</v>
      </c>
      <c r="L151" t="s">
        <v>31</v>
      </c>
      <c r="M151" s="1" t="s">
        <v>13</v>
      </c>
      <c r="N151" t="str">
        <f t="shared" si="17"/>
        <v>-7.59000043779484</v>
      </c>
      <c r="O151" t="str">
        <f t="shared" si="18"/>
        <v>26.7</v>
      </c>
      <c r="P151" t="str">
        <f t="shared" si="19"/>
        <v>63.1237126957925</v>
      </c>
      <c r="Q151" t="str">
        <f t="shared" si="20"/>
        <v>19.0772178235438</v>
      </c>
      <c r="R151" t="str">
        <f t="shared" si="21"/>
        <v>1.77</v>
      </c>
      <c r="S151" t="str">
        <f t="shared" si="22"/>
        <v>2.9</v>
      </c>
      <c r="T151" t="str">
        <f t="shared" si="23"/>
        <v>4.51761296749965</v>
      </c>
      <c r="U151" t="str">
        <f t="shared" si="24"/>
        <v>4.61</v>
      </c>
    </row>
    <row r="152" spans="1:21" x14ac:dyDescent="0.25">
      <c r="A152" t="s">
        <v>31</v>
      </c>
      <c r="B152" s="1" t="s">
        <v>14</v>
      </c>
      <c r="C152">
        <v>-4.0537305533401629</v>
      </c>
      <c r="D152" s="18">
        <v>28.14</v>
      </c>
      <c r="E152">
        <v>58.91298193601471</v>
      </c>
      <c r="F152">
        <v>19.10487100076687</v>
      </c>
      <c r="G152" s="18">
        <v>2.06</v>
      </c>
      <c r="H152" s="18">
        <v>2.96</v>
      </c>
      <c r="I152">
        <v>4.3746564663604683</v>
      </c>
      <c r="J152" s="18">
        <v>4.4400000000000004</v>
      </c>
      <c r="L152" t="s">
        <v>31</v>
      </c>
      <c r="M152" s="1" t="s">
        <v>14</v>
      </c>
      <c r="N152" t="str">
        <f t="shared" si="17"/>
        <v>-4.05373055334016</v>
      </c>
      <c r="O152" t="str">
        <f t="shared" si="18"/>
        <v>28.14</v>
      </c>
      <c r="P152" t="str">
        <f t="shared" si="19"/>
        <v>58.9129819360147</v>
      </c>
      <c r="Q152" t="str">
        <f t="shared" si="20"/>
        <v>19.1048710007669</v>
      </c>
      <c r="R152" t="str">
        <f t="shared" si="21"/>
        <v>2.06</v>
      </c>
      <c r="S152" t="str">
        <f t="shared" si="22"/>
        <v>2.96</v>
      </c>
      <c r="T152" t="str">
        <f t="shared" si="23"/>
        <v>4.37465646636047</v>
      </c>
      <c r="U152" t="str">
        <f t="shared" si="24"/>
        <v>4.44</v>
      </c>
    </row>
    <row r="153" spans="1:21" x14ac:dyDescent="0.25">
      <c r="A153" t="s">
        <v>31</v>
      </c>
      <c r="B153" s="1" t="s">
        <v>15</v>
      </c>
      <c r="C153">
        <v>-2.7296941293707291</v>
      </c>
      <c r="D153" s="18">
        <v>29.55</v>
      </c>
      <c r="E153">
        <v>56.421599176143602</v>
      </c>
      <c r="F153">
        <v>19.120403999655341</v>
      </c>
      <c r="G153" s="18">
        <v>2.08</v>
      </c>
      <c r="H153" s="18">
        <v>2.93</v>
      </c>
      <c r="I153">
        <v>4.6527252345586083</v>
      </c>
      <c r="J153" s="18">
        <v>4.46</v>
      </c>
      <c r="L153" t="s">
        <v>31</v>
      </c>
      <c r="M153" s="1" t="s">
        <v>15</v>
      </c>
      <c r="N153" t="str">
        <f t="shared" si="17"/>
        <v>-2.72969412937073</v>
      </c>
      <c r="O153" t="str">
        <f t="shared" si="18"/>
        <v>29.55</v>
      </c>
      <c r="P153" t="str">
        <f t="shared" si="19"/>
        <v>56.4215991761436</v>
      </c>
      <c r="Q153" t="str">
        <f t="shared" si="20"/>
        <v>19.1204039996553</v>
      </c>
      <c r="R153" t="str">
        <f t="shared" si="21"/>
        <v>2.08</v>
      </c>
      <c r="S153" t="str">
        <f t="shared" si="22"/>
        <v>2.93</v>
      </c>
      <c r="T153" t="str">
        <f t="shared" si="23"/>
        <v>4.65272523455861</v>
      </c>
      <c r="U153" t="str">
        <f t="shared" si="24"/>
        <v>4.46</v>
      </c>
    </row>
    <row r="154" spans="1:21" x14ac:dyDescent="0.25">
      <c r="A154" t="s">
        <v>31</v>
      </c>
      <c r="B154" s="1" t="s">
        <v>16</v>
      </c>
      <c r="C154">
        <v>-0.98487592526406187</v>
      </c>
      <c r="D154" s="18">
        <v>28.15</v>
      </c>
      <c r="E154">
        <v>58.90023717203141</v>
      </c>
      <c r="F154">
        <v>19.067513352534331</v>
      </c>
      <c r="G154" s="18">
        <v>1.49</v>
      </c>
      <c r="H154" s="18">
        <v>3.52</v>
      </c>
      <c r="I154">
        <v>5.3221522504541268</v>
      </c>
      <c r="J154" s="18">
        <v>4.7</v>
      </c>
      <c r="L154" t="s">
        <v>31</v>
      </c>
      <c r="M154" s="1" t="s">
        <v>16</v>
      </c>
      <c r="N154" t="str">
        <f t="shared" si="17"/>
        <v>-0.984875925264062</v>
      </c>
      <c r="O154" t="str">
        <f t="shared" si="18"/>
        <v>28.15</v>
      </c>
      <c r="P154" t="str">
        <f t="shared" si="19"/>
        <v>58.9002371720314</v>
      </c>
      <c r="Q154" t="str">
        <f t="shared" si="20"/>
        <v>19.0675133525343</v>
      </c>
      <c r="R154" t="str">
        <f t="shared" si="21"/>
        <v>1.49</v>
      </c>
      <c r="S154" t="str">
        <f t="shared" si="22"/>
        <v>3.52</v>
      </c>
      <c r="T154" t="str">
        <f t="shared" si="23"/>
        <v>5.32215225045413</v>
      </c>
      <c r="U154" t="str">
        <f t="shared" si="24"/>
        <v>4.7</v>
      </c>
    </row>
    <row r="155" spans="1:21" x14ac:dyDescent="0.25">
      <c r="A155" t="s">
        <v>31</v>
      </c>
      <c r="B155" s="1" t="s">
        <v>17</v>
      </c>
      <c r="C155">
        <v>-1.4024743224602554</v>
      </c>
      <c r="D155" s="18">
        <v>28.83</v>
      </c>
      <c r="E155">
        <v>58.37688261242895</v>
      </c>
      <c r="F155">
        <v>19.062314484841934</v>
      </c>
      <c r="G155" s="18">
        <v>1.78</v>
      </c>
      <c r="H155" s="18">
        <v>3.18</v>
      </c>
      <c r="I155">
        <v>5.5995021519291504</v>
      </c>
      <c r="J155" s="18">
        <v>4.8499999999999996</v>
      </c>
      <c r="L155" t="s">
        <v>31</v>
      </c>
      <c r="M155" s="1" t="s">
        <v>17</v>
      </c>
      <c r="N155" t="str">
        <f t="shared" si="17"/>
        <v>-1.40247432246026</v>
      </c>
      <c r="O155" t="str">
        <f t="shared" si="18"/>
        <v>28.83</v>
      </c>
      <c r="P155" t="str">
        <f t="shared" si="19"/>
        <v>58.376882612429</v>
      </c>
      <c r="Q155" t="str">
        <f t="shared" si="20"/>
        <v>19.0623144848419</v>
      </c>
      <c r="R155" t="str">
        <f t="shared" si="21"/>
        <v>1.78</v>
      </c>
      <c r="S155" t="str">
        <f t="shared" si="22"/>
        <v>3.18</v>
      </c>
      <c r="T155" t="str">
        <f t="shared" si="23"/>
        <v>5.59950215192915</v>
      </c>
      <c r="U155" t="str">
        <f t="shared" si="24"/>
        <v>4.85</v>
      </c>
    </row>
    <row r="156" spans="1:21" x14ac:dyDescent="0.25">
      <c r="A156" t="s">
        <v>31</v>
      </c>
      <c r="B156" s="1" t="s">
        <v>18</v>
      </c>
      <c r="C156">
        <v>-1.3008904132034742</v>
      </c>
      <c r="D156" s="18">
        <v>29.75</v>
      </c>
      <c r="E156">
        <v>59.226172752575323</v>
      </c>
      <c r="F156">
        <v>19.034776638134893</v>
      </c>
      <c r="G156" s="18">
        <v>1.97</v>
      </c>
      <c r="H156" s="18">
        <v>3.42</v>
      </c>
      <c r="I156">
        <v>5.3174716868116656</v>
      </c>
      <c r="J156" s="18">
        <v>4.88</v>
      </c>
      <c r="L156" t="s">
        <v>31</v>
      </c>
      <c r="M156" s="1" t="s">
        <v>18</v>
      </c>
      <c r="N156" t="str">
        <f t="shared" si="17"/>
        <v>-1.30089041320347</v>
      </c>
      <c r="O156" t="str">
        <f t="shared" si="18"/>
        <v>29.75</v>
      </c>
      <c r="P156" t="str">
        <f t="shared" si="19"/>
        <v>59.2261727525753</v>
      </c>
      <c r="Q156" t="str">
        <f t="shared" si="20"/>
        <v>19.0347766381349</v>
      </c>
      <c r="R156" t="str">
        <f t="shared" si="21"/>
        <v>1.97</v>
      </c>
      <c r="S156" t="str">
        <f t="shared" si="22"/>
        <v>3.42</v>
      </c>
      <c r="T156" t="str">
        <f t="shared" si="23"/>
        <v>5.31747168681167</v>
      </c>
      <c r="U156" t="str">
        <f t="shared" si="24"/>
        <v>4.88</v>
      </c>
    </row>
    <row r="157" spans="1:21" x14ac:dyDescent="0.25">
      <c r="A157" t="s">
        <v>31</v>
      </c>
      <c r="B157" s="1" t="s">
        <v>19</v>
      </c>
      <c r="C157">
        <v>1.6744991824189153</v>
      </c>
      <c r="D157" s="18">
        <v>29.66</v>
      </c>
      <c r="E157">
        <v>58.364269311589467</v>
      </c>
      <c r="F157">
        <v>19.066042654018062</v>
      </c>
      <c r="G157" s="18">
        <v>1.73</v>
      </c>
      <c r="H157" s="18">
        <v>3.73</v>
      </c>
      <c r="I157">
        <v>4.9891407676368873</v>
      </c>
      <c r="J157" s="18">
        <v>4.88</v>
      </c>
      <c r="L157" t="s">
        <v>31</v>
      </c>
      <c r="M157" s="1" t="s">
        <v>19</v>
      </c>
      <c r="N157" t="str">
        <f t="shared" si="17"/>
        <v>1.67449918241892</v>
      </c>
      <c r="O157" t="str">
        <f t="shared" si="18"/>
        <v>29.66</v>
      </c>
      <c r="P157" t="str">
        <f t="shared" si="19"/>
        <v>58.3642693115895</v>
      </c>
      <c r="Q157" t="str">
        <f t="shared" si="20"/>
        <v>19.0660426540181</v>
      </c>
      <c r="R157" t="str">
        <f t="shared" si="21"/>
        <v>1.73</v>
      </c>
      <c r="S157" t="str">
        <f t="shared" si="22"/>
        <v>3.73</v>
      </c>
      <c r="T157" t="str">
        <f t="shared" si="23"/>
        <v>4.98914076763689</v>
      </c>
      <c r="U157" t="str">
        <f t="shared" si="24"/>
        <v>4.88</v>
      </c>
    </row>
    <row r="158" spans="1:21" x14ac:dyDescent="0.25">
      <c r="A158" t="s">
        <v>31</v>
      </c>
      <c r="B158" s="1" t="s">
        <v>20</v>
      </c>
      <c r="C158">
        <v>-1.4056682239173202</v>
      </c>
      <c r="D158" s="18" t="s">
        <v>299</v>
      </c>
      <c r="E158">
        <v>57.559468408936674</v>
      </c>
      <c r="F158">
        <v>19.065771470112026</v>
      </c>
      <c r="G158" s="18" t="s">
        <v>302</v>
      </c>
      <c r="H158" s="18" t="s">
        <v>301</v>
      </c>
      <c r="I158">
        <v>4.8627888660368788</v>
      </c>
      <c r="J158" s="18" t="s">
        <v>300</v>
      </c>
      <c r="L158" t="s">
        <v>31</v>
      </c>
      <c r="M158" s="1" t="s">
        <v>20</v>
      </c>
      <c r="N158" t="str">
        <f t="shared" si="17"/>
        <v>-1.40566822391732</v>
      </c>
      <c r="O158" t="str">
        <f t="shared" si="18"/>
        <v>28.52</v>
      </c>
      <c r="P158" t="str">
        <f t="shared" si="19"/>
        <v>57.5594684089367</v>
      </c>
      <c r="Q158" t="str">
        <f t="shared" si="20"/>
        <v>19.065771470112</v>
      </c>
      <c r="R158" t="str">
        <f t="shared" si="21"/>
        <v>1.68</v>
      </c>
      <c r="S158" t="str">
        <f t="shared" si="22"/>
        <v>3.31</v>
      </c>
      <c r="T158" t="str">
        <f t="shared" si="23"/>
        <v>4.86278886603688</v>
      </c>
      <c r="U158" t="str">
        <f t="shared" si="24"/>
        <v>5.18</v>
      </c>
    </row>
    <row r="159" spans="1:21" x14ac:dyDescent="0.25">
      <c r="A159" t="s">
        <v>31</v>
      </c>
      <c r="B159" s="1" t="s">
        <v>21</v>
      </c>
      <c r="C159">
        <v>6.1146049610256537</v>
      </c>
      <c r="D159" s="18" t="s">
        <v>306</v>
      </c>
      <c r="E159">
        <v>63.503690101175849</v>
      </c>
      <c r="F159">
        <v>19.026841603572411</v>
      </c>
      <c r="G159" s="18" t="s">
        <v>309</v>
      </c>
      <c r="H159" s="18" t="s">
        <v>308</v>
      </c>
      <c r="I159">
        <v>4.811091344966937</v>
      </c>
      <c r="J159" s="18" t="s">
        <v>307</v>
      </c>
      <c r="L159" t="s">
        <v>31</v>
      </c>
      <c r="M159" s="1" t="s">
        <v>21</v>
      </c>
      <c r="N159" t="str">
        <f t="shared" si="17"/>
        <v>6.11460496102565</v>
      </c>
      <c r="O159" t="str">
        <f t="shared" si="18"/>
        <v>27.49</v>
      </c>
      <c r="P159" t="str">
        <f t="shared" si="19"/>
        <v>63.5036901011758</v>
      </c>
      <c r="Q159" t="str">
        <f t="shared" si="20"/>
        <v>19.0268416035724</v>
      </c>
      <c r="R159" t="str">
        <f t="shared" si="21"/>
        <v>1.98</v>
      </c>
      <c r="S159" t="str">
        <f t="shared" si="22"/>
        <v>3.37</v>
      </c>
      <c r="T159" t="str">
        <f t="shared" si="23"/>
        <v>4.81109134496694</v>
      </c>
      <c r="U159" t="str">
        <f t="shared" si="24"/>
        <v>5.22</v>
      </c>
    </row>
    <row r="160" spans="1:21" x14ac:dyDescent="0.25">
      <c r="A160" t="s">
        <v>31</v>
      </c>
      <c r="B160" s="1" t="s">
        <v>22</v>
      </c>
      <c r="C160">
        <v>-1.4559333128276659</v>
      </c>
      <c r="D160" s="18" t="s">
        <v>313</v>
      </c>
      <c r="E160">
        <v>63.360242815566856</v>
      </c>
      <c r="F160">
        <v>19.014436679478152</v>
      </c>
      <c r="G160" s="18" t="s">
        <v>316</v>
      </c>
      <c r="H160" s="18" t="s">
        <v>315</v>
      </c>
      <c r="I160">
        <v>4.8756372489558411</v>
      </c>
      <c r="J160" s="18" t="s">
        <v>314</v>
      </c>
      <c r="L160" t="s">
        <v>31</v>
      </c>
      <c r="M160" s="1" t="s">
        <v>22</v>
      </c>
      <c r="N160" t="str">
        <f t="shared" si="17"/>
        <v>-1.45593331282767</v>
      </c>
      <c r="O160" t="str">
        <f t="shared" si="18"/>
        <v>28.30</v>
      </c>
      <c r="P160" t="str">
        <f t="shared" si="19"/>
        <v>63.3602428155669</v>
      </c>
      <c r="Q160" t="str">
        <f t="shared" si="20"/>
        <v>19.0144366794782</v>
      </c>
      <c r="R160" t="str">
        <f t="shared" si="21"/>
        <v>2.06</v>
      </c>
      <c r="S160" t="str">
        <f t="shared" si="22"/>
        <v>3.55</v>
      </c>
      <c r="T160" t="str">
        <f t="shared" si="23"/>
        <v>4.87563724895584</v>
      </c>
      <c r="U160" t="str">
        <f t="shared" si="24"/>
        <v>5.27</v>
      </c>
    </row>
    <row r="161" spans="1:21" x14ac:dyDescent="0.25">
      <c r="A161" t="s">
        <v>31</v>
      </c>
      <c r="B161" s="1" t="s">
        <v>23</v>
      </c>
      <c r="C161">
        <v>4.8424544874906319</v>
      </c>
      <c r="D161" s="19">
        <v>29.81</v>
      </c>
      <c r="E161">
        <v>62.115883498601377</v>
      </c>
      <c r="F161">
        <v>19.081560134073367</v>
      </c>
      <c r="G161" s="19">
        <v>1.83</v>
      </c>
      <c r="H161" s="19">
        <v>3.58</v>
      </c>
      <c r="I161">
        <v>5.2913668159240528</v>
      </c>
      <c r="J161" s="19">
        <v>5.2</v>
      </c>
      <c r="L161" t="s">
        <v>31</v>
      </c>
      <c r="M161" s="1" t="s">
        <v>23</v>
      </c>
      <c r="N161" t="str">
        <f t="shared" si="17"/>
        <v>4.84245448749063</v>
      </c>
      <c r="O161" t="str">
        <f t="shared" si="18"/>
        <v>29.81</v>
      </c>
      <c r="P161" t="str">
        <f t="shared" si="19"/>
        <v>62.1158834986014</v>
      </c>
      <c r="Q161" t="str">
        <f t="shared" si="20"/>
        <v>19.0815601340734</v>
      </c>
      <c r="R161" t="str">
        <f t="shared" si="21"/>
        <v>1.83</v>
      </c>
      <c r="S161" t="str">
        <f t="shared" si="22"/>
        <v>3.58</v>
      </c>
      <c r="T161" t="str">
        <f t="shared" si="23"/>
        <v>5.29136681592405</v>
      </c>
      <c r="U161" t="str">
        <f t="shared" si="24"/>
        <v>5.2</v>
      </c>
    </row>
    <row r="162" spans="1:21" x14ac:dyDescent="0.25">
      <c r="A162" t="s">
        <v>32</v>
      </c>
      <c r="B162" s="1" t="s">
        <v>4</v>
      </c>
      <c r="C162">
        <v>-3.1001345347829399</v>
      </c>
      <c r="D162" s="18">
        <v>18.66</v>
      </c>
      <c r="E162">
        <v>69.084745717370936</v>
      </c>
      <c r="F162">
        <v>19.359476170816151</v>
      </c>
      <c r="G162" s="18">
        <v>1.64</v>
      </c>
      <c r="H162" s="18">
        <v>3.54</v>
      </c>
      <c r="I162">
        <v>3.5531391555831568</v>
      </c>
      <c r="J162" s="18">
        <v>4.8099999999999996</v>
      </c>
      <c r="L162" t="s">
        <v>32</v>
      </c>
      <c r="M162" s="1" t="s">
        <v>4</v>
      </c>
      <c r="N162" t="str">
        <f t="shared" si="17"/>
        <v>-3.10013453478294</v>
      </c>
      <c r="O162" t="str">
        <f t="shared" si="18"/>
        <v>18.66</v>
      </c>
      <c r="P162" t="str">
        <f t="shared" si="19"/>
        <v>69.0847457173709</v>
      </c>
      <c r="Q162" t="str">
        <f t="shared" si="20"/>
        <v>19.3594761708162</v>
      </c>
      <c r="R162" t="str">
        <f t="shared" si="21"/>
        <v>1.64</v>
      </c>
      <c r="S162" t="str">
        <f t="shared" si="22"/>
        <v>3.54</v>
      </c>
      <c r="T162" t="str">
        <f t="shared" si="23"/>
        <v>3.55313915558316</v>
      </c>
      <c r="U162" t="str">
        <f t="shared" si="24"/>
        <v>4.81</v>
      </c>
    </row>
    <row r="163" spans="1:21" x14ac:dyDescent="0.25">
      <c r="A163" t="s">
        <v>32</v>
      </c>
      <c r="B163" s="1" t="s">
        <v>5</v>
      </c>
      <c r="C163">
        <v>3.9732854488152864</v>
      </c>
      <c r="D163" s="18">
        <v>18.13</v>
      </c>
      <c r="E163">
        <v>71.024783578751268</v>
      </c>
      <c r="F163">
        <v>19.370745049446693</v>
      </c>
      <c r="G163" s="18">
        <v>1.69</v>
      </c>
      <c r="H163" s="18">
        <v>3.4</v>
      </c>
      <c r="I163">
        <v>3.4987260433920855</v>
      </c>
      <c r="J163" s="18">
        <v>4.8600000000000003</v>
      </c>
      <c r="L163" t="s">
        <v>32</v>
      </c>
      <c r="M163" s="1" t="s">
        <v>5</v>
      </c>
      <c r="N163" t="str">
        <f t="shared" si="17"/>
        <v>3.97328544881529</v>
      </c>
      <c r="O163" t="str">
        <f t="shared" si="18"/>
        <v>18.13</v>
      </c>
      <c r="P163" t="str">
        <f t="shared" si="19"/>
        <v>71.0247835787513</v>
      </c>
      <c r="Q163" t="str">
        <f t="shared" si="20"/>
        <v>19.3707450494467</v>
      </c>
      <c r="R163" t="str">
        <f t="shared" si="21"/>
        <v>1.69</v>
      </c>
      <c r="S163" t="str">
        <f t="shared" si="22"/>
        <v>3.4</v>
      </c>
      <c r="T163" t="str">
        <f t="shared" si="23"/>
        <v>3.49872604339209</v>
      </c>
      <c r="U163" t="str">
        <f t="shared" si="24"/>
        <v>4.86</v>
      </c>
    </row>
    <row r="164" spans="1:21" x14ac:dyDescent="0.25">
      <c r="A164" t="s">
        <v>32</v>
      </c>
      <c r="B164" s="1" t="s">
        <v>6</v>
      </c>
      <c r="C164">
        <v>-1.5270039581941495</v>
      </c>
      <c r="D164" s="18">
        <v>18.97</v>
      </c>
      <c r="E164">
        <v>69.809767912258849</v>
      </c>
      <c r="F164">
        <v>19.37261216139844</v>
      </c>
      <c r="G164" s="18">
        <v>1.73</v>
      </c>
      <c r="H164" s="18">
        <v>3.43</v>
      </c>
      <c r="I164">
        <v>3.3685933913978472</v>
      </c>
      <c r="J164" s="18">
        <v>4.92</v>
      </c>
      <c r="L164" t="s">
        <v>32</v>
      </c>
      <c r="M164" s="1" t="s">
        <v>6</v>
      </c>
      <c r="N164" t="str">
        <f t="shared" si="17"/>
        <v>-1.52700395819415</v>
      </c>
      <c r="O164" t="str">
        <f t="shared" si="18"/>
        <v>18.97</v>
      </c>
      <c r="P164" t="str">
        <f t="shared" si="19"/>
        <v>69.8097679122588</v>
      </c>
      <c r="Q164" t="str">
        <f t="shared" si="20"/>
        <v>19.3726121613984</v>
      </c>
      <c r="R164" t="str">
        <f t="shared" si="21"/>
        <v>1.73</v>
      </c>
      <c r="S164" t="str">
        <f t="shared" si="22"/>
        <v>3.43</v>
      </c>
      <c r="T164" t="str">
        <f t="shared" si="23"/>
        <v>3.36859339139785</v>
      </c>
      <c r="U164" t="str">
        <f t="shared" si="24"/>
        <v>4.92</v>
      </c>
    </row>
    <row r="165" spans="1:21" x14ac:dyDescent="0.25">
      <c r="A165" t="s">
        <v>32</v>
      </c>
      <c r="B165" s="1" t="s">
        <v>7</v>
      </c>
      <c r="C165">
        <v>3.127902918798215</v>
      </c>
      <c r="D165" s="18">
        <v>19.2</v>
      </c>
      <c r="E165">
        <v>70.309899279712681</v>
      </c>
      <c r="F165">
        <v>19.396273306905631</v>
      </c>
      <c r="G165" s="18">
        <v>1.74</v>
      </c>
      <c r="H165" s="18">
        <v>3.11</v>
      </c>
      <c r="I165">
        <v>3.1908386311900974</v>
      </c>
      <c r="J165" s="18">
        <v>4.96</v>
      </c>
      <c r="L165" t="s">
        <v>32</v>
      </c>
      <c r="M165" s="1" t="s">
        <v>7</v>
      </c>
      <c r="N165" t="str">
        <f t="shared" si="17"/>
        <v>3.12790291879822</v>
      </c>
      <c r="O165" t="str">
        <f t="shared" si="18"/>
        <v>19.2</v>
      </c>
      <c r="P165" t="str">
        <f t="shared" si="19"/>
        <v>70.3098992797127</v>
      </c>
      <c r="Q165" t="str">
        <f t="shared" si="20"/>
        <v>19.3962733069056</v>
      </c>
      <c r="R165" t="str">
        <f t="shared" si="21"/>
        <v>1.74</v>
      </c>
      <c r="S165" t="str">
        <f t="shared" si="22"/>
        <v>3.11</v>
      </c>
      <c r="T165" t="str">
        <f t="shared" si="23"/>
        <v>3.1908386311901</v>
      </c>
      <c r="U165" t="str">
        <f t="shared" si="24"/>
        <v>4.96</v>
      </c>
    </row>
    <row r="166" spans="1:21" x14ac:dyDescent="0.25">
      <c r="A166" t="s">
        <v>32</v>
      </c>
      <c r="B166" s="1" t="s">
        <v>8</v>
      </c>
      <c r="C166">
        <v>-0.31031378763268697</v>
      </c>
      <c r="D166" s="18">
        <v>19.899999999999999</v>
      </c>
      <c r="E166">
        <v>71.168000581301314</v>
      </c>
      <c r="F166">
        <v>19.381034660649931</v>
      </c>
      <c r="G166" s="18">
        <v>1.91</v>
      </c>
      <c r="H166" s="18">
        <v>3.05</v>
      </c>
      <c r="I166">
        <v>3.3705319939477776</v>
      </c>
      <c r="J166" s="18">
        <v>5.12</v>
      </c>
      <c r="L166" t="s">
        <v>32</v>
      </c>
      <c r="M166" s="1" t="s">
        <v>8</v>
      </c>
      <c r="N166" t="str">
        <f t="shared" si="17"/>
        <v>-0.310313787632687</v>
      </c>
      <c r="O166" t="str">
        <f t="shared" si="18"/>
        <v>19.9</v>
      </c>
      <c r="P166" t="str">
        <f t="shared" si="19"/>
        <v>71.1680005813013</v>
      </c>
      <c r="Q166" t="str">
        <f t="shared" si="20"/>
        <v>19.3810346606499</v>
      </c>
      <c r="R166" t="str">
        <f t="shared" si="21"/>
        <v>1.91</v>
      </c>
      <c r="S166" t="str">
        <f t="shared" si="22"/>
        <v>3.05</v>
      </c>
      <c r="T166" t="str">
        <f t="shared" si="23"/>
        <v>3.37053199394778</v>
      </c>
      <c r="U166" t="str">
        <f t="shared" si="24"/>
        <v>5.12</v>
      </c>
    </row>
    <row r="167" spans="1:21" x14ac:dyDescent="0.25">
      <c r="A167" t="s">
        <v>32</v>
      </c>
      <c r="B167" s="1" t="s">
        <v>9</v>
      </c>
      <c r="C167">
        <v>1.2436759489243043</v>
      </c>
      <c r="D167" s="18">
        <v>20.13</v>
      </c>
      <c r="E167">
        <v>69.672073865587009</v>
      </c>
      <c r="F167">
        <v>19.414638430709864</v>
      </c>
      <c r="G167" s="18">
        <v>2.04</v>
      </c>
      <c r="H167" s="18">
        <v>2.87</v>
      </c>
      <c r="I167">
        <v>2.8327859482858622</v>
      </c>
      <c r="J167" s="18">
        <v>5.41</v>
      </c>
      <c r="L167" t="s">
        <v>32</v>
      </c>
      <c r="M167" s="1" t="s">
        <v>9</v>
      </c>
      <c r="N167" t="str">
        <f t="shared" si="17"/>
        <v>1.2436759489243</v>
      </c>
      <c r="O167" t="str">
        <f t="shared" si="18"/>
        <v>20.13</v>
      </c>
      <c r="P167" t="str">
        <f t="shared" si="19"/>
        <v>69.672073865587</v>
      </c>
      <c r="Q167" t="str">
        <f t="shared" si="20"/>
        <v>19.4146384307099</v>
      </c>
      <c r="R167" t="str">
        <f t="shared" si="21"/>
        <v>2.04</v>
      </c>
      <c r="S167" t="str">
        <f t="shared" si="22"/>
        <v>2.87</v>
      </c>
      <c r="T167" t="str">
        <f t="shared" si="23"/>
        <v>2.83278594828586</v>
      </c>
      <c r="U167" t="str">
        <f t="shared" si="24"/>
        <v>5.41</v>
      </c>
    </row>
    <row r="168" spans="1:21" x14ac:dyDescent="0.25">
      <c r="A168" t="s">
        <v>32</v>
      </c>
      <c r="B168" s="1" t="s">
        <v>10</v>
      </c>
      <c r="C168">
        <v>0.37323535647143652</v>
      </c>
      <c r="D168" s="18">
        <v>20.64</v>
      </c>
      <c r="E168">
        <v>72.427455956757612</v>
      </c>
      <c r="F168">
        <v>19.379577958480319</v>
      </c>
      <c r="G168" s="18">
        <v>1.84</v>
      </c>
      <c r="H168" s="16">
        <v>2.62</v>
      </c>
      <c r="I168">
        <v>2.8741321548772323</v>
      </c>
      <c r="J168" s="16">
        <v>5.37</v>
      </c>
      <c r="L168" t="s">
        <v>32</v>
      </c>
      <c r="M168" s="1" t="s">
        <v>10</v>
      </c>
      <c r="N168" t="str">
        <f t="shared" si="17"/>
        <v>0.373235356471437</v>
      </c>
      <c r="O168" t="str">
        <f t="shared" si="18"/>
        <v>20.64</v>
      </c>
      <c r="P168" t="str">
        <f t="shared" si="19"/>
        <v>72.4274559567576</v>
      </c>
      <c r="Q168" t="str">
        <f t="shared" si="20"/>
        <v>19.3795779584803</v>
      </c>
      <c r="R168" t="str">
        <f t="shared" si="21"/>
        <v>1.84</v>
      </c>
      <c r="S168" t="str">
        <f t="shared" si="22"/>
        <v>2.62</v>
      </c>
      <c r="T168" t="str">
        <f t="shared" si="23"/>
        <v>2.87413215487723</v>
      </c>
      <c r="U168" t="str">
        <f t="shared" si="24"/>
        <v>5.37</v>
      </c>
    </row>
    <row r="169" spans="1:21" x14ac:dyDescent="0.25">
      <c r="A169" t="s">
        <v>32</v>
      </c>
      <c r="B169" s="1" t="s">
        <v>11</v>
      </c>
      <c r="C169">
        <v>1.3236593830924994</v>
      </c>
      <c r="D169" s="18">
        <v>20.92</v>
      </c>
      <c r="E169">
        <v>70.272237304248989</v>
      </c>
      <c r="F169">
        <v>19.422936364104462</v>
      </c>
      <c r="G169" s="18">
        <v>1.86</v>
      </c>
      <c r="H169" s="18">
        <v>2.79</v>
      </c>
      <c r="I169">
        <v>3.1261131432517235</v>
      </c>
      <c r="J169" s="18">
        <v>5.31</v>
      </c>
      <c r="L169" t="s">
        <v>32</v>
      </c>
      <c r="M169" s="1" t="s">
        <v>11</v>
      </c>
      <c r="N169" t="str">
        <f t="shared" si="17"/>
        <v>1.3236593830925</v>
      </c>
      <c r="O169" t="str">
        <f t="shared" si="18"/>
        <v>20.92</v>
      </c>
      <c r="P169" t="str">
        <f t="shared" si="19"/>
        <v>70.272237304249</v>
      </c>
      <c r="Q169" t="str">
        <f t="shared" si="20"/>
        <v>19.4229363641045</v>
      </c>
      <c r="R169" t="str">
        <f t="shared" si="21"/>
        <v>1.86</v>
      </c>
      <c r="S169" t="str">
        <f t="shared" si="22"/>
        <v>2.79</v>
      </c>
      <c r="T169" t="str">
        <f t="shared" si="23"/>
        <v>3.12611314325172</v>
      </c>
      <c r="U169" t="str">
        <f t="shared" si="24"/>
        <v>5.31</v>
      </c>
    </row>
    <row r="170" spans="1:21" x14ac:dyDescent="0.25">
      <c r="A170" t="s">
        <v>32</v>
      </c>
      <c r="B170" s="1" t="s">
        <v>12</v>
      </c>
      <c r="C170">
        <v>-7.1151850263592109E-2</v>
      </c>
      <c r="D170" s="18">
        <v>18.79</v>
      </c>
      <c r="E170">
        <v>70.365902889666827</v>
      </c>
      <c r="F170">
        <v>19.420892583849767</v>
      </c>
      <c r="G170" s="18">
        <v>2.1</v>
      </c>
      <c r="H170" s="18">
        <v>3.03</v>
      </c>
      <c r="I170">
        <v>5.3632164176838542</v>
      </c>
      <c r="J170" s="18">
        <v>5.0199999999999996</v>
      </c>
      <c r="L170" t="s">
        <v>32</v>
      </c>
      <c r="M170" s="1" t="s">
        <v>12</v>
      </c>
      <c r="N170" t="str">
        <f t="shared" si="17"/>
        <v>-0.0711518502635921</v>
      </c>
      <c r="O170" t="str">
        <f t="shared" si="18"/>
        <v>18.79</v>
      </c>
      <c r="P170" t="str">
        <f t="shared" si="19"/>
        <v>70.3659028896668</v>
      </c>
      <c r="Q170" t="str">
        <f t="shared" si="20"/>
        <v>19.4208925838498</v>
      </c>
      <c r="R170" t="str">
        <f t="shared" si="21"/>
        <v>2.1</v>
      </c>
      <c r="S170" t="str">
        <f t="shared" si="22"/>
        <v>3.03</v>
      </c>
      <c r="T170" t="str">
        <f t="shared" si="23"/>
        <v>5.36321641768385</v>
      </c>
      <c r="U170" t="str">
        <f t="shared" si="24"/>
        <v>5.02</v>
      </c>
    </row>
    <row r="171" spans="1:21" x14ac:dyDescent="0.25">
      <c r="A171" t="s">
        <v>32</v>
      </c>
      <c r="B171" s="1" t="s">
        <v>13</v>
      </c>
      <c r="C171">
        <v>-4.3269070567166921</v>
      </c>
      <c r="D171" s="18">
        <v>19.34</v>
      </c>
      <c r="E171">
        <v>67.28311367327359</v>
      </c>
      <c r="F171">
        <v>19.421459014280025</v>
      </c>
      <c r="G171" s="18">
        <v>1.67</v>
      </c>
      <c r="H171" s="18">
        <v>3.89</v>
      </c>
      <c r="I171">
        <v>5.854529455383692</v>
      </c>
      <c r="J171" s="18">
        <v>5.05</v>
      </c>
      <c r="L171" t="s">
        <v>32</v>
      </c>
      <c r="M171" s="1" t="s">
        <v>13</v>
      </c>
      <c r="N171" t="str">
        <f t="shared" si="17"/>
        <v>-4.32690705671669</v>
      </c>
      <c r="O171" t="str">
        <f t="shared" si="18"/>
        <v>19.34</v>
      </c>
      <c r="P171" t="str">
        <f t="shared" si="19"/>
        <v>67.2831136732736</v>
      </c>
      <c r="Q171" t="str">
        <f t="shared" si="20"/>
        <v>19.42145901428</v>
      </c>
      <c r="R171" t="str">
        <f t="shared" si="21"/>
        <v>1.67</v>
      </c>
      <c r="S171" t="str">
        <f t="shared" si="22"/>
        <v>3.89</v>
      </c>
      <c r="T171" t="str">
        <f t="shared" si="23"/>
        <v>5.85452945538369</v>
      </c>
      <c r="U171" t="str">
        <f t="shared" si="24"/>
        <v>5.05</v>
      </c>
    </row>
    <row r="172" spans="1:21" x14ac:dyDescent="0.25">
      <c r="A172" t="s">
        <v>32</v>
      </c>
      <c r="B172" s="1" t="s">
        <v>14</v>
      </c>
      <c r="C172">
        <v>-2.8544135552323882</v>
      </c>
      <c r="D172" s="18">
        <v>20.239999999999998</v>
      </c>
      <c r="E172">
        <v>63.686224487694432</v>
      </c>
      <c r="F172">
        <v>19.447440583578917</v>
      </c>
      <c r="G172" s="18">
        <v>1.28</v>
      </c>
      <c r="H172" s="18">
        <v>3.89</v>
      </c>
      <c r="I172">
        <v>6.2952221065690122</v>
      </c>
      <c r="J172" s="18">
        <v>4.93</v>
      </c>
      <c r="L172" t="s">
        <v>32</v>
      </c>
      <c r="M172" s="1" t="s">
        <v>14</v>
      </c>
      <c r="N172" t="str">
        <f t="shared" si="17"/>
        <v>-2.85441355523239</v>
      </c>
      <c r="O172" t="str">
        <f t="shared" si="18"/>
        <v>20.24</v>
      </c>
      <c r="P172" t="str">
        <f t="shared" si="19"/>
        <v>63.6862244876944</v>
      </c>
      <c r="Q172" t="str">
        <f t="shared" si="20"/>
        <v>19.4474405835789</v>
      </c>
      <c r="R172" t="str">
        <f t="shared" si="21"/>
        <v>1.28</v>
      </c>
      <c r="S172" t="str">
        <f t="shared" si="22"/>
        <v>3.89</v>
      </c>
      <c r="T172" t="str">
        <f t="shared" si="23"/>
        <v>6.29522210656901</v>
      </c>
      <c r="U172" t="str">
        <f t="shared" si="24"/>
        <v>4.93</v>
      </c>
    </row>
    <row r="173" spans="1:21" x14ac:dyDescent="0.25">
      <c r="A173" t="s">
        <v>32</v>
      </c>
      <c r="B173" s="1" t="s">
        <v>15</v>
      </c>
      <c r="C173">
        <v>-3.3051685482179396</v>
      </c>
      <c r="D173" s="18">
        <v>21.24</v>
      </c>
      <c r="E173">
        <v>61.697611318048004</v>
      </c>
      <c r="F173">
        <v>19.445553416717821</v>
      </c>
      <c r="G173" s="18">
        <v>1.06</v>
      </c>
      <c r="H173" s="16">
        <v>3.62</v>
      </c>
      <c r="I173">
        <v>6.8738712719618817</v>
      </c>
      <c r="J173" s="18">
        <v>4.88</v>
      </c>
      <c r="L173" t="s">
        <v>32</v>
      </c>
      <c r="M173" s="1" t="s">
        <v>15</v>
      </c>
      <c r="N173" t="str">
        <f t="shared" si="17"/>
        <v>-3.30516854821794</v>
      </c>
      <c r="O173" t="str">
        <f t="shared" si="18"/>
        <v>21.24</v>
      </c>
      <c r="P173" t="str">
        <f t="shared" si="19"/>
        <v>61.697611318048</v>
      </c>
      <c r="Q173" t="str">
        <f t="shared" si="20"/>
        <v>19.4455534167178</v>
      </c>
      <c r="R173" t="str">
        <f t="shared" si="21"/>
        <v>1.06</v>
      </c>
      <c r="S173" t="str">
        <f t="shared" si="22"/>
        <v>3.62</v>
      </c>
      <c r="T173" t="str">
        <f t="shared" si="23"/>
        <v>6.87387127196188</v>
      </c>
      <c r="U173" t="str">
        <f t="shared" si="24"/>
        <v>4.88</v>
      </c>
    </row>
    <row r="174" spans="1:21" x14ac:dyDescent="0.25">
      <c r="A174" t="s">
        <v>32</v>
      </c>
      <c r="B174" s="1" t="s">
        <v>16</v>
      </c>
      <c r="C174">
        <v>-0.91967418034647341</v>
      </c>
      <c r="D174" s="18">
        <v>21.39</v>
      </c>
      <c r="E174">
        <v>63.082457807184987</v>
      </c>
      <c r="F174">
        <v>19.414116614830412</v>
      </c>
      <c r="G174" s="18">
        <v>1.85</v>
      </c>
      <c r="H174" s="18">
        <v>3.85</v>
      </c>
      <c r="I174">
        <v>7.3838057041163019</v>
      </c>
      <c r="J174" s="18">
        <v>4.99</v>
      </c>
      <c r="L174" t="s">
        <v>32</v>
      </c>
      <c r="M174" s="1" t="s">
        <v>16</v>
      </c>
      <c r="N174" t="str">
        <f t="shared" si="17"/>
        <v>-0.919674180346473</v>
      </c>
      <c r="O174" t="str">
        <f t="shared" si="18"/>
        <v>21.39</v>
      </c>
      <c r="P174" t="str">
        <f t="shared" si="19"/>
        <v>63.082457807185</v>
      </c>
      <c r="Q174" t="str">
        <f t="shared" si="20"/>
        <v>19.4141166148304</v>
      </c>
      <c r="R174" t="str">
        <f t="shared" si="21"/>
        <v>1.85</v>
      </c>
      <c r="S174" t="str">
        <f t="shared" si="22"/>
        <v>3.85</v>
      </c>
      <c r="T174" t="str">
        <f t="shared" si="23"/>
        <v>7.3838057041163</v>
      </c>
      <c r="U174" t="str">
        <f t="shared" si="24"/>
        <v>4.99</v>
      </c>
    </row>
    <row r="175" spans="1:21" x14ac:dyDescent="0.25">
      <c r="A175" t="s">
        <v>32</v>
      </c>
      <c r="B175" s="1" t="s">
        <v>17</v>
      </c>
      <c r="C175">
        <v>-9.6362870738663925E-2</v>
      </c>
      <c r="D175" s="18">
        <v>21.35</v>
      </c>
      <c r="E175">
        <v>59.430554452369662</v>
      </c>
      <c r="F175">
        <v>19.472786767367236</v>
      </c>
      <c r="G175" s="18">
        <v>2.0099999999999998</v>
      </c>
      <c r="H175" s="18">
        <v>3.25</v>
      </c>
      <c r="I175">
        <v>7.1706667184833135</v>
      </c>
      <c r="J175" s="18">
        <v>4.95</v>
      </c>
      <c r="L175" t="s">
        <v>32</v>
      </c>
      <c r="M175" s="1" t="s">
        <v>17</v>
      </c>
      <c r="N175" t="str">
        <f t="shared" si="17"/>
        <v>-0.0963628707386639</v>
      </c>
      <c r="O175" t="str">
        <f t="shared" si="18"/>
        <v>21.35</v>
      </c>
      <c r="P175" t="str">
        <f t="shared" si="19"/>
        <v>59.4305544523697</v>
      </c>
      <c r="Q175" t="str">
        <f t="shared" si="20"/>
        <v>19.4727867673672</v>
      </c>
      <c r="R175" t="str">
        <f t="shared" si="21"/>
        <v>2.01</v>
      </c>
      <c r="S175" t="str">
        <f t="shared" si="22"/>
        <v>3.25</v>
      </c>
      <c r="T175" t="str">
        <f t="shared" si="23"/>
        <v>7.17066671848331</v>
      </c>
      <c r="U175" t="str">
        <f t="shared" si="24"/>
        <v>4.95</v>
      </c>
    </row>
    <row r="176" spans="1:21" x14ac:dyDescent="0.25">
      <c r="A176" t="s">
        <v>32</v>
      </c>
      <c r="B176" s="1" t="s">
        <v>18</v>
      </c>
      <c r="C176">
        <v>2.1097681643587216</v>
      </c>
      <c r="D176" s="18">
        <v>21.92</v>
      </c>
      <c r="E176">
        <v>59.353928585692969</v>
      </c>
      <c r="F176">
        <v>19.494955140942533</v>
      </c>
      <c r="G176" s="18">
        <v>1.9</v>
      </c>
      <c r="H176" s="18">
        <v>3.39</v>
      </c>
      <c r="I176">
        <v>7.2765199684604331</v>
      </c>
      <c r="J176" s="18">
        <v>4.8600000000000003</v>
      </c>
      <c r="L176" t="s">
        <v>32</v>
      </c>
      <c r="M176" s="1" t="s">
        <v>18</v>
      </c>
      <c r="N176" t="str">
        <f t="shared" si="17"/>
        <v>2.10976816435872</v>
      </c>
      <c r="O176" t="str">
        <f t="shared" si="18"/>
        <v>21.92</v>
      </c>
      <c r="P176" t="str">
        <f t="shared" si="19"/>
        <v>59.353928585693</v>
      </c>
      <c r="Q176" t="str">
        <f t="shared" si="20"/>
        <v>19.4949551409425</v>
      </c>
      <c r="R176" t="str">
        <f t="shared" si="21"/>
        <v>1.9</v>
      </c>
      <c r="S176" t="str">
        <f t="shared" si="22"/>
        <v>3.39</v>
      </c>
      <c r="T176" t="str">
        <f t="shared" si="23"/>
        <v>7.27651996846043</v>
      </c>
      <c r="U176" t="str">
        <f t="shared" si="24"/>
        <v>4.86</v>
      </c>
    </row>
    <row r="177" spans="1:21" x14ac:dyDescent="0.25">
      <c r="A177" t="s">
        <v>32</v>
      </c>
      <c r="B177" s="1" t="s">
        <v>19</v>
      </c>
      <c r="C177">
        <v>2.4604321425158253</v>
      </c>
      <c r="D177" s="18">
        <v>22.29</v>
      </c>
      <c r="E177">
        <v>57.952774809693274</v>
      </c>
      <c r="F177">
        <v>19.543151512052638</v>
      </c>
      <c r="G177" s="18">
        <v>1.75</v>
      </c>
      <c r="H177" s="18">
        <v>3.51</v>
      </c>
      <c r="I177">
        <v>7.3395956708005192</v>
      </c>
      <c r="J177" s="18">
        <v>4.71</v>
      </c>
      <c r="L177" t="s">
        <v>32</v>
      </c>
      <c r="M177" s="1" t="s">
        <v>19</v>
      </c>
      <c r="N177" t="str">
        <f t="shared" si="17"/>
        <v>2.46043214251583</v>
      </c>
      <c r="O177" t="str">
        <f t="shared" si="18"/>
        <v>22.29</v>
      </c>
      <c r="P177" t="str">
        <f t="shared" si="19"/>
        <v>57.9527748096933</v>
      </c>
      <c r="Q177" t="str">
        <f t="shared" si="20"/>
        <v>19.5431515120526</v>
      </c>
      <c r="R177" t="str">
        <f t="shared" si="21"/>
        <v>1.75</v>
      </c>
      <c r="S177" t="str">
        <f t="shared" si="22"/>
        <v>3.51</v>
      </c>
      <c r="T177" t="str">
        <f t="shared" si="23"/>
        <v>7.33959567080052</v>
      </c>
      <c r="U177" t="str">
        <f t="shared" si="24"/>
        <v>4.71</v>
      </c>
    </row>
    <row r="178" spans="1:21" x14ac:dyDescent="0.25">
      <c r="A178" t="s">
        <v>32</v>
      </c>
      <c r="B178" s="1" t="s">
        <v>20</v>
      </c>
      <c r="C178">
        <v>0.11346979339635231</v>
      </c>
      <c r="D178" s="18" t="s">
        <v>335</v>
      </c>
      <c r="E178">
        <v>58.858618345620897</v>
      </c>
      <c r="F178">
        <v>19.528775749208638</v>
      </c>
      <c r="G178" s="18" t="s">
        <v>338</v>
      </c>
      <c r="H178" s="18" t="s">
        <v>337</v>
      </c>
      <c r="I178">
        <v>7.6723786532659428</v>
      </c>
      <c r="J178" s="18" t="s">
        <v>336</v>
      </c>
      <c r="L178" t="s">
        <v>32</v>
      </c>
      <c r="M178" s="1" t="s">
        <v>20</v>
      </c>
      <c r="N178" t="str">
        <f t="shared" si="17"/>
        <v>0.113469793396352</v>
      </c>
      <c r="O178" t="str">
        <f t="shared" si="18"/>
        <v>22.82</v>
      </c>
      <c r="P178" t="str">
        <f t="shared" si="19"/>
        <v>58.8586183456209</v>
      </c>
      <c r="Q178" t="str">
        <f t="shared" si="20"/>
        <v>19.5287757492086</v>
      </c>
      <c r="R178" t="str">
        <f t="shared" si="21"/>
        <v>1.92</v>
      </c>
      <c r="S178" t="str">
        <f t="shared" si="22"/>
        <v>3.68</v>
      </c>
      <c r="T178" t="str">
        <f t="shared" si="23"/>
        <v>7.67237865326594</v>
      </c>
      <c r="U178" t="str">
        <f t="shared" si="24"/>
        <v>4.29</v>
      </c>
    </row>
    <row r="179" spans="1:21" x14ac:dyDescent="0.25">
      <c r="A179" t="s">
        <v>32</v>
      </c>
      <c r="B179" s="1" t="s">
        <v>21</v>
      </c>
      <c r="C179">
        <v>3.6214275830550959</v>
      </c>
      <c r="D179" s="18" t="s">
        <v>341</v>
      </c>
      <c r="E179">
        <v>60.356046691417362</v>
      </c>
      <c r="F179">
        <v>19.539226834319454</v>
      </c>
      <c r="G179" s="18" t="s">
        <v>344</v>
      </c>
      <c r="H179" s="18" t="s">
        <v>343</v>
      </c>
      <c r="I179">
        <v>7.6575379228304357</v>
      </c>
      <c r="J179" s="18" t="s">
        <v>342</v>
      </c>
      <c r="L179" t="s">
        <v>32</v>
      </c>
      <c r="M179" s="1" t="s">
        <v>21</v>
      </c>
      <c r="N179" t="str">
        <f t="shared" si="17"/>
        <v>3.6214275830551</v>
      </c>
      <c r="O179" t="str">
        <f t="shared" si="18"/>
        <v>20.77</v>
      </c>
      <c r="P179" t="str">
        <f t="shared" si="19"/>
        <v>60.3560466914174</v>
      </c>
      <c r="Q179" t="str">
        <f t="shared" si="20"/>
        <v>19.5392268343195</v>
      </c>
      <c r="R179" t="str">
        <f t="shared" si="21"/>
        <v>2.05</v>
      </c>
      <c r="S179" t="str">
        <f t="shared" si="22"/>
        <v>3.60</v>
      </c>
      <c r="T179" t="str">
        <f t="shared" si="23"/>
        <v>7.65753792283044</v>
      </c>
      <c r="U179" t="str">
        <f t="shared" si="24"/>
        <v>4.36</v>
      </c>
    </row>
    <row r="180" spans="1:21" x14ac:dyDescent="0.25">
      <c r="A180" t="s">
        <v>32</v>
      </c>
      <c r="B180" s="1" t="s">
        <v>22</v>
      </c>
      <c r="C180">
        <v>2.6341111587421726</v>
      </c>
      <c r="D180" s="18" t="s">
        <v>347</v>
      </c>
      <c r="E180">
        <v>62.811065852018011</v>
      </c>
      <c r="F180">
        <v>19.525356863712425</v>
      </c>
      <c r="G180" s="18" t="s">
        <v>350</v>
      </c>
      <c r="H180" s="18" t="s">
        <v>349</v>
      </c>
      <c r="I180">
        <v>7.4954635341614519</v>
      </c>
      <c r="J180" s="18" t="s">
        <v>348</v>
      </c>
      <c r="L180" t="s">
        <v>32</v>
      </c>
      <c r="M180" s="1" t="s">
        <v>22</v>
      </c>
      <c r="N180" t="str">
        <f t="shared" si="17"/>
        <v>2.63411115874217</v>
      </c>
      <c r="O180" t="str">
        <f t="shared" si="18"/>
        <v>20.61</v>
      </c>
      <c r="P180" t="str">
        <f t="shared" si="19"/>
        <v>62.811065852018</v>
      </c>
      <c r="Q180" t="str">
        <f t="shared" si="20"/>
        <v>19.5253568637124</v>
      </c>
      <c r="R180" t="str">
        <f t="shared" si="21"/>
        <v>2.07</v>
      </c>
      <c r="S180" t="str">
        <f t="shared" si="22"/>
        <v>3.61</v>
      </c>
      <c r="T180" t="str">
        <f t="shared" si="23"/>
        <v>7.49546353416145</v>
      </c>
      <c r="U180" t="str">
        <f t="shared" si="24"/>
        <v>4.43</v>
      </c>
    </row>
    <row r="181" spans="1:21" x14ac:dyDescent="0.25">
      <c r="A181" t="s">
        <v>32</v>
      </c>
      <c r="B181" s="1" t="s">
        <v>23</v>
      </c>
      <c r="C181">
        <v>0.93277854560658358</v>
      </c>
      <c r="D181" s="16">
        <v>21.86</v>
      </c>
      <c r="E181">
        <v>63.461892831250942</v>
      </c>
      <c r="F181">
        <v>19.524333066949431</v>
      </c>
      <c r="G181" s="18">
        <v>2.16</v>
      </c>
      <c r="H181" s="18">
        <v>2.8</v>
      </c>
      <c r="I181">
        <v>6.8393052810457542</v>
      </c>
      <c r="J181" s="18" t="s">
        <v>352</v>
      </c>
      <c r="L181" t="s">
        <v>32</v>
      </c>
      <c r="M181" s="1" t="s">
        <v>23</v>
      </c>
      <c r="N181" t="str">
        <f t="shared" si="17"/>
        <v>0.932778545606584</v>
      </c>
      <c r="O181" t="str">
        <f t="shared" si="18"/>
        <v>21.86</v>
      </c>
      <c r="P181" t="str">
        <f t="shared" si="19"/>
        <v>63.4618928312509</v>
      </c>
      <c r="Q181" t="str">
        <f t="shared" si="20"/>
        <v>19.5243330669494</v>
      </c>
      <c r="R181" t="str">
        <f t="shared" si="21"/>
        <v>2.16</v>
      </c>
      <c r="S181" t="str">
        <f t="shared" si="22"/>
        <v>2.8</v>
      </c>
      <c r="T181" t="str">
        <f t="shared" si="23"/>
        <v>6.83930528104575</v>
      </c>
      <c r="U181" t="str">
        <f t="shared" si="24"/>
        <v>4.69</v>
      </c>
    </row>
    <row r="182" spans="1:21" x14ac:dyDescent="0.25">
      <c r="A182" t="s">
        <v>33</v>
      </c>
      <c r="B182" s="1" t="s">
        <v>4</v>
      </c>
      <c r="C182">
        <v>0.43325667842260723</v>
      </c>
      <c r="D182" s="18" t="s">
        <v>355</v>
      </c>
      <c r="E182">
        <v>64.076730591018645</v>
      </c>
      <c r="F182">
        <v>18.523386292301495</v>
      </c>
      <c r="G182" s="18" t="s">
        <v>357</v>
      </c>
      <c r="H182" s="18" t="s">
        <v>353</v>
      </c>
      <c r="I182">
        <v>0.75931315177359759</v>
      </c>
      <c r="J182" s="18" t="s">
        <v>356</v>
      </c>
      <c r="L182" t="s">
        <v>33</v>
      </c>
      <c r="M182" s="1" t="s">
        <v>4</v>
      </c>
      <c r="N182" t="str">
        <f t="shared" si="17"/>
        <v>0.433256678422607</v>
      </c>
      <c r="O182" t="str">
        <f t="shared" si="18"/>
        <v>17.33</v>
      </c>
      <c r="P182" t="str">
        <f t="shared" si="19"/>
        <v>64.0767305910186</v>
      </c>
      <c r="Q182" t="str">
        <f t="shared" si="20"/>
        <v>18.5233862923015</v>
      </c>
      <c r="R182" t="str">
        <f t="shared" si="21"/>
        <v>2.08</v>
      </c>
      <c r="S182" t="str">
        <f t="shared" si="22"/>
        <v>1.62</v>
      </c>
      <c r="T182" t="str">
        <f t="shared" si="23"/>
        <v>0.759313151773598</v>
      </c>
      <c r="U182" t="str">
        <f t="shared" si="24"/>
        <v>5.99</v>
      </c>
    </row>
    <row r="183" spans="1:21" x14ac:dyDescent="0.25">
      <c r="A183" t="s">
        <v>33</v>
      </c>
      <c r="B183" s="1" t="s">
        <v>5</v>
      </c>
      <c r="C183">
        <v>1.2438923081945292</v>
      </c>
      <c r="D183" s="18" t="s">
        <v>359</v>
      </c>
      <c r="E183">
        <v>66.740948861600344</v>
      </c>
      <c r="F183">
        <v>18.495011077810464</v>
      </c>
      <c r="G183" s="18" t="s">
        <v>316</v>
      </c>
      <c r="H183" s="18" t="s">
        <v>361</v>
      </c>
      <c r="I183">
        <v>0.66969160415569984</v>
      </c>
      <c r="J183" s="18" t="s">
        <v>360</v>
      </c>
      <c r="L183" t="s">
        <v>33</v>
      </c>
      <c r="M183" s="1" t="s">
        <v>5</v>
      </c>
      <c r="N183" t="str">
        <f t="shared" si="17"/>
        <v>1.24389230819453</v>
      </c>
      <c r="O183" t="str">
        <f t="shared" si="18"/>
        <v>17.44</v>
      </c>
      <c r="P183" t="str">
        <f t="shared" si="19"/>
        <v>66.7409488616003</v>
      </c>
      <c r="Q183" t="str">
        <f t="shared" si="20"/>
        <v>18.4950110778105</v>
      </c>
      <c r="R183" t="str">
        <f t="shared" si="21"/>
        <v>2.06</v>
      </c>
      <c r="S183" t="str">
        <f t="shared" si="22"/>
        <v>1.61</v>
      </c>
      <c r="T183" t="str">
        <f t="shared" si="23"/>
        <v>0.6696916041557</v>
      </c>
      <c r="U183" t="str">
        <f t="shared" si="24"/>
        <v>6.31</v>
      </c>
    </row>
    <row r="184" spans="1:21" x14ac:dyDescent="0.25">
      <c r="A184" t="s">
        <v>33</v>
      </c>
      <c r="B184" s="1" t="s">
        <v>6</v>
      </c>
      <c r="C184">
        <v>3.2342752037491498</v>
      </c>
      <c r="D184" s="18" t="s">
        <v>363</v>
      </c>
      <c r="E184">
        <v>68.319692193900735</v>
      </c>
      <c r="F184">
        <v>18.503462460191766</v>
      </c>
      <c r="G184" s="18" t="s">
        <v>357</v>
      </c>
      <c r="H184" s="18" t="s">
        <v>365</v>
      </c>
      <c r="I184">
        <v>0.61849196938665518</v>
      </c>
      <c r="J184" s="18" t="s">
        <v>364</v>
      </c>
      <c r="L184" t="s">
        <v>33</v>
      </c>
      <c r="M184" s="1" t="s">
        <v>6</v>
      </c>
      <c r="N184" t="str">
        <f t="shared" si="17"/>
        <v>3.23427520374915</v>
      </c>
      <c r="O184" t="str">
        <f t="shared" si="18"/>
        <v>17.53</v>
      </c>
      <c r="P184" t="str">
        <f t="shared" si="19"/>
        <v>68.3196921939007</v>
      </c>
      <c r="Q184" t="str">
        <f t="shared" si="20"/>
        <v>18.5034624601918</v>
      </c>
      <c r="R184" t="str">
        <f t="shared" si="21"/>
        <v>2.08</v>
      </c>
      <c r="S184" t="str">
        <f t="shared" si="22"/>
        <v>1.58</v>
      </c>
      <c r="T184" t="str">
        <f t="shared" si="23"/>
        <v>0.618491969386655</v>
      </c>
      <c r="U184" t="str">
        <f t="shared" si="24"/>
        <v>6.52</v>
      </c>
    </row>
    <row r="185" spans="1:21" x14ac:dyDescent="0.25">
      <c r="A185" t="s">
        <v>33</v>
      </c>
      <c r="B185" s="1" t="s">
        <v>7</v>
      </c>
      <c r="C185">
        <v>1.0452153174517624</v>
      </c>
      <c r="D185" s="18" t="s">
        <v>367</v>
      </c>
      <c r="E185">
        <v>65.443402805891253</v>
      </c>
      <c r="F185">
        <v>18.556872721579602</v>
      </c>
      <c r="G185" s="18" t="s">
        <v>370</v>
      </c>
      <c r="H185" s="18" t="s">
        <v>369</v>
      </c>
      <c r="I185">
        <v>0.83634969979417861</v>
      </c>
      <c r="J185" s="18" t="s">
        <v>368</v>
      </c>
      <c r="L185" t="s">
        <v>33</v>
      </c>
      <c r="M185" s="1" t="s">
        <v>7</v>
      </c>
      <c r="N185" t="str">
        <f t="shared" si="17"/>
        <v>1.04521531745176</v>
      </c>
      <c r="O185" t="str">
        <f t="shared" si="18"/>
        <v>18.63</v>
      </c>
      <c r="P185" t="str">
        <f t="shared" si="19"/>
        <v>65.4434028058913</v>
      </c>
      <c r="Q185" t="str">
        <f t="shared" si="20"/>
        <v>18.5568727215796</v>
      </c>
      <c r="R185" t="str">
        <f t="shared" si="21"/>
        <v>1.71</v>
      </c>
      <c r="S185" t="str">
        <f t="shared" si="22"/>
        <v>1.65</v>
      </c>
      <c r="T185" t="str">
        <f t="shared" si="23"/>
        <v>0.836349699794179</v>
      </c>
      <c r="U185" t="str">
        <f t="shared" si="24"/>
        <v>6.37</v>
      </c>
    </row>
    <row r="186" spans="1:21" x14ac:dyDescent="0.25">
      <c r="A186" t="s">
        <v>33</v>
      </c>
      <c r="B186" s="1" t="s">
        <v>8</v>
      </c>
      <c r="C186">
        <v>0.55900973703535817</v>
      </c>
      <c r="D186" s="18" t="s">
        <v>372</v>
      </c>
      <c r="E186">
        <v>67.180791315840807</v>
      </c>
      <c r="F186">
        <v>18.536245578997619</v>
      </c>
      <c r="G186" s="18" t="s">
        <v>374</v>
      </c>
      <c r="H186" s="18" t="s">
        <v>302</v>
      </c>
      <c r="I186">
        <v>0.86088981692414668</v>
      </c>
      <c r="J186" s="18" t="s">
        <v>373</v>
      </c>
      <c r="L186" t="s">
        <v>33</v>
      </c>
      <c r="M186" s="1" t="s">
        <v>8</v>
      </c>
      <c r="N186" t="str">
        <f t="shared" si="17"/>
        <v>0.559009737035358</v>
      </c>
      <c r="O186" t="str">
        <f t="shared" si="18"/>
        <v>18.57</v>
      </c>
      <c r="P186" t="str">
        <f t="shared" si="19"/>
        <v>67.1807913158408</v>
      </c>
      <c r="Q186" t="str">
        <f t="shared" si="20"/>
        <v>18.5362455789976</v>
      </c>
      <c r="R186" t="str">
        <f t="shared" si="21"/>
        <v>1.91</v>
      </c>
      <c r="S186" t="str">
        <f t="shared" si="22"/>
        <v>1.68</v>
      </c>
      <c r="T186" t="str">
        <f t="shared" si="23"/>
        <v>0.860889816924147</v>
      </c>
      <c r="U186" t="str">
        <f t="shared" si="24"/>
        <v>5.88</v>
      </c>
    </row>
    <row r="187" spans="1:21" x14ac:dyDescent="0.25">
      <c r="A187" t="s">
        <v>33</v>
      </c>
      <c r="B187" s="1" t="s">
        <v>9</v>
      </c>
      <c r="C187">
        <v>3.1716702916054822</v>
      </c>
      <c r="D187" s="18" t="s">
        <v>376</v>
      </c>
      <c r="E187">
        <v>67.752584864706762</v>
      </c>
      <c r="F187">
        <v>18.558994446830429</v>
      </c>
      <c r="G187" s="18" t="s">
        <v>379</v>
      </c>
      <c r="H187" s="18" t="s">
        <v>378</v>
      </c>
      <c r="I187">
        <v>1.6647555508153611</v>
      </c>
      <c r="J187" s="18" t="s">
        <v>377</v>
      </c>
      <c r="L187" t="s">
        <v>33</v>
      </c>
      <c r="M187" s="1" t="s">
        <v>9</v>
      </c>
      <c r="N187" t="str">
        <f t="shared" si="17"/>
        <v>3.17167029160548</v>
      </c>
      <c r="O187" t="str">
        <f t="shared" si="18"/>
        <v>16.94</v>
      </c>
      <c r="P187" t="str">
        <f t="shared" si="19"/>
        <v>67.7525848647068</v>
      </c>
      <c r="Q187" t="str">
        <f t="shared" si="20"/>
        <v>18.5589944468304</v>
      </c>
      <c r="R187" t="str">
        <f t="shared" si="21"/>
        <v>1.80</v>
      </c>
      <c r="S187" t="str">
        <f t="shared" si="22"/>
        <v>1.74</v>
      </c>
      <c r="T187" t="str">
        <f t="shared" si="23"/>
        <v>1.66475555081536</v>
      </c>
      <c r="U187" t="str">
        <f t="shared" si="24"/>
        <v>5.75</v>
      </c>
    </row>
    <row r="188" spans="1:21" x14ac:dyDescent="0.25">
      <c r="A188" t="s">
        <v>33</v>
      </c>
      <c r="B188" s="1" t="s">
        <v>10</v>
      </c>
      <c r="C188">
        <v>4.7278800582714897</v>
      </c>
      <c r="D188" s="18" t="s">
        <v>382</v>
      </c>
      <c r="E188">
        <v>69.436456172084803</v>
      </c>
      <c r="F188">
        <v>18.580640205805501</v>
      </c>
      <c r="G188" s="18" t="s">
        <v>302</v>
      </c>
      <c r="H188" s="18" t="s">
        <v>384</v>
      </c>
      <c r="I188">
        <v>1.6827613332279019</v>
      </c>
      <c r="J188" s="18" t="s">
        <v>383</v>
      </c>
      <c r="L188" t="s">
        <v>33</v>
      </c>
      <c r="M188" s="1" t="s">
        <v>10</v>
      </c>
      <c r="N188" t="str">
        <f t="shared" si="17"/>
        <v>4.72788005827149</v>
      </c>
      <c r="O188" t="str">
        <f t="shared" si="18"/>
        <v>16.62</v>
      </c>
      <c r="P188" t="str">
        <f t="shared" si="19"/>
        <v>69.4364561720848</v>
      </c>
      <c r="Q188" t="str">
        <f t="shared" si="20"/>
        <v>18.5806402058055</v>
      </c>
      <c r="R188" t="str">
        <f t="shared" si="21"/>
        <v>1.68</v>
      </c>
      <c r="S188" t="str">
        <f t="shared" si="22"/>
        <v>1.75</v>
      </c>
      <c r="T188" t="str">
        <f t="shared" si="23"/>
        <v>1.6827613332279</v>
      </c>
      <c r="U188" t="str">
        <f t="shared" si="24"/>
        <v>5.69</v>
      </c>
    </row>
    <row r="189" spans="1:21" x14ac:dyDescent="0.25">
      <c r="A189" t="s">
        <v>33</v>
      </c>
      <c r="B189" s="1" t="s">
        <v>11</v>
      </c>
      <c r="C189">
        <v>4.114326687136273E-2</v>
      </c>
      <c r="D189" s="18" t="s">
        <v>387</v>
      </c>
      <c r="E189">
        <v>69.672804483509779</v>
      </c>
      <c r="F189">
        <v>18.577653526470613</v>
      </c>
      <c r="G189" s="18" t="s">
        <v>302</v>
      </c>
      <c r="H189" s="18" t="s">
        <v>365</v>
      </c>
      <c r="I189">
        <v>0.83403896307875036</v>
      </c>
      <c r="J189" s="18" t="s">
        <v>377</v>
      </c>
      <c r="L189" t="s">
        <v>33</v>
      </c>
      <c r="M189" s="1" t="s">
        <v>11</v>
      </c>
      <c r="N189" t="str">
        <f t="shared" si="17"/>
        <v>0.0411432668713627</v>
      </c>
      <c r="O189" t="str">
        <f t="shared" si="18"/>
        <v>17.71</v>
      </c>
      <c r="P189" t="str">
        <f t="shared" si="19"/>
        <v>69.6728044835098</v>
      </c>
      <c r="Q189" t="str">
        <f t="shared" si="20"/>
        <v>18.5776535264706</v>
      </c>
      <c r="R189" t="str">
        <f t="shared" si="21"/>
        <v>1.68</v>
      </c>
      <c r="S189" t="str">
        <f t="shared" si="22"/>
        <v>1.58</v>
      </c>
      <c r="T189" t="str">
        <f t="shared" si="23"/>
        <v>0.83403896307875</v>
      </c>
      <c r="U189" t="str">
        <f t="shared" si="24"/>
        <v>5.75</v>
      </c>
    </row>
    <row r="190" spans="1:21" x14ac:dyDescent="0.25">
      <c r="A190" t="s">
        <v>33</v>
      </c>
      <c r="B190" s="1" t="s">
        <v>12</v>
      </c>
      <c r="C190">
        <v>0.99200564629745058</v>
      </c>
      <c r="D190" s="18" t="s">
        <v>389</v>
      </c>
      <c r="E190">
        <v>70.483079115647001</v>
      </c>
      <c r="F190">
        <v>18.575962095757653</v>
      </c>
      <c r="G190" s="18" t="s">
        <v>379</v>
      </c>
      <c r="H190" s="18" t="s">
        <v>369</v>
      </c>
      <c r="I190">
        <v>2.3103960851320235</v>
      </c>
      <c r="J190" s="18" t="s">
        <v>390</v>
      </c>
      <c r="L190" t="s">
        <v>33</v>
      </c>
      <c r="M190" s="1" t="s">
        <v>12</v>
      </c>
      <c r="N190" t="str">
        <f t="shared" si="17"/>
        <v>0.992005646297451</v>
      </c>
      <c r="O190" t="str">
        <f t="shared" si="18"/>
        <v>17.08</v>
      </c>
      <c r="P190" t="str">
        <f t="shared" si="19"/>
        <v>70.483079115647</v>
      </c>
      <c r="Q190" t="str">
        <f t="shared" si="20"/>
        <v>18.5759620957577</v>
      </c>
      <c r="R190" t="str">
        <f t="shared" si="21"/>
        <v>1.80</v>
      </c>
      <c r="S190" t="str">
        <f t="shared" si="22"/>
        <v>1.65</v>
      </c>
      <c r="T190" t="str">
        <f t="shared" si="23"/>
        <v>2.31039608513202</v>
      </c>
      <c r="U190" t="str">
        <f t="shared" si="24"/>
        <v>5.54</v>
      </c>
    </row>
    <row r="191" spans="1:21" x14ac:dyDescent="0.25">
      <c r="A191" t="s">
        <v>33</v>
      </c>
      <c r="B191" s="1" t="s">
        <v>13</v>
      </c>
      <c r="C191">
        <v>3.8197478679392383</v>
      </c>
      <c r="D191" s="18" t="s">
        <v>393</v>
      </c>
      <c r="E191">
        <v>71.729706569790579</v>
      </c>
      <c r="F191">
        <v>18.595915800712238</v>
      </c>
      <c r="G191" s="18" t="s">
        <v>369</v>
      </c>
      <c r="H191" s="18" t="s">
        <v>197</v>
      </c>
      <c r="I191">
        <v>2.0912570506500172</v>
      </c>
      <c r="J191" s="18" t="s">
        <v>394</v>
      </c>
      <c r="L191" t="s">
        <v>33</v>
      </c>
      <c r="M191" s="1" t="s">
        <v>13</v>
      </c>
      <c r="N191" t="str">
        <f t="shared" si="17"/>
        <v>3.81974786793924</v>
      </c>
      <c r="O191" t="str">
        <f t="shared" si="18"/>
        <v>16.72</v>
      </c>
      <c r="P191" t="str">
        <f t="shared" si="19"/>
        <v>71.7297065697906</v>
      </c>
      <c r="Q191" t="str">
        <f t="shared" si="20"/>
        <v>18.5959158007122</v>
      </c>
      <c r="R191" t="str">
        <f t="shared" si="21"/>
        <v>1.65</v>
      </c>
      <c r="S191" t="str">
        <f t="shared" si="22"/>
        <v>1.60</v>
      </c>
      <c r="T191" t="str">
        <f t="shared" si="23"/>
        <v>2.09125705065002</v>
      </c>
      <c r="U191" t="str">
        <f t="shared" si="24"/>
        <v>5.65</v>
      </c>
    </row>
    <row r="192" spans="1:21" x14ac:dyDescent="0.25">
      <c r="A192" t="s">
        <v>33</v>
      </c>
      <c r="B192" s="1" t="s">
        <v>14</v>
      </c>
      <c r="C192">
        <v>3.6605925722063213</v>
      </c>
      <c r="D192" s="18" t="s">
        <v>397</v>
      </c>
      <c r="E192">
        <v>62.917705669957712</v>
      </c>
      <c r="F192">
        <v>18.762945010053382</v>
      </c>
      <c r="G192" s="18" t="s">
        <v>361</v>
      </c>
      <c r="H192" s="18" t="s">
        <v>399</v>
      </c>
      <c r="I192">
        <v>2.0806531565855604</v>
      </c>
      <c r="J192" s="18" t="s">
        <v>398</v>
      </c>
      <c r="L192" t="s">
        <v>33</v>
      </c>
      <c r="M192" s="1" t="s">
        <v>14</v>
      </c>
      <c r="N192" t="str">
        <f t="shared" si="17"/>
        <v>3.66059257220632</v>
      </c>
      <c r="O192" t="str">
        <f t="shared" si="18"/>
        <v>16.59</v>
      </c>
      <c r="P192" t="str">
        <f t="shared" si="19"/>
        <v>62.9177056699577</v>
      </c>
      <c r="Q192" t="str">
        <f t="shared" si="20"/>
        <v>18.7629450100534</v>
      </c>
      <c r="R192" t="str">
        <f t="shared" si="21"/>
        <v>1.61</v>
      </c>
      <c r="S192" t="str">
        <f t="shared" si="22"/>
        <v>1.50</v>
      </c>
      <c r="T192" t="str">
        <f t="shared" si="23"/>
        <v>2.08065315658556</v>
      </c>
      <c r="U192" t="str">
        <f t="shared" si="24"/>
        <v>5.52</v>
      </c>
    </row>
    <row r="193" spans="1:21" x14ac:dyDescent="0.25">
      <c r="A193" t="s">
        <v>33</v>
      </c>
      <c r="B193" s="1" t="s">
        <v>15</v>
      </c>
      <c r="C193">
        <v>0.5633678944591668</v>
      </c>
      <c r="D193" s="18" t="s">
        <v>402</v>
      </c>
      <c r="E193">
        <v>66.708314884999012</v>
      </c>
      <c r="F193">
        <v>18.710060886366954</v>
      </c>
      <c r="G193" s="18" t="s">
        <v>405</v>
      </c>
      <c r="H193" s="18" t="s">
        <v>404</v>
      </c>
      <c r="I193">
        <v>1.9453736774512569</v>
      </c>
      <c r="J193" s="18" t="s">
        <v>403</v>
      </c>
      <c r="L193" t="s">
        <v>33</v>
      </c>
      <c r="M193" s="1" t="s">
        <v>15</v>
      </c>
      <c r="N193" t="str">
        <f t="shared" si="17"/>
        <v>0.563367894459167</v>
      </c>
      <c r="O193" t="str">
        <f t="shared" si="18"/>
        <v>17.31</v>
      </c>
      <c r="P193" t="str">
        <f t="shared" si="19"/>
        <v>66.708314884999</v>
      </c>
      <c r="Q193" t="str">
        <f t="shared" si="20"/>
        <v>18.710060886367</v>
      </c>
      <c r="R193" t="str">
        <f t="shared" si="21"/>
        <v>1.66</v>
      </c>
      <c r="S193" t="str">
        <f t="shared" si="22"/>
        <v>1.40</v>
      </c>
      <c r="T193" t="str">
        <f t="shared" si="23"/>
        <v>1.94537367745126</v>
      </c>
      <c r="U193" t="str">
        <f t="shared" si="24"/>
        <v>5.39</v>
      </c>
    </row>
    <row r="194" spans="1:21" x14ac:dyDescent="0.25">
      <c r="A194" t="s">
        <v>33</v>
      </c>
      <c r="B194" s="1" t="s">
        <v>16</v>
      </c>
      <c r="C194">
        <v>1.9289609668861021</v>
      </c>
      <c r="D194" s="18" t="s">
        <v>408</v>
      </c>
      <c r="E194">
        <v>66.378602510796114</v>
      </c>
      <c r="F194">
        <v>18.734121662804196</v>
      </c>
      <c r="G194" s="18" t="s">
        <v>410</v>
      </c>
      <c r="H194" s="18" t="s">
        <v>404</v>
      </c>
      <c r="I194">
        <v>1.965685961383947</v>
      </c>
      <c r="J194" s="18" t="s">
        <v>409</v>
      </c>
      <c r="L194" t="s">
        <v>33</v>
      </c>
      <c r="M194" s="1" t="s">
        <v>16</v>
      </c>
      <c r="N194" t="str">
        <f t="shared" si="17"/>
        <v>1.9289609668861</v>
      </c>
      <c r="O194" t="str">
        <f t="shared" si="18"/>
        <v>17.05</v>
      </c>
      <c r="P194" t="str">
        <f t="shared" si="19"/>
        <v>66.3786025107961</v>
      </c>
      <c r="Q194" t="str">
        <f t="shared" si="20"/>
        <v>18.7341216628042</v>
      </c>
      <c r="R194" t="str">
        <f t="shared" si="21"/>
        <v>1.67</v>
      </c>
      <c r="S194" t="str">
        <f t="shared" si="22"/>
        <v>1.40</v>
      </c>
      <c r="T194" t="str">
        <f t="shared" si="23"/>
        <v>1.96568596138395</v>
      </c>
      <c r="U194" t="str">
        <f t="shared" si="24"/>
        <v>5.53</v>
      </c>
    </row>
    <row r="195" spans="1:21" x14ac:dyDescent="0.25">
      <c r="A195" t="s">
        <v>33</v>
      </c>
      <c r="B195" s="1" t="s">
        <v>17</v>
      </c>
      <c r="C195">
        <v>0.48143351500719589</v>
      </c>
      <c r="D195" s="18" t="s">
        <v>413</v>
      </c>
      <c r="E195">
        <v>63.809169800225348</v>
      </c>
      <c r="F195">
        <v>18.778402292009886</v>
      </c>
      <c r="G195" s="18" t="s">
        <v>361</v>
      </c>
      <c r="H195" s="18" t="s">
        <v>415</v>
      </c>
      <c r="I195">
        <v>2.0174767489348739</v>
      </c>
      <c r="J195" s="18" t="s">
        <v>414</v>
      </c>
      <c r="L195" t="s">
        <v>33</v>
      </c>
      <c r="M195" s="1" t="s">
        <v>17</v>
      </c>
      <c r="N195" t="str">
        <f t="shared" ref="N195:N258" si="25">SUBSTITUTE(C195,",",".")</f>
        <v>0.481433515007196</v>
      </c>
      <c r="O195" t="str">
        <f t="shared" ref="O195:O258" si="26">SUBSTITUTE(D195,",",".")</f>
        <v>16.86</v>
      </c>
      <c r="P195" t="str">
        <f t="shared" ref="P195:P258" si="27">SUBSTITUTE(E195,",",".")</f>
        <v>63.8091698002253</v>
      </c>
      <c r="Q195" t="str">
        <f t="shared" ref="Q195:Q258" si="28">SUBSTITUTE(F195,",",".")</f>
        <v>18.7784022920099</v>
      </c>
      <c r="R195" t="str">
        <f t="shared" ref="R195:R258" si="29">SUBSTITUTE(G195,",",".")</f>
        <v>1.61</v>
      </c>
      <c r="S195" t="str">
        <f t="shared" ref="S195:S258" si="30">SUBSTITUTE(H195,",",".")</f>
        <v>1.34</v>
      </c>
      <c r="T195" t="str">
        <f t="shared" ref="T195:T258" si="31">SUBSTITUTE(I195,",",".")</f>
        <v>2.01747674893487</v>
      </c>
      <c r="U195" t="str">
        <f t="shared" ref="U195:U258" si="32">SUBSTITUTE(J195,",",".")</f>
        <v>5.60</v>
      </c>
    </row>
    <row r="196" spans="1:21" x14ac:dyDescent="0.25">
      <c r="A196" t="s">
        <v>33</v>
      </c>
      <c r="B196" s="1" t="s">
        <v>18</v>
      </c>
      <c r="C196">
        <v>3.8174828880180276</v>
      </c>
      <c r="D196" s="18" t="s">
        <v>387</v>
      </c>
      <c r="E196">
        <v>62.550944961149078</v>
      </c>
      <c r="F196">
        <v>18.835782054372572</v>
      </c>
      <c r="G196" s="18" t="s">
        <v>209</v>
      </c>
      <c r="H196" s="18" t="s">
        <v>419</v>
      </c>
      <c r="I196">
        <v>2.0417688016576951</v>
      </c>
      <c r="J196" s="18" t="s">
        <v>418</v>
      </c>
      <c r="L196" t="s">
        <v>33</v>
      </c>
      <c r="M196" s="1" t="s">
        <v>18</v>
      </c>
      <c r="N196" t="str">
        <f t="shared" si="25"/>
        <v>3.81748288801803</v>
      </c>
      <c r="O196" t="str">
        <f t="shared" si="26"/>
        <v>17.71</v>
      </c>
      <c r="P196" t="str">
        <f t="shared" si="27"/>
        <v>62.5509449611491</v>
      </c>
      <c r="Q196" t="str">
        <f t="shared" si="28"/>
        <v>18.8357820543726</v>
      </c>
      <c r="R196" t="str">
        <f t="shared" si="29"/>
        <v>1.64</v>
      </c>
      <c r="S196" t="str">
        <f t="shared" si="30"/>
        <v>1.26</v>
      </c>
      <c r="T196" t="str">
        <f t="shared" si="31"/>
        <v>2.0417688016577</v>
      </c>
      <c r="U196" t="str">
        <f t="shared" si="32"/>
        <v>5.66</v>
      </c>
    </row>
    <row r="197" spans="1:21" x14ac:dyDescent="0.25">
      <c r="A197" t="s">
        <v>33</v>
      </c>
      <c r="B197" s="1" t="s">
        <v>19</v>
      </c>
      <c r="C197">
        <v>0.74755329391851055</v>
      </c>
      <c r="D197" s="18" t="s">
        <v>422</v>
      </c>
      <c r="E197">
        <v>63.875524849425922</v>
      </c>
      <c r="F197">
        <v>18.822274862772993</v>
      </c>
      <c r="G197" s="18" t="s">
        <v>425</v>
      </c>
      <c r="H197" s="18" t="s">
        <v>424</v>
      </c>
      <c r="I197">
        <v>1.8772135175139721</v>
      </c>
      <c r="J197" s="18" t="s">
        <v>423</v>
      </c>
      <c r="L197" t="s">
        <v>33</v>
      </c>
      <c r="M197" s="1" t="s">
        <v>19</v>
      </c>
      <c r="N197" t="str">
        <f t="shared" si="25"/>
        <v>0.747553293918511</v>
      </c>
      <c r="O197" t="str">
        <f t="shared" si="26"/>
        <v>17.78</v>
      </c>
      <c r="P197" t="str">
        <f t="shared" si="27"/>
        <v>63.8755248494259</v>
      </c>
      <c r="Q197" t="str">
        <f t="shared" si="28"/>
        <v>18.822274862773</v>
      </c>
      <c r="R197" t="str">
        <f t="shared" si="29"/>
        <v>1.73</v>
      </c>
      <c r="S197" t="str">
        <f t="shared" si="30"/>
        <v>1.24</v>
      </c>
      <c r="T197" t="str">
        <f t="shared" si="31"/>
        <v>1.87721351751397</v>
      </c>
      <c r="U197" t="str">
        <f t="shared" si="32"/>
        <v>5.84</v>
      </c>
    </row>
    <row r="198" spans="1:21" x14ac:dyDescent="0.25">
      <c r="A198" t="s">
        <v>33</v>
      </c>
      <c r="B198" s="1" t="s">
        <v>20</v>
      </c>
      <c r="C198">
        <v>2.9474960958942744</v>
      </c>
      <c r="D198" s="18" t="s">
        <v>428</v>
      </c>
      <c r="E198">
        <v>61.890193647963422</v>
      </c>
      <c r="F198">
        <v>18.882898309066707</v>
      </c>
      <c r="G198" s="18" t="s">
        <v>430</v>
      </c>
      <c r="H198" s="18" t="s">
        <v>429</v>
      </c>
      <c r="I198">
        <v>1.8634836766792771</v>
      </c>
      <c r="J198" s="18" t="s">
        <v>377</v>
      </c>
      <c r="L198" t="s">
        <v>33</v>
      </c>
      <c r="M198" s="1" t="s">
        <v>20</v>
      </c>
      <c r="N198" t="str">
        <f t="shared" si="25"/>
        <v>2.94749609589427</v>
      </c>
      <c r="O198" t="str">
        <f t="shared" si="26"/>
        <v>17.15</v>
      </c>
      <c r="P198" t="str">
        <f t="shared" si="27"/>
        <v>61.8901936479634</v>
      </c>
      <c r="Q198" t="str">
        <f t="shared" si="28"/>
        <v>18.8828983090667</v>
      </c>
      <c r="R198" t="str">
        <f t="shared" si="29"/>
        <v>1.85</v>
      </c>
      <c r="S198" t="str">
        <f t="shared" si="30"/>
        <v>1.19</v>
      </c>
      <c r="T198" t="str">
        <f t="shared" si="31"/>
        <v>1.86348367667928</v>
      </c>
      <c r="U198" t="str">
        <f t="shared" si="32"/>
        <v>5.75</v>
      </c>
    </row>
    <row r="199" spans="1:21" x14ac:dyDescent="0.25">
      <c r="A199" t="s">
        <v>33</v>
      </c>
      <c r="B199" s="1" t="s">
        <v>21</v>
      </c>
      <c r="C199">
        <v>4.8493432899067006</v>
      </c>
      <c r="D199" s="18" t="s">
        <v>433</v>
      </c>
      <c r="E199">
        <v>63.207929835834243</v>
      </c>
      <c r="F199">
        <v>18.909184596361552</v>
      </c>
      <c r="G199" s="18" t="s">
        <v>436</v>
      </c>
      <c r="H199" s="18" t="s">
        <v>435</v>
      </c>
      <c r="I199">
        <v>1.6843319996677573</v>
      </c>
      <c r="J199" s="18" t="s">
        <v>434</v>
      </c>
      <c r="L199" t="s">
        <v>33</v>
      </c>
      <c r="M199" s="1" t="s">
        <v>21</v>
      </c>
      <c r="N199" t="str">
        <f t="shared" si="25"/>
        <v>4.8493432899067</v>
      </c>
      <c r="O199" t="str">
        <f t="shared" si="26"/>
        <v>18.03</v>
      </c>
      <c r="P199" t="str">
        <f t="shared" si="27"/>
        <v>63.2079298358342</v>
      </c>
      <c r="Q199" t="str">
        <f t="shared" si="28"/>
        <v>18.9091845963616</v>
      </c>
      <c r="R199" t="str">
        <f t="shared" si="29"/>
        <v>1.88</v>
      </c>
      <c r="S199" t="str">
        <f t="shared" si="30"/>
        <v>1.10</v>
      </c>
      <c r="T199" t="str">
        <f t="shared" si="31"/>
        <v>1.68433199966776</v>
      </c>
      <c r="U199" t="str">
        <f t="shared" si="32"/>
        <v>5.73</v>
      </c>
    </row>
    <row r="200" spans="1:21" x14ac:dyDescent="0.25">
      <c r="A200" t="s">
        <v>33</v>
      </c>
      <c r="B200" s="1" t="s">
        <v>22</v>
      </c>
      <c r="C200">
        <v>2.6666008807770298</v>
      </c>
      <c r="D200" s="18" t="s">
        <v>439</v>
      </c>
      <c r="E200">
        <v>65.856758065603955</v>
      </c>
      <c r="F200">
        <v>18.894448978172267</v>
      </c>
      <c r="G200" s="18" t="s">
        <v>436</v>
      </c>
      <c r="H200" s="18" t="s">
        <v>441</v>
      </c>
      <c r="I200">
        <v>1.597759403011717</v>
      </c>
      <c r="J200" s="18" t="s">
        <v>440</v>
      </c>
      <c r="L200" t="s">
        <v>33</v>
      </c>
      <c r="M200" s="1" t="s">
        <v>22</v>
      </c>
      <c r="N200" t="str">
        <f t="shared" si="25"/>
        <v>2.66660088077703</v>
      </c>
      <c r="O200" t="str">
        <f t="shared" si="26"/>
        <v>17.74</v>
      </c>
      <c r="P200" t="str">
        <f t="shared" si="27"/>
        <v>65.856758065604</v>
      </c>
      <c r="Q200" t="str">
        <f t="shared" si="28"/>
        <v>18.8944489781723</v>
      </c>
      <c r="R200" t="str">
        <f t="shared" si="29"/>
        <v>1.88</v>
      </c>
      <c r="S200" t="str">
        <f t="shared" si="30"/>
        <v>1.07</v>
      </c>
      <c r="T200" t="str">
        <f t="shared" si="31"/>
        <v>1.59775940301172</v>
      </c>
      <c r="U200" t="str">
        <f t="shared" si="32"/>
        <v>5.83</v>
      </c>
    </row>
    <row r="201" spans="1:21" x14ac:dyDescent="0.25">
      <c r="A201" t="s">
        <v>33</v>
      </c>
      <c r="B201" s="1" t="s">
        <v>23</v>
      </c>
      <c r="C201">
        <v>2.1035293770606374</v>
      </c>
      <c r="D201" s="18">
        <v>19.190000000000001</v>
      </c>
      <c r="E201">
        <v>63.399050644281139</v>
      </c>
      <c r="F201">
        <v>18.953299248439716</v>
      </c>
      <c r="G201" s="18">
        <v>1.75</v>
      </c>
      <c r="H201" s="18">
        <v>1.1599999999999999</v>
      </c>
      <c r="I201">
        <v>1.4418438895534684</v>
      </c>
      <c r="J201" s="18">
        <v>5.86</v>
      </c>
      <c r="L201" t="s">
        <v>33</v>
      </c>
      <c r="M201" s="1" t="s">
        <v>23</v>
      </c>
      <c r="N201" t="str">
        <f t="shared" si="25"/>
        <v>2.10352937706064</v>
      </c>
      <c r="O201" t="str">
        <f t="shared" si="26"/>
        <v>19.19</v>
      </c>
      <c r="P201" t="str">
        <f t="shared" si="27"/>
        <v>63.3990506442811</v>
      </c>
      <c r="Q201" t="str">
        <f t="shared" si="28"/>
        <v>18.9532992484397</v>
      </c>
      <c r="R201" t="str">
        <f t="shared" si="29"/>
        <v>1.75</v>
      </c>
      <c r="S201" t="str">
        <f t="shared" si="30"/>
        <v>1.16</v>
      </c>
      <c r="T201" t="str">
        <f t="shared" si="31"/>
        <v>1.44184388955347</v>
      </c>
      <c r="U201" t="str">
        <f t="shared" si="32"/>
        <v>5.86</v>
      </c>
    </row>
    <row r="202" spans="1:21" x14ac:dyDescent="0.25">
      <c r="A202" t="s">
        <v>34</v>
      </c>
      <c r="B202" s="1" t="s">
        <v>4</v>
      </c>
      <c r="C202">
        <v>4.1556316746034314</v>
      </c>
      <c r="D202" s="17">
        <v>17.010000000000002</v>
      </c>
      <c r="E202">
        <v>68.324517894413347</v>
      </c>
      <c r="F202">
        <v>18.900352758367728</v>
      </c>
      <c r="G202" s="17">
        <v>2.1800000000000002</v>
      </c>
      <c r="H202" s="17">
        <v>1.72</v>
      </c>
      <c r="I202">
        <v>3.9180297712578929</v>
      </c>
      <c r="J202" s="17">
        <v>4.24</v>
      </c>
      <c r="L202" t="s">
        <v>34</v>
      </c>
      <c r="M202" s="1" t="s">
        <v>4</v>
      </c>
      <c r="N202" t="str">
        <f t="shared" si="25"/>
        <v>4.15563167460343</v>
      </c>
      <c r="O202" t="str">
        <f t="shared" si="26"/>
        <v>17.01</v>
      </c>
      <c r="P202" t="str">
        <f t="shared" si="27"/>
        <v>68.3245178944133</v>
      </c>
      <c r="Q202" t="str">
        <f t="shared" si="28"/>
        <v>18.9003527583677</v>
      </c>
      <c r="R202" t="str">
        <f t="shared" si="29"/>
        <v>2.18</v>
      </c>
      <c r="S202" t="str">
        <f t="shared" si="30"/>
        <v>1.72</v>
      </c>
      <c r="T202" t="str">
        <f t="shared" si="31"/>
        <v>3.91802977125789</v>
      </c>
      <c r="U202" t="str">
        <f t="shared" si="32"/>
        <v>4.24</v>
      </c>
    </row>
    <row r="203" spans="1:21" x14ac:dyDescent="0.25">
      <c r="A203" t="s">
        <v>34</v>
      </c>
      <c r="B203" s="1" t="s">
        <v>5</v>
      </c>
      <c r="C203">
        <v>5.5745531885633337</v>
      </c>
      <c r="D203" s="17">
        <v>16.739999999999998</v>
      </c>
      <c r="E203">
        <v>68.42833784886129</v>
      </c>
      <c r="F203">
        <v>18.953081581877296</v>
      </c>
      <c r="G203" s="17">
        <v>2.14</v>
      </c>
      <c r="H203" s="17">
        <v>1.77</v>
      </c>
      <c r="I203">
        <v>3.7531956507425406</v>
      </c>
      <c r="J203" s="17">
        <v>4.1500000000000004</v>
      </c>
      <c r="L203" t="s">
        <v>34</v>
      </c>
      <c r="M203" s="1" t="s">
        <v>5</v>
      </c>
      <c r="N203" t="str">
        <f t="shared" si="25"/>
        <v>5.57455318856333</v>
      </c>
      <c r="O203" t="str">
        <f t="shared" si="26"/>
        <v>16.74</v>
      </c>
      <c r="P203" t="str">
        <f t="shared" si="27"/>
        <v>68.4283378488613</v>
      </c>
      <c r="Q203" t="str">
        <f t="shared" si="28"/>
        <v>18.9530815818773</v>
      </c>
      <c r="R203" t="str">
        <f t="shared" si="29"/>
        <v>2.14</v>
      </c>
      <c r="S203" t="str">
        <f t="shared" si="30"/>
        <v>1.77</v>
      </c>
      <c r="T203" t="str">
        <f t="shared" si="31"/>
        <v>3.75319565074254</v>
      </c>
      <c r="U203" t="str">
        <f t="shared" si="32"/>
        <v>4.15</v>
      </c>
    </row>
    <row r="204" spans="1:21" x14ac:dyDescent="0.25">
      <c r="A204" t="s">
        <v>34</v>
      </c>
      <c r="B204" s="1" t="s">
        <v>6</v>
      </c>
      <c r="C204">
        <v>2.5652913827905763</v>
      </c>
      <c r="D204" s="17">
        <v>17.03</v>
      </c>
      <c r="E204">
        <v>72.882831485936677</v>
      </c>
      <c r="F204">
        <v>18.915344912103386</v>
      </c>
      <c r="G204" s="17">
        <v>2.1800000000000002</v>
      </c>
      <c r="H204" s="17">
        <v>1.75</v>
      </c>
      <c r="I204">
        <v>3.8627853934954159</v>
      </c>
      <c r="J204" s="17">
        <v>4.1900000000000004</v>
      </c>
      <c r="L204" t="s">
        <v>34</v>
      </c>
      <c r="M204" s="1" t="s">
        <v>6</v>
      </c>
      <c r="N204" t="str">
        <f t="shared" si="25"/>
        <v>2.56529138279058</v>
      </c>
      <c r="O204" t="str">
        <f t="shared" si="26"/>
        <v>17.03</v>
      </c>
      <c r="P204" t="str">
        <f t="shared" si="27"/>
        <v>72.8828314859367</v>
      </c>
      <c r="Q204" t="str">
        <f t="shared" si="28"/>
        <v>18.9153449121034</v>
      </c>
      <c r="R204" t="str">
        <f t="shared" si="29"/>
        <v>2.18</v>
      </c>
      <c r="S204" t="str">
        <f t="shared" si="30"/>
        <v>1.75</v>
      </c>
      <c r="T204" t="str">
        <f t="shared" si="31"/>
        <v>3.86278539349542</v>
      </c>
      <c r="U204" t="str">
        <f t="shared" si="32"/>
        <v>4.19</v>
      </c>
    </row>
    <row r="205" spans="1:21" x14ac:dyDescent="0.25">
      <c r="A205" t="s">
        <v>34</v>
      </c>
      <c r="B205" s="1" t="s">
        <v>7</v>
      </c>
      <c r="C205">
        <v>-1.7699690631196192</v>
      </c>
      <c r="D205" s="17">
        <v>17.63</v>
      </c>
      <c r="E205">
        <v>67.638273158413881</v>
      </c>
      <c r="F205">
        <v>18.97216581846909</v>
      </c>
      <c r="G205" s="17">
        <v>2.1</v>
      </c>
      <c r="H205" s="17">
        <v>1.73</v>
      </c>
      <c r="I205">
        <v>3.6998198903397705</v>
      </c>
      <c r="J205" s="17">
        <v>4.1500000000000004</v>
      </c>
      <c r="L205" t="s">
        <v>34</v>
      </c>
      <c r="M205" s="1" t="s">
        <v>7</v>
      </c>
      <c r="N205" t="str">
        <f t="shared" si="25"/>
        <v>-1.76996906311962</v>
      </c>
      <c r="O205" t="str">
        <f t="shared" si="26"/>
        <v>17.63</v>
      </c>
      <c r="P205" t="str">
        <f t="shared" si="27"/>
        <v>67.6382731584139</v>
      </c>
      <c r="Q205" t="str">
        <f t="shared" si="28"/>
        <v>18.9721658184691</v>
      </c>
      <c r="R205" t="str">
        <f t="shared" si="29"/>
        <v>2.1</v>
      </c>
      <c r="S205" t="str">
        <f t="shared" si="30"/>
        <v>1.73</v>
      </c>
      <c r="T205" t="str">
        <f t="shared" si="31"/>
        <v>3.69981989033977</v>
      </c>
      <c r="U205" t="str">
        <f t="shared" si="32"/>
        <v>4.15</v>
      </c>
    </row>
    <row r="206" spans="1:21" x14ac:dyDescent="0.25">
      <c r="A206" t="s">
        <v>34</v>
      </c>
      <c r="B206" s="1" t="s">
        <v>8</v>
      </c>
      <c r="C206">
        <v>-0.28220876599092443</v>
      </c>
      <c r="D206" s="17">
        <v>17.739999999999998</v>
      </c>
      <c r="E206">
        <v>65.948180608074679</v>
      </c>
      <c r="F206">
        <v>18.994644443690206</v>
      </c>
      <c r="G206" s="17">
        <v>2.29</v>
      </c>
      <c r="H206" s="17">
        <v>1.85</v>
      </c>
      <c r="I206">
        <v>3.7621538996491504</v>
      </c>
      <c r="J206" s="17">
        <v>3.89</v>
      </c>
      <c r="L206" t="s">
        <v>34</v>
      </c>
      <c r="M206" s="1" t="s">
        <v>8</v>
      </c>
      <c r="N206" t="str">
        <f t="shared" si="25"/>
        <v>-0.282208765990924</v>
      </c>
      <c r="O206" t="str">
        <f t="shared" si="26"/>
        <v>17.74</v>
      </c>
      <c r="P206" t="str">
        <f t="shared" si="27"/>
        <v>65.9481806080747</v>
      </c>
      <c r="Q206" t="str">
        <f t="shared" si="28"/>
        <v>18.9946444436902</v>
      </c>
      <c r="R206" t="str">
        <f t="shared" si="29"/>
        <v>2.29</v>
      </c>
      <c r="S206" t="str">
        <f t="shared" si="30"/>
        <v>1.85</v>
      </c>
      <c r="T206" t="str">
        <f t="shared" si="31"/>
        <v>3.76215389964915</v>
      </c>
      <c r="U206" t="str">
        <f t="shared" si="32"/>
        <v>3.89</v>
      </c>
    </row>
    <row r="207" spans="1:21" x14ac:dyDescent="0.25">
      <c r="A207" t="s">
        <v>34</v>
      </c>
      <c r="B207" s="1" t="s">
        <v>9</v>
      </c>
      <c r="C207">
        <v>1.5009813829147767</v>
      </c>
      <c r="D207" s="17">
        <v>18.54</v>
      </c>
      <c r="E207">
        <v>66.744203612009855</v>
      </c>
      <c r="F207">
        <v>18.997544560036761</v>
      </c>
      <c r="G207" s="17">
        <v>2.33</v>
      </c>
      <c r="H207" s="17">
        <v>1.82</v>
      </c>
      <c r="I207">
        <v>3.7982019034363956</v>
      </c>
      <c r="J207" s="17">
        <v>4</v>
      </c>
      <c r="L207" t="s">
        <v>34</v>
      </c>
      <c r="M207" s="1" t="s">
        <v>9</v>
      </c>
      <c r="N207" t="str">
        <f t="shared" si="25"/>
        <v>1.50098138291478</v>
      </c>
      <c r="O207" t="str">
        <f t="shared" si="26"/>
        <v>18.54</v>
      </c>
      <c r="P207" t="str">
        <f t="shared" si="27"/>
        <v>66.7442036120099</v>
      </c>
      <c r="Q207" t="str">
        <f t="shared" si="28"/>
        <v>18.9975445600368</v>
      </c>
      <c r="R207" t="str">
        <f t="shared" si="29"/>
        <v>2.33</v>
      </c>
      <c r="S207" t="str">
        <f t="shared" si="30"/>
        <v>1.82</v>
      </c>
      <c r="T207" t="str">
        <f t="shared" si="31"/>
        <v>3.7982019034364</v>
      </c>
      <c r="U207" t="str">
        <f t="shared" si="32"/>
        <v>4</v>
      </c>
    </row>
    <row r="208" spans="1:21" x14ac:dyDescent="0.25">
      <c r="A208" t="s">
        <v>34</v>
      </c>
      <c r="B208" s="1" t="s">
        <v>10</v>
      </c>
      <c r="C208">
        <v>0.60486084164775089</v>
      </c>
      <c r="D208" s="17">
        <v>18.61</v>
      </c>
      <c r="E208">
        <v>68.14119359154229</v>
      </c>
      <c r="F208">
        <v>18.982860476456676</v>
      </c>
      <c r="G208" s="17">
        <v>2.2400000000000002</v>
      </c>
      <c r="H208" s="17">
        <v>1.84</v>
      </c>
      <c r="I208">
        <v>3.9666935289005676</v>
      </c>
      <c r="J208" s="17">
        <v>3.92</v>
      </c>
      <c r="L208" t="s">
        <v>34</v>
      </c>
      <c r="M208" s="1" t="s">
        <v>10</v>
      </c>
      <c r="N208" t="str">
        <f t="shared" si="25"/>
        <v>0.604860841647751</v>
      </c>
      <c r="O208" t="str">
        <f t="shared" si="26"/>
        <v>18.61</v>
      </c>
      <c r="P208" t="str">
        <f t="shared" si="27"/>
        <v>68.1411935915423</v>
      </c>
      <c r="Q208" t="str">
        <f t="shared" si="28"/>
        <v>18.9828604764567</v>
      </c>
      <c r="R208" t="str">
        <f t="shared" si="29"/>
        <v>2.24</v>
      </c>
      <c r="S208" t="str">
        <f t="shared" si="30"/>
        <v>1.84</v>
      </c>
      <c r="T208" t="str">
        <f t="shared" si="31"/>
        <v>3.96669352890057</v>
      </c>
      <c r="U208" t="str">
        <f t="shared" si="32"/>
        <v>3.92</v>
      </c>
    </row>
    <row r="209" spans="1:21" x14ac:dyDescent="0.25">
      <c r="A209" t="s">
        <v>34</v>
      </c>
      <c r="B209" s="1" t="s">
        <v>11</v>
      </c>
      <c r="C209">
        <v>-0.75439287191452076</v>
      </c>
      <c r="D209" s="17">
        <v>19.100000000000001</v>
      </c>
      <c r="E209">
        <v>65.622373319577846</v>
      </c>
      <c r="F209">
        <v>19.012953182710142</v>
      </c>
      <c r="G209" s="17">
        <v>2.2200000000000002</v>
      </c>
      <c r="H209" s="17">
        <v>1.72</v>
      </c>
      <c r="I209">
        <v>3.8849697445008684</v>
      </c>
      <c r="J209" s="17">
        <v>3.95</v>
      </c>
      <c r="L209" t="s">
        <v>34</v>
      </c>
      <c r="M209" s="1" t="s">
        <v>11</v>
      </c>
      <c r="N209" t="str">
        <f t="shared" si="25"/>
        <v>-0.754392871914521</v>
      </c>
      <c r="O209" t="str">
        <f t="shared" si="26"/>
        <v>19.1</v>
      </c>
      <c r="P209" t="str">
        <f t="shared" si="27"/>
        <v>65.6223733195778</v>
      </c>
      <c r="Q209" t="str">
        <f t="shared" si="28"/>
        <v>19.0129531827101</v>
      </c>
      <c r="R209" t="str">
        <f t="shared" si="29"/>
        <v>2.22</v>
      </c>
      <c r="S209" t="str">
        <f t="shared" si="30"/>
        <v>1.72</v>
      </c>
      <c r="T209" t="str">
        <f t="shared" si="31"/>
        <v>3.88496974450087</v>
      </c>
      <c r="U209" t="str">
        <f t="shared" si="32"/>
        <v>3.95</v>
      </c>
    </row>
    <row r="210" spans="1:21" x14ac:dyDescent="0.25">
      <c r="A210" t="s">
        <v>34</v>
      </c>
      <c r="B210" s="1" t="s">
        <v>12</v>
      </c>
      <c r="C210">
        <v>4.0718155329797714</v>
      </c>
      <c r="D210" s="17">
        <v>18.71</v>
      </c>
      <c r="E210">
        <v>64.467426416187038</v>
      </c>
      <c r="F210">
        <v>19.070620806595318</v>
      </c>
      <c r="G210" s="17">
        <v>2.42</v>
      </c>
      <c r="H210" s="17">
        <v>1.8</v>
      </c>
      <c r="I210">
        <v>3.6960029327536108</v>
      </c>
      <c r="J210" s="17">
        <v>3.89</v>
      </c>
      <c r="L210" t="s">
        <v>34</v>
      </c>
      <c r="M210" s="1" t="s">
        <v>12</v>
      </c>
      <c r="N210" t="str">
        <f t="shared" si="25"/>
        <v>4.07181553297977</v>
      </c>
      <c r="O210" t="str">
        <f t="shared" si="26"/>
        <v>18.71</v>
      </c>
      <c r="P210" t="str">
        <f t="shared" si="27"/>
        <v>64.467426416187</v>
      </c>
      <c r="Q210" t="str">
        <f t="shared" si="28"/>
        <v>19.0706208065953</v>
      </c>
      <c r="R210" t="str">
        <f t="shared" si="29"/>
        <v>2.42</v>
      </c>
      <c r="S210" t="str">
        <f t="shared" si="30"/>
        <v>1.8</v>
      </c>
      <c r="T210" t="str">
        <f t="shared" si="31"/>
        <v>3.69600293275361</v>
      </c>
      <c r="U210" t="str">
        <f t="shared" si="32"/>
        <v>3.89</v>
      </c>
    </row>
    <row r="211" spans="1:21" x14ac:dyDescent="0.25">
      <c r="A211" t="s">
        <v>34</v>
      </c>
      <c r="B211" s="1" t="s">
        <v>13</v>
      </c>
      <c r="C211">
        <v>-5.1230397782566683</v>
      </c>
      <c r="D211" s="17">
        <v>20.64</v>
      </c>
      <c r="E211">
        <v>64.295393612042275</v>
      </c>
      <c r="F211">
        <v>19.020703606969448</v>
      </c>
      <c r="G211" s="17">
        <v>2.29</v>
      </c>
      <c r="H211" s="17">
        <v>1.82</v>
      </c>
      <c r="I211">
        <v>3.9945696920813387</v>
      </c>
      <c r="J211" s="17">
        <v>3.99</v>
      </c>
      <c r="L211" t="s">
        <v>34</v>
      </c>
      <c r="M211" s="1" t="s">
        <v>13</v>
      </c>
      <c r="N211" t="str">
        <f t="shared" si="25"/>
        <v>-5.12303977825667</v>
      </c>
      <c r="O211" t="str">
        <f t="shared" si="26"/>
        <v>20.64</v>
      </c>
      <c r="P211" t="str">
        <f t="shared" si="27"/>
        <v>64.2953936120423</v>
      </c>
      <c r="Q211" t="str">
        <f t="shared" si="28"/>
        <v>19.0207036069694</v>
      </c>
      <c r="R211" t="str">
        <f t="shared" si="29"/>
        <v>2.29</v>
      </c>
      <c r="S211" t="str">
        <f t="shared" si="30"/>
        <v>1.82</v>
      </c>
      <c r="T211" t="str">
        <f t="shared" si="31"/>
        <v>3.99456969208134</v>
      </c>
      <c r="U211" t="str">
        <f t="shared" si="32"/>
        <v>3.99</v>
      </c>
    </row>
    <row r="212" spans="1:21" x14ac:dyDescent="0.25">
      <c r="A212" t="s">
        <v>34</v>
      </c>
      <c r="B212" s="1" t="s">
        <v>14</v>
      </c>
      <c r="C212">
        <v>1.2125521921425391</v>
      </c>
      <c r="D212" s="17">
        <v>20.92</v>
      </c>
      <c r="E212">
        <v>59.895959827045466</v>
      </c>
      <c r="F212">
        <v>19.103635139119415</v>
      </c>
      <c r="G212" s="17">
        <v>1.86</v>
      </c>
      <c r="H212" s="17">
        <v>1.81</v>
      </c>
      <c r="I212">
        <v>4.6464584040960082</v>
      </c>
      <c r="J212" s="17">
        <v>3.86</v>
      </c>
      <c r="L212" t="s">
        <v>34</v>
      </c>
      <c r="M212" s="1" t="s">
        <v>14</v>
      </c>
      <c r="N212" t="str">
        <f t="shared" si="25"/>
        <v>1.21255219214254</v>
      </c>
      <c r="O212" t="str">
        <f t="shared" si="26"/>
        <v>20.92</v>
      </c>
      <c r="P212" t="str">
        <f t="shared" si="27"/>
        <v>59.8959598270455</v>
      </c>
      <c r="Q212" t="str">
        <f t="shared" si="28"/>
        <v>19.1036351391194</v>
      </c>
      <c r="R212" t="str">
        <f t="shared" si="29"/>
        <v>1.86</v>
      </c>
      <c r="S212" t="str">
        <f t="shared" si="30"/>
        <v>1.81</v>
      </c>
      <c r="T212" t="str">
        <f t="shared" si="31"/>
        <v>4.64645840409601</v>
      </c>
      <c r="U212" t="str">
        <f t="shared" si="32"/>
        <v>3.86</v>
      </c>
    </row>
    <row r="213" spans="1:21" x14ac:dyDescent="0.25">
      <c r="A213" t="s">
        <v>34</v>
      </c>
      <c r="B213" s="1" t="s">
        <v>15</v>
      </c>
      <c r="C213">
        <v>-3.3968074174991689</v>
      </c>
      <c r="D213" s="17">
        <v>21.98</v>
      </c>
      <c r="E213">
        <v>55.514572030476863</v>
      </c>
      <c r="F213">
        <v>19.145040252130844</v>
      </c>
      <c r="G213" s="17">
        <v>1.47</v>
      </c>
      <c r="H213" s="17">
        <v>1.93</v>
      </c>
      <c r="I213">
        <v>4.5092979726662952</v>
      </c>
      <c r="J213" s="17">
        <v>3.79</v>
      </c>
      <c r="L213" t="s">
        <v>34</v>
      </c>
      <c r="M213" s="1" t="s">
        <v>15</v>
      </c>
      <c r="N213" t="str">
        <f t="shared" si="25"/>
        <v>-3.39680741749917</v>
      </c>
      <c r="O213" t="str">
        <f t="shared" si="26"/>
        <v>21.98</v>
      </c>
      <c r="P213" t="str">
        <f t="shared" si="27"/>
        <v>55.5145720304769</v>
      </c>
      <c r="Q213" t="str">
        <f t="shared" si="28"/>
        <v>19.1450402521308</v>
      </c>
      <c r="R213" t="str">
        <f t="shared" si="29"/>
        <v>1.47</v>
      </c>
      <c r="S213" t="str">
        <f t="shared" si="30"/>
        <v>1.93</v>
      </c>
      <c r="T213" t="str">
        <f t="shared" si="31"/>
        <v>4.5092979726663</v>
      </c>
      <c r="U213" t="str">
        <f t="shared" si="32"/>
        <v>3.79</v>
      </c>
    </row>
    <row r="214" spans="1:21" x14ac:dyDescent="0.25">
      <c r="A214" t="s">
        <v>34</v>
      </c>
      <c r="B214" s="1" t="s">
        <v>16</v>
      </c>
      <c r="C214">
        <v>1.9664027196960275E-2</v>
      </c>
      <c r="D214" s="17">
        <v>22.03</v>
      </c>
      <c r="E214">
        <v>55.139917427427896</v>
      </c>
      <c r="F214">
        <v>19.152008510382245</v>
      </c>
      <c r="G214" s="17">
        <v>1.25</v>
      </c>
      <c r="H214" s="17">
        <v>1.96</v>
      </c>
      <c r="I214">
        <v>5.4343190584677661</v>
      </c>
      <c r="J214" s="17">
        <v>3.8</v>
      </c>
      <c r="L214" t="s">
        <v>34</v>
      </c>
      <c r="M214" s="1" t="s">
        <v>16</v>
      </c>
      <c r="N214" t="str">
        <f t="shared" si="25"/>
        <v>0.0196640271969603</v>
      </c>
      <c r="O214" t="str">
        <f t="shared" si="26"/>
        <v>22.03</v>
      </c>
      <c r="P214" t="str">
        <f t="shared" si="27"/>
        <v>55.1399174274279</v>
      </c>
      <c r="Q214" t="str">
        <f t="shared" si="28"/>
        <v>19.1520085103822</v>
      </c>
      <c r="R214" t="str">
        <f t="shared" si="29"/>
        <v>1.25</v>
      </c>
      <c r="S214" t="str">
        <f t="shared" si="30"/>
        <v>1.96</v>
      </c>
      <c r="T214" t="str">
        <f t="shared" si="31"/>
        <v>5.43431905846777</v>
      </c>
      <c r="U214" t="str">
        <f t="shared" si="32"/>
        <v>3.8</v>
      </c>
    </row>
    <row r="215" spans="1:21" x14ac:dyDescent="0.25">
      <c r="A215" t="s">
        <v>34</v>
      </c>
      <c r="B215" s="1" t="s">
        <v>17</v>
      </c>
      <c r="C215">
        <v>0.52819805209130133</v>
      </c>
      <c r="D215" s="17">
        <v>22.73</v>
      </c>
      <c r="E215">
        <v>57.263374133378285</v>
      </c>
      <c r="F215">
        <v>19.119489273789771</v>
      </c>
      <c r="G215" s="17">
        <v>1.92</v>
      </c>
      <c r="H215" s="17">
        <v>2.5299999999999998</v>
      </c>
      <c r="I215">
        <v>5.5593851697582961</v>
      </c>
      <c r="J215" s="17">
        <v>3.92</v>
      </c>
      <c r="L215" t="s">
        <v>34</v>
      </c>
      <c r="M215" s="1" t="s">
        <v>17</v>
      </c>
      <c r="N215" t="str">
        <f t="shared" si="25"/>
        <v>0.528198052091301</v>
      </c>
      <c r="O215" t="str">
        <f t="shared" si="26"/>
        <v>22.73</v>
      </c>
      <c r="P215" t="str">
        <f t="shared" si="27"/>
        <v>57.2633741333783</v>
      </c>
      <c r="Q215" t="str">
        <f t="shared" si="28"/>
        <v>19.1194892737898</v>
      </c>
      <c r="R215" t="str">
        <f t="shared" si="29"/>
        <v>1.92</v>
      </c>
      <c r="S215" t="str">
        <f t="shared" si="30"/>
        <v>2.53</v>
      </c>
      <c r="T215" t="str">
        <f t="shared" si="31"/>
        <v>5.5593851697583</v>
      </c>
      <c r="U215" t="str">
        <f t="shared" si="32"/>
        <v>3.92</v>
      </c>
    </row>
    <row r="216" spans="1:21" x14ac:dyDescent="0.25">
      <c r="A216" t="s">
        <v>34</v>
      </c>
      <c r="B216" s="1" t="s">
        <v>18</v>
      </c>
      <c r="C216">
        <v>1.6167417090169323</v>
      </c>
      <c r="D216" s="16">
        <v>22.41</v>
      </c>
      <c r="E216">
        <v>55.377944653992074</v>
      </c>
      <c r="F216">
        <v>19.169007210893117</v>
      </c>
      <c r="G216" s="17">
        <v>1.77</v>
      </c>
      <c r="H216" s="17">
        <v>2.39</v>
      </c>
      <c r="I216">
        <v>5.544463581167852</v>
      </c>
      <c r="J216" s="17">
        <v>3.86</v>
      </c>
      <c r="L216" t="s">
        <v>34</v>
      </c>
      <c r="M216" s="1" t="s">
        <v>18</v>
      </c>
      <c r="N216" t="str">
        <f t="shared" si="25"/>
        <v>1.61674170901693</v>
      </c>
      <c r="O216" t="str">
        <f t="shared" si="26"/>
        <v>22.41</v>
      </c>
      <c r="P216" t="str">
        <f t="shared" si="27"/>
        <v>55.3779446539921</v>
      </c>
      <c r="Q216" t="str">
        <f t="shared" si="28"/>
        <v>19.1690072108931</v>
      </c>
      <c r="R216" t="str">
        <f t="shared" si="29"/>
        <v>1.77</v>
      </c>
      <c r="S216" t="str">
        <f t="shared" si="30"/>
        <v>2.39</v>
      </c>
      <c r="T216" t="str">
        <f t="shared" si="31"/>
        <v>5.54446358116785</v>
      </c>
      <c r="U216" t="str">
        <f t="shared" si="32"/>
        <v>3.86</v>
      </c>
    </row>
    <row r="217" spans="1:21" x14ac:dyDescent="0.25">
      <c r="A217" t="s">
        <v>34</v>
      </c>
      <c r="B217" s="1" t="s">
        <v>19</v>
      </c>
      <c r="C217">
        <v>2.957156779354984</v>
      </c>
      <c r="D217" s="17">
        <v>22.94</v>
      </c>
      <c r="E217">
        <v>56.193713185339092</v>
      </c>
      <c r="F217">
        <v>19.183526490938004</v>
      </c>
      <c r="G217" s="17">
        <v>1.55</v>
      </c>
      <c r="H217" s="17">
        <v>2.36</v>
      </c>
      <c r="I217">
        <v>6.2625040346437535</v>
      </c>
      <c r="J217" s="17">
        <v>3.82</v>
      </c>
      <c r="L217" t="s">
        <v>34</v>
      </c>
      <c r="M217" s="1" t="s">
        <v>19</v>
      </c>
      <c r="N217" t="str">
        <f t="shared" si="25"/>
        <v>2.95715677935498</v>
      </c>
      <c r="O217" t="str">
        <f t="shared" si="26"/>
        <v>22.94</v>
      </c>
      <c r="P217" t="str">
        <f t="shared" si="27"/>
        <v>56.1937131853391</v>
      </c>
      <c r="Q217" t="str">
        <f t="shared" si="28"/>
        <v>19.183526490938</v>
      </c>
      <c r="R217" t="str">
        <f t="shared" si="29"/>
        <v>1.55</v>
      </c>
      <c r="S217" t="str">
        <f t="shared" si="30"/>
        <v>2.36</v>
      </c>
      <c r="T217" t="str">
        <f t="shared" si="31"/>
        <v>6.26250403464375</v>
      </c>
      <c r="U217" t="str">
        <f t="shared" si="32"/>
        <v>3.82</v>
      </c>
    </row>
    <row r="218" spans="1:21" x14ac:dyDescent="0.25">
      <c r="A218" t="s">
        <v>34</v>
      </c>
      <c r="B218" s="1" t="s">
        <v>20</v>
      </c>
      <c r="C218">
        <v>2.0707093817826183</v>
      </c>
      <c r="D218" s="18" t="s">
        <v>460</v>
      </c>
      <c r="E218">
        <v>54.485562160151346</v>
      </c>
      <c r="F218">
        <v>19.234891240827167</v>
      </c>
      <c r="G218" s="18" t="s">
        <v>463</v>
      </c>
      <c r="H218" s="18" t="s">
        <v>462</v>
      </c>
      <c r="I218">
        <v>6.5260120928347893</v>
      </c>
      <c r="J218" s="17" t="s">
        <v>461</v>
      </c>
      <c r="L218" t="s">
        <v>34</v>
      </c>
      <c r="M218" s="1" t="s">
        <v>20</v>
      </c>
      <c r="N218" t="str">
        <f t="shared" si="25"/>
        <v>2.07070938178262</v>
      </c>
      <c r="O218" t="str">
        <f t="shared" si="26"/>
        <v>22.33</v>
      </c>
      <c r="P218" t="str">
        <f t="shared" si="27"/>
        <v>54.4855621601513</v>
      </c>
      <c r="Q218" t="str">
        <f t="shared" si="28"/>
        <v>19.2348912408272</v>
      </c>
      <c r="R218" t="str">
        <f t="shared" si="29"/>
        <v>1.39</v>
      </c>
      <c r="S218" t="str">
        <f t="shared" si="30"/>
        <v>2.25</v>
      </c>
      <c r="T218" t="str">
        <f t="shared" si="31"/>
        <v>6.52601209283479</v>
      </c>
      <c r="U218" t="str">
        <f t="shared" si="32"/>
        <v>3.62</v>
      </c>
    </row>
    <row r="219" spans="1:21" x14ac:dyDescent="0.25">
      <c r="A219" t="s">
        <v>34</v>
      </c>
      <c r="B219" s="1" t="s">
        <v>21</v>
      </c>
      <c r="C219">
        <v>3.1063679637938724</v>
      </c>
      <c r="D219" s="18" t="s">
        <v>466</v>
      </c>
      <c r="E219">
        <v>56.751828838603643</v>
      </c>
      <c r="F219">
        <v>19.22473007888723</v>
      </c>
      <c r="G219" s="17" t="s">
        <v>469</v>
      </c>
      <c r="H219" s="18" t="s">
        <v>468</v>
      </c>
      <c r="I219">
        <v>6.1024602573807725</v>
      </c>
      <c r="J219" s="17" t="s">
        <v>467</v>
      </c>
      <c r="L219" t="s">
        <v>34</v>
      </c>
      <c r="M219" s="1" t="s">
        <v>21</v>
      </c>
      <c r="N219" t="str">
        <f t="shared" si="25"/>
        <v>3.10636796379387</v>
      </c>
      <c r="O219" t="str">
        <f t="shared" si="26"/>
        <v>21.98</v>
      </c>
      <c r="P219" t="str">
        <f t="shared" si="27"/>
        <v>56.7518288386036</v>
      </c>
      <c r="Q219" t="str">
        <f t="shared" si="28"/>
        <v>19.2247300788872</v>
      </c>
      <c r="R219" t="str">
        <f t="shared" si="29"/>
        <v>1.86</v>
      </c>
      <c r="S219" t="str">
        <f t="shared" si="30"/>
        <v>2.42</v>
      </c>
      <c r="T219" t="str">
        <f t="shared" si="31"/>
        <v>6.10246025738077</v>
      </c>
      <c r="U219" t="str">
        <f t="shared" si="32"/>
        <v>3.74</v>
      </c>
    </row>
    <row r="220" spans="1:21" x14ac:dyDescent="0.25">
      <c r="A220" t="s">
        <v>34</v>
      </c>
      <c r="B220" s="1" t="s">
        <v>22</v>
      </c>
      <c r="C220">
        <v>3.4293567057784502</v>
      </c>
      <c r="D220" s="18" t="s">
        <v>472</v>
      </c>
      <c r="E220">
        <v>59.500136782525345</v>
      </c>
      <c r="F220">
        <v>19.21115799931815</v>
      </c>
      <c r="G220" s="17" t="s">
        <v>338</v>
      </c>
      <c r="H220" s="17" t="s">
        <v>274</v>
      </c>
      <c r="I220">
        <v>6.1931061427504739</v>
      </c>
      <c r="J220" s="17" t="s">
        <v>473</v>
      </c>
      <c r="L220" t="s">
        <v>34</v>
      </c>
      <c r="M220" s="1" t="s">
        <v>22</v>
      </c>
      <c r="N220" t="str">
        <f t="shared" si="25"/>
        <v>3.42935670577845</v>
      </c>
      <c r="O220" t="str">
        <f t="shared" si="26"/>
        <v>20.81</v>
      </c>
      <c r="P220" t="str">
        <f t="shared" si="27"/>
        <v>59.5001367825253</v>
      </c>
      <c r="Q220" t="str">
        <f t="shared" si="28"/>
        <v>19.2111579993182</v>
      </c>
      <c r="R220" t="str">
        <f t="shared" si="29"/>
        <v>1.92</v>
      </c>
      <c r="S220" t="str">
        <f t="shared" si="30"/>
        <v>2.32</v>
      </c>
      <c r="T220" t="str">
        <f t="shared" si="31"/>
        <v>6.19310614275047</v>
      </c>
      <c r="U220" t="str">
        <f t="shared" si="32"/>
        <v>3.91</v>
      </c>
    </row>
    <row r="221" spans="1:21" x14ac:dyDescent="0.25">
      <c r="A221" t="s">
        <v>34</v>
      </c>
      <c r="B221" s="1" t="s">
        <v>23</v>
      </c>
      <c r="C221">
        <v>4.5719225665528862</v>
      </c>
      <c r="D221" s="17" t="s">
        <v>476</v>
      </c>
      <c r="E221">
        <v>57.499606634049371</v>
      </c>
      <c r="F221">
        <v>19.290063407003966</v>
      </c>
      <c r="G221" s="17" t="s">
        <v>469</v>
      </c>
      <c r="H221" s="17" t="s">
        <v>468</v>
      </c>
      <c r="I221">
        <v>5.3680365399871661</v>
      </c>
      <c r="J221" s="17" t="s">
        <v>477</v>
      </c>
      <c r="L221" t="s">
        <v>34</v>
      </c>
      <c r="M221" s="1" t="s">
        <v>23</v>
      </c>
      <c r="N221" t="str">
        <f t="shared" si="25"/>
        <v>4.57192256655289</v>
      </c>
      <c r="O221" t="str">
        <f t="shared" si="26"/>
        <v>21.39</v>
      </c>
      <c r="P221" t="str">
        <f t="shared" si="27"/>
        <v>57.4996066340494</v>
      </c>
      <c r="Q221" t="str">
        <f t="shared" si="28"/>
        <v>19.290063407004</v>
      </c>
      <c r="R221" t="str">
        <f t="shared" si="29"/>
        <v>1.86</v>
      </c>
      <c r="S221" t="str">
        <f t="shared" si="30"/>
        <v>2.42</v>
      </c>
      <c r="T221" t="str">
        <f t="shared" si="31"/>
        <v>5.36803653998717</v>
      </c>
      <c r="U221" t="str">
        <f t="shared" si="32"/>
        <v>4.04</v>
      </c>
    </row>
    <row r="222" spans="1:21" x14ac:dyDescent="0.25">
      <c r="A222" t="s">
        <v>35</v>
      </c>
      <c r="B222" s="1" t="s">
        <v>4</v>
      </c>
      <c r="C222">
        <v>3.0107541126946225</v>
      </c>
      <c r="D222" s="18">
        <v>24.92</v>
      </c>
      <c r="E222">
        <v>65.196749973482895</v>
      </c>
      <c r="F222">
        <v>15.783427765516011</v>
      </c>
      <c r="G222" s="18">
        <v>1.7</v>
      </c>
      <c r="H222" s="18">
        <v>1.71</v>
      </c>
      <c r="I222">
        <v>1.023016422664164</v>
      </c>
      <c r="J222" s="18">
        <v>4.57</v>
      </c>
      <c r="L222" t="s">
        <v>35</v>
      </c>
      <c r="M222" s="1" t="s">
        <v>4</v>
      </c>
      <c r="N222" t="str">
        <f t="shared" si="25"/>
        <v>3.01075411269462</v>
      </c>
      <c r="O222" t="str">
        <f t="shared" si="26"/>
        <v>24.92</v>
      </c>
      <c r="P222" t="str">
        <f t="shared" si="27"/>
        <v>65.1967499734829</v>
      </c>
      <c r="Q222" t="str">
        <f t="shared" si="28"/>
        <v>15.783427765516</v>
      </c>
      <c r="R222" t="str">
        <f t="shared" si="29"/>
        <v>1.7</v>
      </c>
      <c r="S222" t="str">
        <f t="shared" si="30"/>
        <v>1.71</v>
      </c>
      <c r="T222" t="str">
        <f t="shared" si="31"/>
        <v>1.02301642266416</v>
      </c>
      <c r="U222" t="str">
        <f t="shared" si="32"/>
        <v>4.57</v>
      </c>
    </row>
    <row r="223" spans="1:21" x14ac:dyDescent="0.25">
      <c r="A223" t="s">
        <v>35</v>
      </c>
      <c r="B223" s="1" t="s">
        <v>5</v>
      </c>
      <c r="C223">
        <v>1.8061994019275416</v>
      </c>
      <c r="D223" s="18">
        <v>24.37</v>
      </c>
      <c r="E223">
        <v>64.21620601381079</v>
      </c>
      <c r="F223">
        <v>15.816482591343252</v>
      </c>
      <c r="G223" s="18">
        <v>1.6</v>
      </c>
      <c r="H223" s="18">
        <v>1.58</v>
      </c>
      <c r="I223">
        <v>1.0136672964759454</v>
      </c>
      <c r="J223" s="18">
        <v>4.46</v>
      </c>
      <c r="L223" t="s">
        <v>35</v>
      </c>
      <c r="M223" s="1" t="s">
        <v>5</v>
      </c>
      <c r="N223" t="str">
        <f t="shared" si="25"/>
        <v>1.80619940192754</v>
      </c>
      <c r="O223" t="str">
        <f t="shared" si="26"/>
        <v>24.37</v>
      </c>
      <c r="P223" t="str">
        <f t="shared" si="27"/>
        <v>64.2162060138108</v>
      </c>
      <c r="Q223" t="str">
        <f t="shared" si="28"/>
        <v>15.8164825913433</v>
      </c>
      <c r="R223" t="str">
        <f t="shared" si="29"/>
        <v>1.6</v>
      </c>
      <c r="S223" t="str">
        <f t="shared" si="30"/>
        <v>1.58</v>
      </c>
      <c r="T223" t="str">
        <f t="shared" si="31"/>
        <v>1.01366729647595</v>
      </c>
      <c r="U223" t="str">
        <f t="shared" si="32"/>
        <v>4.46</v>
      </c>
    </row>
    <row r="224" spans="1:21" x14ac:dyDescent="0.25">
      <c r="A224" t="s">
        <v>35</v>
      </c>
      <c r="B224" s="1" t="s">
        <v>6</v>
      </c>
      <c r="C224">
        <v>-0.43085860536055148</v>
      </c>
      <c r="D224" s="18">
        <v>24.57</v>
      </c>
      <c r="E224">
        <v>66.40844479057516</v>
      </c>
      <c r="F224">
        <v>15.778596076570778</v>
      </c>
      <c r="G224" s="18">
        <v>1.51</v>
      </c>
      <c r="H224" s="18">
        <v>1.69</v>
      </c>
      <c r="I224">
        <v>0.98684280084125553</v>
      </c>
      <c r="J224" s="18">
        <v>4.4400000000000004</v>
      </c>
      <c r="L224" t="s">
        <v>35</v>
      </c>
      <c r="M224" s="1" t="s">
        <v>6</v>
      </c>
      <c r="N224" t="str">
        <f t="shared" si="25"/>
        <v>-0.430858605360551</v>
      </c>
      <c r="O224" t="str">
        <f t="shared" si="26"/>
        <v>24.57</v>
      </c>
      <c r="P224" t="str">
        <f t="shared" si="27"/>
        <v>66.4084447905752</v>
      </c>
      <c r="Q224" t="str">
        <f t="shared" si="28"/>
        <v>15.7785960765708</v>
      </c>
      <c r="R224" t="str">
        <f t="shared" si="29"/>
        <v>1.51</v>
      </c>
      <c r="S224" t="str">
        <f t="shared" si="30"/>
        <v>1.69</v>
      </c>
      <c r="T224" t="str">
        <f t="shared" si="31"/>
        <v>0.986842800841256</v>
      </c>
      <c r="U224" t="str">
        <f t="shared" si="32"/>
        <v>4.44</v>
      </c>
    </row>
    <row r="225" spans="1:21" x14ac:dyDescent="0.25">
      <c r="A225" t="s">
        <v>35</v>
      </c>
      <c r="B225" s="1" t="s">
        <v>7</v>
      </c>
      <c r="C225">
        <v>0.79130967651077722</v>
      </c>
      <c r="D225" s="18">
        <v>25.52</v>
      </c>
      <c r="E225">
        <v>65.319515205267066</v>
      </c>
      <c r="F225">
        <v>15.803011411720735</v>
      </c>
      <c r="G225" s="18">
        <v>1.77</v>
      </c>
      <c r="H225" s="18">
        <v>1.51</v>
      </c>
      <c r="I225">
        <v>0.93749265715369468</v>
      </c>
      <c r="J225" s="18">
        <v>4.45</v>
      </c>
      <c r="L225" t="s">
        <v>35</v>
      </c>
      <c r="M225" s="1" t="s">
        <v>7</v>
      </c>
      <c r="N225" t="str">
        <f t="shared" si="25"/>
        <v>0.791309676510777</v>
      </c>
      <c r="O225" t="str">
        <f t="shared" si="26"/>
        <v>25.52</v>
      </c>
      <c r="P225" t="str">
        <f t="shared" si="27"/>
        <v>65.3195152052671</v>
      </c>
      <c r="Q225" t="str">
        <f t="shared" si="28"/>
        <v>15.8030114117207</v>
      </c>
      <c r="R225" t="str">
        <f t="shared" si="29"/>
        <v>1.77</v>
      </c>
      <c r="S225" t="str">
        <f t="shared" si="30"/>
        <v>1.51</v>
      </c>
      <c r="T225" t="str">
        <f t="shared" si="31"/>
        <v>0.937492657153695</v>
      </c>
      <c r="U225" t="str">
        <f t="shared" si="32"/>
        <v>4.45</v>
      </c>
    </row>
    <row r="226" spans="1:21" x14ac:dyDescent="0.25">
      <c r="A226" t="s">
        <v>35</v>
      </c>
      <c r="B226" s="1" t="s">
        <v>8</v>
      </c>
      <c r="C226">
        <v>-0.99812358807555324</v>
      </c>
      <c r="D226" s="18">
        <v>25.63</v>
      </c>
      <c r="E226">
        <v>61.295870248790962</v>
      </c>
      <c r="F226">
        <v>15.856558404417209</v>
      </c>
      <c r="G226" s="18">
        <v>0.97</v>
      </c>
      <c r="H226" s="18">
        <v>1.6</v>
      </c>
      <c r="I226">
        <v>1.1114506392075556</v>
      </c>
      <c r="J226" s="18">
        <v>3.84</v>
      </c>
      <c r="L226" t="s">
        <v>35</v>
      </c>
      <c r="M226" s="1" t="s">
        <v>8</v>
      </c>
      <c r="N226" t="str">
        <f t="shared" si="25"/>
        <v>-0.998123588075553</v>
      </c>
      <c r="O226" t="str">
        <f t="shared" si="26"/>
        <v>25.63</v>
      </c>
      <c r="P226" t="str">
        <f t="shared" si="27"/>
        <v>61.295870248791</v>
      </c>
      <c r="Q226" t="str">
        <f t="shared" si="28"/>
        <v>15.8565584044172</v>
      </c>
      <c r="R226" t="str">
        <f t="shared" si="29"/>
        <v>0.97</v>
      </c>
      <c r="S226" t="str">
        <f t="shared" si="30"/>
        <v>1.6</v>
      </c>
      <c r="T226" t="str">
        <f t="shared" si="31"/>
        <v>1.11145063920756</v>
      </c>
      <c r="U226" t="str">
        <f t="shared" si="32"/>
        <v>3.84</v>
      </c>
    </row>
    <row r="227" spans="1:21" x14ac:dyDescent="0.25">
      <c r="A227" t="s">
        <v>35</v>
      </c>
      <c r="B227" s="1" t="s">
        <v>9</v>
      </c>
      <c r="C227">
        <v>-0.61939390137843697</v>
      </c>
      <c r="D227" s="18">
        <v>25.54</v>
      </c>
      <c r="E227">
        <v>63.54816609298495</v>
      </c>
      <c r="F227">
        <v>15.814259535025949</v>
      </c>
      <c r="G227" s="18">
        <v>0.9</v>
      </c>
      <c r="H227" s="18">
        <v>1.72</v>
      </c>
      <c r="I227">
        <v>1.1557999283115756</v>
      </c>
      <c r="J227" s="18">
        <v>3.74</v>
      </c>
      <c r="L227" t="s">
        <v>35</v>
      </c>
      <c r="M227" s="1" t="s">
        <v>9</v>
      </c>
      <c r="N227" t="str">
        <f t="shared" si="25"/>
        <v>-0.619393901378437</v>
      </c>
      <c r="O227" t="str">
        <f t="shared" si="26"/>
        <v>25.54</v>
      </c>
      <c r="P227" t="str">
        <f t="shared" si="27"/>
        <v>63.5481660929849</v>
      </c>
      <c r="Q227" t="str">
        <f t="shared" si="28"/>
        <v>15.8142595350259</v>
      </c>
      <c r="R227" t="str">
        <f t="shared" si="29"/>
        <v>0.9</v>
      </c>
      <c r="S227" t="str">
        <f t="shared" si="30"/>
        <v>1.72</v>
      </c>
      <c r="T227" t="str">
        <f t="shared" si="31"/>
        <v>1.15579992831158</v>
      </c>
      <c r="U227" t="str">
        <f t="shared" si="32"/>
        <v>3.74</v>
      </c>
    </row>
    <row r="228" spans="1:21" x14ac:dyDescent="0.25">
      <c r="A228" t="s">
        <v>35</v>
      </c>
      <c r="B228" s="1" t="s">
        <v>10</v>
      </c>
      <c r="C228">
        <v>5.0436495506466352</v>
      </c>
      <c r="D228" s="18">
        <v>24.51</v>
      </c>
      <c r="E228">
        <v>68.909312480958661</v>
      </c>
      <c r="F228">
        <v>15.782472134072599</v>
      </c>
      <c r="G228" s="18">
        <v>0.9</v>
      </c>
      <c r="H228" s="18">
        <v>1.6</v>
      </c>
      <c r="I228">
        <v>1.0243240681139676</v>
      </c>
      <c r="J228" s="18">
        <v>3.73</v>
      </c>
      <c r="L228" t="s">
        <v>35</v>
      </c>
      <c r="M228" s="1" t="s">
        <v>10</v>
      </c>
      <c r="N228" t="str">
        <f t="shared" si="25"/>
        <v>5.04364955064664</v>
      </c>
      <c r="O228" t="str">
        <f t="shared" si="26"/>
        <v>24.51</v>
      </c>
      <c r="P228" t="str">
        <f t="shared" si="27"/>
        <v>68.9093124809587</v>
      </c>
      <c r="Q228" t="str">
        <f t="shared" si="28"/>
        <v>15.7824721340726</v>
      </c>
      <c r="R228" t="str">
        <f t="shared" si="29"/>
        <v>0.9</v>
      </c>
      <c r="S228" t="str">
        <f t="shared" si="30"/>
        <v>1.6</v>
      </c>
      <c r="T228" t="str">
        <f t="shared" si="31"/>
        <v>1.02432406811397</v>
      </c>
      <c r="U228" t="str">
        <f t="shared" si="32"/>
        <v>3.73</v>
      </c>
    </row>
    <row r="229" spans="1:21" x14ac:dyDescent="0.25">
      <c r="A229" t="s">
        <v>35</v>
      </c>
      <c r="B229" s="1" t="s">
        <v>11</v>
      </c>
      <c r="C229">
        <v>4.8599214862838496</v>
      </c>
      <c r="D229" s="18">
        <v>23.55</v>
      </c>
      <c r="E229">
        <v>67.901169006897533</v>
      </c>
      <c r="F229">
        <v>15.844665403729444</v>
      </c>
      <c r="G229" s="18">
        <v>0.96</v>
      </c>
      <c r="H229" s="18">
        <v>1.53</v>
      </c>
      <c r="I229">
        <v>0.88232230917636101</v>
      </c>
      <c r="J229" s="18">
        <v>3.72</v>
      </c>
      <c r="L229" t="s">
        <v>35</v>
      </c>
      <c r="M229" s="1" t="s">
        <v>11</v>
      </c>
      <c r="N229" t="str">
        <f t="shared" si="25"/>
        <v>4.85992148628385</v>
      </c>
      <c r="O229" t="str">
        <f t="shared" si="26"/>
        <v>23.55</v>
      </c>
      <c r="P229" t="str">
        <f t="shared" si="27"/>
        <v>67.9011690068975</v>
      </c>
      <c r="Q229" t="str">
        <f t="shared" si="28"/>
        <v>15.8446654037294</v>
      </c>
      <c r="R229" t="str">
        <f t="shared" si="29"/>
        <v>0.96</v>
      </c>
      <c r="S229" t="str">
        <f t="shared" si="30"/>
        <v>1.53</v>
      </c>
      <c r="T229" t="str">
        <f t="shared" si="31"/>
        <v>0.882322309176361</v>
      </c>
      <c r="U229" t="str">
        <f t="shared" si="32"/>
        <v>3.72</v>
      </c>
    </row>
    <row r="230" spans="1:21" x14ac:dyDescent="0.25">
      <c r="A230" t="s">
        <v>35</v>
      </c>
      <c r="B230" s="1" t="s">
        <v>12</v>
      </c>
      <c r="C230">
        <v>1.0209486213447738</v>
      </c>
      <c r="D230" s="18">
        <v>23.41</v>
      </c>
      <c r="E230">
        <v>65.907978333222189</v>
      </c>
      <c r="F230">
        <v>15.884616874728724</v>
      </c>
      <c r="G230" s="18">
        <v>0.64</v>
      </c>
      <c r="H230" s="18">
        <v>1.41</v>
      </c>
      <c r="I230">
        <v>1.4204860661981344</v>
      </c>
      <c r="J230" s="18">
        <v>3.45</v>
      </c>
      <c r="L230" t="s">
        <v>35</v>
      </c>
      <c r="M230" s="1" t="s">
        <v>12</v>
      </c>
      <c r="N230" t="str">
        <f t="shared" si="25"/>
        <v>1.02094862134477</v>
      </c>
      <c r="O230" t="str">
        <f t="shared" si="26"/>
        <v>23.41</v>
      </c>
      <c r="P230" t="str">
        <f t="shared" si="27"/>
        <v>65.9079783332222</v>
      </c>
      <c r="Q230" t="str">
        <f t="shared" si="28"/>
        <v>15.8846168747287</v>
      </c>
      <c r="R230" t="str">
        <f t="shared" si="29"/>
        <v>0.64</v>
      </c>
      <c r="S230" t="str">
        <f t="shared" si="30"/>
        <v>1.41</v>
      </c>
      <c r="T230" t="str">
        <f t="shared" si="31"/>
        <v>1.42048606619813</v>
      </c>
      <c r="U230" t="str">
        <f t="shared" si="32"/>
        <v>3.45</v>
      </c>
    </row>
    <row r="231" spans="1:21" x14ac:dyDescent="0.25">
      <c r="A231" t="s">
        <v>35</v>
      </c>
      <c r="B231" s="1" t="s">
        <v>13</v>
      </c>
      <c r="C231">
        <v>-5.7926864906557052</v>
      </c>
      <c r="D231" s="18">
        <v>24.31</v>
      </c>
      <c r="E231">
        <v>63.959521888673223</v>
      </c>
      <c r="F231">
        <v>15.854953594088725</v>
      </c>
      <c r="G231" s="18">
        <v>0.82</v>
      </c>
      <c r="H231" s="18">
        <v>2.2400000000000002</v>
      </c>
      <c r="I231">
        <v>1.2941866155913444</v>
      </c>
      <c r="J231" s="18">
        <v>3.46</v>
      </c>
      <c r="L231" t="s">
        <v>35</v>
      </c>
      <c r="M231" s="1" t="s">
        <v>13</v>
      </c>
      <c r="N231" t="str">
        <f t="shared" si="25"/>
        <v>-5.79268649065571</v>
      </c>
      <c r="O231" t="str">
        <f t="shared" si="26"/>
        <v>24.31</v>
      </c>
      <c r="P231" t="str">
        <f t="shared" si="27"/>
        <v>63.9595218886732</v>
      </c>
      <c r="Q231" t="str">
        <f t="shared" si="28"/>
        <v>15.8549535940887</v>
      </c>
      <c r="R231" t="str">
        <f t="shared" si="29"/>
        <v>0.82</v>
      </c>
      <c r="S231" t="str">
        <f t="shared" si="30"/>
        <v>2.24</v>
      </c>
      <c r="T231" t="str">
        <f t="shared" si="31"/>
        <v>1.29418661559134</v>
      </c>
      <c r="U231" t="str">
        <f t="shared" si="32"/>
        <v>3.46</v>
      </c>
    </row>
    <row r="232" spans="1:21" x14ac:dyDescent="0.25">
      <c r="A232" t="s">
        <v>35</v>
      </c>
      <c r="B232" s="1" t="s">
        <v>14</v>
      </c>
      <c r="C232">
        <v>-5.1226389495168769</v>
      </c>
      <c r="D232" s="18">
        <v>24.9</v>
      </c>
      <c r="E232">
        <v>57.990221870347035</v>
      </c>
      <c r="F232">
        <v>15.900344534299235</v>
      </c>
      <c r="G232" s="18">
        <v>0.67</v>
      </c>
      <c r="H232" s="18">
        <v>2.5499999999999998</v>
      </c>
      <c r="I232">
        <v>1.3167243458935549</v>
      </c>
      <c r="J232" s="18">
        <v>4.2300000000000004</v>
      </c>
      <c r="L232" t="s">
        <v>35</v>
      </c>
      <c r="M232" s="1" t="s">
        <v>14</v>
      </c>
      <c r="N232" t="str">
        <f t="shared" si="25"/>
        <v>-5.12263894951688</v>
      </c>
      <c r="O232" t="str">
        <f t="shared" si="26"/>
        <v>24.9</v>
      </c>
      <c r="P232" t="str">
        <f t="shared" si="27"/>
        <v>57.990221870347</v>
      </c>
      <c r="Q232" t="str">
        <f t="shared" si="28"/>
        <v>15.9003445342992</v>
      </c>
      <c r="R232" t="str">
        <f t="shared" si="29"/>
        <v>0.67</v>
      </c>
      <c r="S232" t="str">
        <f t="shared" si="30"/>
        <v>2.55</v>
      </c>
      <c r="T232" t="str">
        <f t="shared" si="31"/>
        <v>1.31672434589355</v>
      </c>
      <c r="U232" t="str">
        <f t="shared" si="32"/>
        <v>4.23</v>
      </c>
    </row>
    <row r="233" spans="1:21" x14ac:dyDescent="0.25">
      <c r="A233" t="s">
        <v>35</v>
      </c>
      <c r="B233" s="1" t="s">
        <v>15</v>
      </c>
      <c r="C233">
        <v>-1.8911940093072874</v>
      </c>
      <c r="D233" s="18">
        <v>25.8</v>
      </c>
      <c r="E233">
        <v>59.915904672234696</v>
      </c>
      <c r="F233">
        <v>15.848583893914082</v>
      </c>
      <c r="G233" s="18">
        <v>0.69</v>
      </c>
      <c r="H233" s="18">
        <v>2.63</v>
      </c>
      <c r="I233">
        <v>1.4430438555526977</v>
      </c>
      <c r="J233" s="18">
        <v>4.17</v>
      </c>
      <c r="L233" t="s">
        <v>35</v>
      </c>
      <c r="M233" s="1" t="s">
        <v>15</v>
      </c>
      <c r="N233" t="str">
        <f t="shared" si="25"/>
        <v>-1.89119400930729</v>
      </c>
      <c r="O233" t="str">
        <f t="shared" si="26"/>
        <v>25.8</v>
      </c>
      <c r="P233" t="str">
        <f t="shared" si="27"/>
        <v>59.9159046722347</v>
      </c>
      <c r="Q233" t="str">
        <f t="shared" si="28"/>
        <v>15.8485838939141</v>
      </c>
      <c r="R233" t="str">
        <f t="shared" si="29"/>
        <v>0.69</v>
      </c>
      <c r="S233" t="str">
        <f t="shared" si="30"/>
        <v>2.63</v>
      </c>
      <c r="T233" t="str">
        <f t="shared" si="31"/>
        <v>1.4430438555527</v>
      </c>
      <c r="U233" t="str">
        <f t="shared" si="32"/>
        <v>4.17</v>
      </c>
    </row>
    <row r="234" spans="1:21" x14ac:dyDescent="0.25">
      <c r="A234" t="s">
        <v>35</v>
      </c>
      <c r="B234" s="1" t="s">
        <v>16</v>
      </c>
      <c r="C234">
        <v>-2.6835349209620176</v>
      </c>
      <c r="D234" s="18">
        <v>26.45</v>
      </c>
      <c r="E234">
        <v>58.583132971368492</v>
      </c>
      <c r="F234">
        <v>15.843877070908563</v>
      </c>
      <c r="G234" s="18">
        <v>1.05</v>
      </c>
      <c r="H234" s="18">
        <v>2.44</v>
      </c>
      <c r="I234">
        <v>1.286509524419025</v>
      </c>
      <c r="J234" s="18">
        <v>4.04</v>
      </c>
      <c r="L234" t="s">
        <v>35</v>
      </c>
      <c r="M234" s="1" t="s">
        <v>16</v>
      </c>
      <c r="N234" t="str">
        <f t="shared" si="25"/>
        <v>-2.68353492096202</v>
      </c>
      <c r="O234" t="str">
        <f t="shared" si="26"/>
        <v>26.45</v>
      </c>
      <c r="P234" t="str">
        <f t="shared" si="27"/>
        <v>58.5831329713685</v>
      </c>
      <c r="Q234" t="str">
        <f t="shared" si="28"/>
        <v>15.8438770709086</v>
      </c>
      <c r="R234" t="str">
        <f t="shared" si="29"/>
        <v>1.05</v>
      </c>
      <c r="S234" t="str">
        <f t="shared" si="30"/>
        <v>2.44</v>
      </c>
      <c r="T234" t="str">
        <f t="shared" si="31"/>
        <v>1.28650952441902</v>
      </c>
      <c r="U234" t="str">
        <f t="shared" si="32"/>
        <v>4.04</v>
      </c>
    </row>
    <row r="235" spans="1:21" x14ac:dyDescent="0.25">
      <c r="A235" t="s">
        <v>35</v>
      </c>
      <c r="B235" s="1" t="s">
        <v>17</v>
      </c>
      <c r="C235">
        <v>-1.9705880371590441</v>
      </c>
      <c r="D235" s="18">
        <v>28.45</v>
      </c>
      <c r="E235">
        <v>57.852384604905282</v>
      </c>
      <c r="F235">
        <v>15.836526589258639</v>
      </c>
      <c r="G235" s="18">
        <v>1.43</v>
      </c>
      <c r="H235" s="18">
        <v>2.34</v>
      </c>
      <c r="I235">
        <v>1.5324127586682408</v>
      </c>
      <c r="J235" s="18">
        <v>4.38</v>
      </c>
      <c r="L235" t="s">
        <v>35</v>
      </c>
      <c r="M235" s="1" t="s">
        <v>17</v>
      </c>
      <c r="N235" t="str">
        <f t="shared" si="25"/>
        <v>-1.97058803715904</v>
      </c>
      <c r="O235" t="str">
        <f t="shared" si="26"/>
        <v>28.45</v>
      </c>
      <c r="P235" t="str">
        <f t="shared" si="27"/>
        <v>57.8523846049053</v>
      </c>
      <c r="Q235" t="str">
        <f t="shared" si="28"/>
        <v>15.8365265892586</v>
      </c>
      <c r="R235" t="str">
        <f t="shared" si="29"/>
        <v>1.43</v>
      </c>
      <c r="S235" t="str">
        <f t="shared" si="30"/>
        <v>2.34</v>
      </c>
      <c r="T235" t="str">
        <f t="shared" si="31"/>
        <v>1.53241275866824</v>
      </c>
      <c r="U235" t="str">
        <f t="shared" si="32"/>
        <v>4.38</v>
      </c>
    </row>
    <row r="236" spans="1:21" x14ac:dyDescent="0.25">
      <c r="A236" t="s">
        <v>35</v>
      </c>
      <c r="B236" s="1" t="s">
        <v>18</v>
      </c>
      <c r="C236">
        <v>-2.2967178814779587</v>
      </c>
      <c r="D236" s="18">
        <v>28.92</v>
      </c>
      <c r="E236">
        <v>58.817567315995412</v>
      </c>
      <c r="F236">
        <v>15.796745654710152</v>
      </c>
      <c r="G236" s="18">
        <v>0.87</v>
      </c>
      <c r="H236" s="18">
        <v>3.17</v>
      </c>
      <c r="I236">
        <v>1.8985433513001522</v>
      </c>
      <c r="J236" s="18">
        <v>4.42</v>
      </c>
      <c r="L236" t="s">
        <v>35</v>
      </c>
      <c r="M236" s="1" t="s">
        <v>18</v>
      </c>
      <c r="N236" t="str">
        <f t="shared" si="25"/>
        <v>-2.29671788147796</v>
      </c>
      <c r="O236" t="str">
        <f t="shared" si="26"/>
        <v>28.92</v>
      </c>
      <c r="P236" t="str">
        <f t="shared" si="27"/>
        <v>58.8175673159954</v>
      </c>
      <c r="Q236" t="str">
        <f t="shared" si="28"/>
        <v>15.7967456547102</v>
      </c>
      <c r="R236" t="str">
        <f t="shared" si="29"/>
        <v>0.87</v>
      </c>
      <c r="S236" t="str">
        <f t="shared" si="30"/>
        <v>3.17</v>
      </c>
      <c r="T236" t="str">
        <f t="shared" si="31"/>
        <v>1.89854335130015</v>
      </c>
      <c r="U236" t="str">
        <f t="shared" si="32"/>
        <v>4.42</v>
      </c>
    </row>
    <row r="237" spans="1:21" x14ac:dyDescent="0.25">
      <c r="A237" t="s">
        <v>35</v>
      </c>
      <c r="B237" s="1" t="s">
        <v>19</v>
      </c>
      <c r="C237">
        <v>-6.9047445999901536</v>
      </c>
      <c r="D237" s="18">
        <v>41.73</v>
      </c>
      <c r="E237">
        <v>45.817251341541002</v>
      </c>
      <c r="F237">
        <v>15.974978576416696</v>
      </c>
      <c r="G237" s="18">
        <v>0.77</v>
      </c>
      <c r="H237" s="18">
        <v>3.04</v>
      </c>
      <c r="I237">
        <v>1.9184217445307756</v>
      </c>
      <c r="J237" s="18">
        <v>4.32</v>
      </c>
      <c r="L237" t="s">
        <v>35</v>
      </c>
      <c r="M237" s="1" t="s">
        <v>19</v>
      </c>
      <c r="N237" t="str">
        <f t="shared" si="25"/>
        <v>-6.90474459999015</v>
      </c>
      <c r="O237" t="str">
        <f t="shared" si="26"/>
        <v>41.73</v>
      </c>
      <c r="P237" t="str">
        <f t="shared" si="27"/>
        <v>45.817251341541</v>
      </c>
      <c r="Q237" t="str">
        <f t="shared" si="28"/>
        <v>15.9749785764167</v>
      </c>
      <c r="R237" t="str">
        <f t="shared" si="29"/>
        <v>0.77</v>
      </c>
      <c r="S237" t="str">
        <f t="shared" si="30"/>
        <v>3.04</v>
      </c>
      <c r="T237" t="str">
        <f t="shared" si="31"/>
        <v>1.91842174453078</v>
      </c>
      <c r="U237" t="str">
        <f t="shared" si="32"/>
        <v>4.32</v>
      </c>
    </row>
    <row r="238" spans="1:21" x14ac:dyDescent="0.25">
      <c r="A238" t="s">
        <v>35</v>
      </c>
      <c r="B238" s="1" t="s">
        <v>20</v>
      </c>
      <c r="C238">
        <v>2.9020611650553896</v>
      </c>
      <c r="D238" s="18" t="s">
        <v>481</v>
      </c>
      <c r="E238">
        <v>47.677850663703772</v>
      </c>
      <c r="F238">
        <v>15.963779807492299</v>
      </c>
      <c r="G238" s="18" t="s">
        <v>441</v>
      </c>
      <c r="H238" s="18" t="s">
        <v>483</v>
      </c>
      <c r="I238">
        <v>2.1709016989239838</v>
      </c>
      <c r="J238" s="18" t="s">
        <v>482</v>
      </c>
      <c r="L238" t="s">
        <v>35</v>
      </c>
      <c r="M238" s="1" t="s">
        <v>20</v>
      </c>
      <c r="N238" t="str">
        <f t="shared" si="25"/>
        <v>2.90206116505539</v>
      </c>
      <c r="O238" t="str">
        <f t="shared" si="26"/>
        <v>42.06</v>
      </c>
      <c r="P238" t="str">
        <f t="shared" si="27"/>
        <v>47.6778506637038</v>
      </c>
      <c r="Q238" t="str">
        <f t="shared" si="28"/>
        <v>15.9637798074923</v>
      </c>
      <c r="R238" t="str">
        <f t="shared" si="29"/>
        <v>1.07</v>
      </c>
      <c r="S238" t="str">
        <f t="shared" si="30"/>
        <v>2.90</v>
      </c>
      <c r="T238" t="str">
        <f t="shared" si="31"/>
        <v>2.17090169892398</v>
      </c>
      <c r="U238" t="str">
        <f t="shared" si="32"/>
        <v>4.85</v>
      </c>
    </row>
    <row r="239" spans="1:21" x14ac:dyDescent="0.25">
      <c r="A239" t="s">
        <v>35</v>
      </c>
      <c r="B239" s="1" t="s">
        <v>21</v>
      </c>
      <c r="C239">
        <v>-0.70269246338348668</v>
      </c>
      <c r="D239" s="18">
        <v>42</v>
      </c>
      <c r="E239">
        <v>46.15032525325438</v>
      </c>
      <c r="F239">
        <v>15.989291012466786</v>
      </c>
      <c r="G239" s="18" t="s">
        <v>485</v>
      </c>
      <c r="H239" s="18" t="s">
        <v>244</v>
      </c>
      <c r="I239">
        <v>2.5084995240660874</v>
      </c>
      <c r="J239" s="18" t="s">
        <v>484</v>
      </c>
      <c r="L239" t="s">
        <v>35</v>
      </c>
      <c r="M239" s="1" t="s">
        <v>21</v>
      </c>
      <c r="N239" t="str">
        <f t="shared" si="25"/>
        <v>-0.702692463383487</v>
      </c>
      <c r="O239" t="str">
        <f t="shared" si="26"/>
        <v>42</v>
      </c>
      <c r="P239" t="str">
        <f t="shared" si="27"/>
        <v>46.1503252532544</v>
      </c>
      <c r="Q239" t="str">
        <f t="shared" si="28"/>
        <v>15.9892910124668</v>
      </c>
      <c r="R239" t="str">
        <f t="shared" si="29"/>
        <v>0.8</v>
      </c>
      <c r="S239" t="str">
        <f t="shared" si="30"/>
        <v>3.69</v>
      </c>
      <c r="T239" t="str">
        <f t="shared" si="31"/>
        <v>2.50849952406609</v>
      </c>
      <c r="U239" t="str">
        <f t="shared" si="32"/>
        <v>4.76</v>
      </c>
    </row>
    <row r="240" spans="1:21" x14ac:dyDescent="0.25">
      <c r="A240" t="s">
        <v>35</v>
      </c>
      <c r="B240" s="1" t="s">
        <v>22</v>
      </c>
      <c r="C240">
        <v>-1.9399667659612854</v>
      </c>
      <c r="D240" s="18" t="s">
        <v>487</v>
      </c>
      <c r="E240">
        <v>48.26598788648144</v>
      </c>
      <c r="F240">
        <v>15.924877582223017</v>
      </c>
      <c r="G240" s="18" t="s">
        <v>490</v>
      </c>
      <c r="H240" s="18" t="s">
        <v>489</v>
      </c>
      <c r="I240">
        <v>2.6108336248949375</v>
      </c>
      <c r="J240" s="18" t="s">
        <v>488</v>
      </c>
      <c r="L240" t="s">
        <v>35</v>
      </c>
      <c r="M240" s="1" t="s">
        <v>22</v>
      </c>
      <c r="N240" t="str">
        <f t="shared" si="25"/>
        <v>-1.93996676596129</v>
      </c>
      <c r="O240" t="str">
        <f t="shared" si="26"/>
        <v>42.59</v>
      </c>
      <c r="P240" t="str">
        <f t="shared" si="27"/>
        <v>48.2659878864814</v>
      </c>
      <c r="Q240" t="str">
        <f t="shared" si="28"/>
        <v>15.924877582223</v>
      </c>
      <c r="R240" t="str">
        <f t="shared" si="29"/>
        <v>0.74</v>
      </c>
      <c r="S240" t="str">
        <f t="shared" si="30"/>
        <v>4.86</v>
      </c>
      <c r="T240" t="str">
        <f t="shared" si="31"/>
        <v>2.61083362489494</v>
      </c>
      <c r="U240" t="str">
        <f t="shared" si="32"/>
        <v>4.55</v>
      </c>
    </row>
    <row r="241" spans="1:21" x14ac:dyDescent="0.25">
      <c r="A241" t="s">
        <v>35</v>
      </c>
      <c r="B241" s="1" t="s">
        <v>23</v>
      </c>
      <c r="C241">
        <v>-3.3416730005911663</v>
      </c>
      <c r="D241" s="19">
        <v>59.27</v>
      </c>
      <c r="E241">
        <v>46.833372872381105</v>
      </c>
      <c r="F241">
        <v>15.921020838109518</v>
      </c>
      <c r="G241" s="19">
        <v>0.59</v>
      </c>
      <c r="H241" s="19">
        <v>4.5599999999999996</v>
      </c>
      <c r="I241">
        <v>2.9588948480416057</v>
      </c>
      <c r="J241" s="18">
        <v>4.62</v>
      </c>
      <c r="L241" t="s">
        <v>35</v>
      </c>
      <c r="M241" s="1" t="s">
        <v>23</v>
      </c>
      <c r="N241" t="str">
        <f t="shared" si="25"/>
        <v>-3.34167300059117</v>
      </c>
      <c r="O241" t="str">
        <f t="shared" si="26"/>
        <v>59.27</v>
      </c>
      <c r="P241" t="str">
        <f t="shared" si="27"/>
        <v>46.8333728723811</v>
      </c>
      <c r="Q241" t="str">
        <f t="shared" si="28"/>
        <v>15.9210208381095</v>
      </c>
      <c r="R241" t="str">
        <f t="shared" si="29"/>
        <v>0.59</v>
      </c>
      <c r="S241" t="str">
        <f t="shared" si="30"/>
        <v>4.56</v>
      </c>
      <c r="T241" t="str">
        <f t="shared" si="31"/>
        <v>2.95889484804161</v>
      </c>
      <c r="U241" t="str">
        <f t="shared" si="32"/>
        <v>4.62</v>
      </c>
    </row>
    <row r="242" spans="1:21" x14ac:dyDescent="0.25">
      <c r="A242" t="s">
        <v>36</v>
      </c>
      <c r="B242" s="1" t="s">
        <v>4</v>
      </c>
      <c r="C242">
        <v>-1.0924906720839085</v>
      </c>
      <c r="D242" s="16">
        <v>22.94</v>
      </c>
      <c r="E242">
        <v>56.781208721420384</v>
      </c>
      <c r="F242">
        <v>17.828521991388627</v>
      </c>
      <c r="G242" s="18" t="s">
        <v>494</v>
      </c>
      <c r="H242" s="18" t="s">
        <v>491</v>
      </c>
      <c r="I242">
        <v>4.6171202616292373</v>
      </c>
      <c r="J242" s="16">
        <v>6.57</v>
      </c>
      <c r="L242" t="s">
        <v>36</v>
      </c>
      <c r="M242" s="1" t="s">
        <v>4</v>
      </c>
      <c r="N242" t="str">
        <f t="shared" si="25"/>
        <v>-1.09249067208391</v>
      </c>
      <c r="O242" t="str">
        <f t="shared" si="26"/>
        <v>22.94</v>
      </c>
      <c r="P242" t="str">
        <f t="shared" si="27"/>
        <v>56.7812087214204</v>
      </c>
      <c r="Q242" t="str">
        <f t="shared" si="28"/>
        <v>17.8285219913886</v>
      </c>
      <c r="R242" t="str">
        <f t="shared" si="29"/>
        <v>3.88</v>
      </c>
      <c r="S242" t="str">
        <f t="shared" si="30"/>
        <v>4.84</v>
      </c>
      <c r="T242" t="str">
        <f t="shared" si="31"/>
        <v>4.61712026162924</v>
      </c>
      <c r="U242" t="str">
        <f t="shared" si="32"/>
        <v>6.57</v>
      </c>
    </row>
    <row r="243" spans="1:21" x14ac:dyDescent="0.25">
      <c r="A243" t="s">
        <v>36</v>
      </c>
      <c r="B243" s="1" t="s">
        <v>5</v>
      </c>
      <c r="C243">
        <v>2.2631696971478052</v>
      </c>
      <c r="D243" s="16">
        <v>23.08</v>
      </c>
      <c r="E243">
        <v>53.946766208521005</v>
      </c>
      <c r="F243">
        <v>17.902109080264562</v>
      </c>
      <c r="G243" s="18" t="s">
        <v>499</v>
      </c>
      <c r="H243" s="18" t="s">
        <v>498</v>
      </c>
      <c r="I243">
        <v>4.3777560608430637</v>
      </c>
      <c r="J243" s="17">
        <v>6.41</v>
      </c>
      <c r="L243" t="s">
        <v>36</v>
      </c>
      <c r="M243" s="1" t="s">
        <v>5</v>
      </c>
      <c r="N243" t="str">
        <f t="shared" si="25"/>
        <v>2.26316969714781</v>
      </c>
      <c r="O243" t="str">
        <f t="shared" si="26"/>
        <v>23.08</v>
      </c>
      <c r="P243" t="str">
        <f t="shared" si="27"/>
        <v>53.946766208521</v>
      </c>
      <c r="Q243" t="str">
        <f t="shared" si="28"/>
        <v>17.9021090802646</v>
      </c>
      <c r="R243" t="str">
        <f t="shared" si="29"/>
        <v>3.67</v>
      </c>
      <c r="S243" t="str">
        <f t="shared" si="30"/>
        <v>4.79</v>
      </c>
      <c r="T243" t="str">
        <f t="shared" si="31"/>
        <v>4.37775606084306</v>
      </c>
      <c r="U243" t="str">
        <f t="shared" si="32"/>
        <v>6.41</v>
      </c>
    </row>
    <row r="244" spans="1:21" x14ac:dyDescent="0.25">
      <c r="A244" t="s">
        <v>36</v>
      </c>
      <c r="B244" s="1" t="s">
        <v>6</v>
      </c>
      <c r="C244">
        <v>2.973366837800651</v>
      </c>
      <c r="D244" s="16">
        <v>23.35</v>
      </c>
      <c r="E244">
        <v>52.143512886463803</v>
      </c>
      <c r="F244">
        <v>17.965407243706576</v>
      </c>
      <c r="G244" s="18" t="s">
        <v>502</v>
      </c>
      <c r="H244" s="18" t="s">
        <v>207</v>
      </c>
      <c r="I244">
        <v>3.9278966395218085</v>
      </c>
      <c r="J244" s="16">
        <v>6.38</v>
      </c>
      <c r="L244" t="s">
        <v>36</v>
      </c>
      <c r="M244" s="1" t="s">
        <v>6</v>
      </c>
      <c r="N244" t="str">
        <f t="shared" si="25"/>
        <v>2.97336683780065</v>
      </c>
      <c r="O244" t="str">
        <f t="shared" si="26"/>
        <v>23.35</v>
      </c>
      <c r="P244" t="str">
        <f t="shared" si="27"/>
        <v>52.1435128864638</v>
      </c>
      <c r="Q244" t="str">
        <f t="shared" si="28"/>
        <v>17.9654072437066</v>
      </c>
      <c r="R244" t="str">
        <f t="shared" si="29"/>
        <v>3.38</v>
      </c>
      <c r="S244" t="str">
        <f t="shared" si="30"/>
        <v>4.25</v>
      </c>
      <c r="T244" t="str">
        <f t="shared" si="31"/>
        <v>3.92789663952181</v>
      </c>
      <c r="U244" t="str">
        <f t="shared" si="32"/>
        <v>6.38</v>
      </c>
    </row>
    <row r="245" spans="1:21" x14ac:dyDescent="0.25">
      <c r="A245" t="s">
        <v>36</v>
      </c>
      <c r="B245" s="1" t="s">
        <v>7</v>
      </c>
      <c r="C245">
        <v>2.4791539543726797</v>
      </c>
      <c r="D245" s="16">
        <v>24.21</v>
      </c>
      <c r="E245">
        <v>54.065582801787073</v>
      </c>
      <c r="F245">
        <v>17.953698433921637</v>
      </c>
      <c r="G245" s="18" t="s">
        <v>492</v>
      </c>
      <c r="H245" s="18" t="s">
        <v>265</v>
      </c>
      <c r="I245">
        <v>3.5362511996124772</v>
      </c>
      <c r="J245" s="16">
        <v>6.37</v>
      </c>
      <c r="L245" t="s">
        <v>36</v>
      </c>
      <c r="M245" s="1" t="s">
        <v>7</v>
      </c>
      <c r="N245" t="str">
        <f t="shared" si="25"/>
        <v>2.47915395437268</v>
      </c>
      <c r="O245" t="str">
        <f t="shared" si="26"/>
        <v>24.21</v>
      </c>
      <c r="P245" t="str">
        <f t="shared" si="27"/>
        <v>54.0655828017871</v>
      </c>
      <c r="Q245" t="str">
        <f t="shared" si="28"/>
        <v>17.9536984339216</v>
      </c>
      <c r="R245" t="str">
        <f t="shared" si="29"/>
        <v>2.96</v>
      </c>
      <c r="S245" t="str">
        <f t="shared" si="30"/>
        <v>3.75</v>
      </c>
      <c r="T245" t="str">
        <f t="shared" si="31"/>
        <v>3.53625119961248</v>
      </c>
      <c r="U245" t="str">
        <f t="shared" si="32"/>
        <v>6.37</v>
      </c>
    </row>
    <row r="246" spans="1:21" x14ac:dyDescent="0.25">
      <c r="A246" t="s">
        <v>36</v>
      </c>
      <c r="B246" s="1" t="s">
        <v>8</v>
      </c>
      <c r="C246">
        <v>-0.59354614019310104</v>
      </c>
      <c r="D246" s="17">
        <v>24.14</v>
      </c>
      <c r="E246">
        <v>53.401934578508545</v>
      </c>
      <c r="F246">
        <v>17.960096120273096</v>
      </c>
      <c r="G246" s="18" t="s">
        <v>509</v>
      </c>
      <c r="H246" s="18" t="s">
        <v>508</v>
      </c>
      <c r="I246">
        <v>3.1666625361194098</v>
      </c>
      <c r="J246" s="17">
        <v>6.52</v>
      </c>
      <c r="L246" t="s">
        <v>36</v>
      </c>
      <c r="M246" s="1" t="s">
        <v>8</v>
      </c>
      <c r="N246" t="str">
        <f t="shared" si="25"/>
        <v>-0.593546140193101</v>
      </c>
      <c r="O246" t="str">
        <f t="shared" si="26"/>
        <v>24.14</v>
      </c>
      <c r="P246" t="str">
        <f t="shared" si="27"/>
        <v>53.4019345785085</v>
      </c>
      <c r="Q246" t="str">
        <f t="shared" si="28"/>
        <v>17.9600961202731</v>
      </c>
      <c r="R246" t="str">
        <f t="shared" si="29"/>
        <v>3.63</v>
      </c>
      <c r="S246" t="str">
        <f t="shared" si="30"/>
        <v>3.46</v>
      </c>
      <c r="T246" t="str">
        <f t="shared" si="31"/>
        <v>3.16666253611941</v>
      </c>
      <c r="U246" t="str">
        <f t="shared" si="32"/>
        <v>6.52</v>
      </c>
    </row>
    <row r="247" spans="1:21" x14ac:dyDescent="0.25">
      <c r="A247" t="s">
        <v>36</v>
      </c>
      <c r="B247" s="1" t="s">
        <v>9</v>
      </c>
      <c r="C247">
        <v>3.1961887761999748</v>
      </c>
      <c r="D247" s="17">
        <v>23.22</v>
      </c>
      <c r="E247">
        <v>50.424992691268535</v>
      </c>
      <c r="F247">
        <v>18.048917890661581</v>
      </c>
      <c r="G247" s="18" t="s">
        <v>310</v>
      </c>
      <c r="H247" s="18" t="s">
        <v>512</v>
      </c>
      <c r="I247">
        <v>2.9193308151269668</v>
      </c>
      <c r="J247" s="17">
        <v>6.3</v>
      </c>
      <c r="L247" t="s">
        <v>36</v>
      </c>
      <c r="M247" s="1" t="s">
        <v>9</v>
      </c>
      <c r="N247" t="str">
        <f t="shared" si="25"/>
        <v>3.19618877619997</v>
      </c>
      <c r="O247" t="str">
        <f t="shared" si="26"/>
        <v>23.22</v>
      </c>
      <c r="P247" t="str">
        <f t="shared" si="27"/>
        <v>50.4249926912685</v>
      </c>
      <c r="Q247" t="str">
        <f t="shared" si="28"/>
        <v>18.0489178906616</v>
      </c>
      <c r="R247" t="str">
        <f t="shared" si="29"/>
        <v>3.50</v>
      </c>
      <c r="S247" t="str">
        <f t="shared" si="30"/>
        <v>3.16</v>
      </c>
      <c r="T247" t="str">
        <f t="shared" si="31"/>
        <v>2.91933081512697</v>
      </c>
      <c r="U247" t="str">
        <f t="shared" si="32"/>
        <v>6.3</v>
      </c>
    </row>
    <row r="248" spans="1:21" x14ac:dyDescent="0.25">
      <c r="A248" t="s">
        <v>36</v>
      </c>
      <c r="B248" s="1" t="s">
        <v>10</v>
      </c>
      <c r="C248">
        <v>8.5096442579318019</v>
      </c>
      <c r="D248" s="17">
        <v>21.8</v>
      </c>
      <c r="E248">
        <v>52.306280102255542</v>
      </c>
      <c r="F248">
        <v>18.093957257472255</v>
      </c>
      <c r="G248" s="18" t="s">
        <v>245</v>
      </c>
      <c r="H248" s="18" t="s">
        <v>495</v>
      </c>
      <c r="I248">
        <v>2.7758667856210137</v>
      </c>
      <c r="J248" s="17">
        <v>6.2</v>
      </c>
      <c r="L248" t="s">
        <v>36</v>
      </c>
      <c r="M248" s="1" t="s">
        <v>10</v>
      </c>
      <c r="N248" t="str">
        <f t="shared" si="25"/>
        <v>8.5096442579318</v>
      </c>
      <c r="O248" t="str">
        <f t="shared" si="26"/>
        <v>21.8</v>
      </c>
      <c r="P248" t="str">
        <f t="shared" si="27"/>
        <v>52.3062801022555</v>
      </c>
      <c r="Q248" t="str">
        <f t="shared" si="28"/>
        <v>18.0939572574723</v>
      </c>
      <c r="R248" t="str">
        <f t="shared" si="29"/>
        <v>3.18</v>
      </c>
      <c r="S248" t="str">
        <f t="shared" si="30"/>
        <v>2.89</v>
      </c>
      <c r="T248" t="str">
        <f t="shared" si="31"/>
        <v>2.77586678562101</v>
      </c>
      <c r="U248" t="str">
        <f t="shared" si="32"/>
        <v>6.2</v>
      </c>
    </row>
    <row r="249" spans="1:21" x14ac:dyDescent="0.25">
      <c r="A249" t="s">
        <v>36</v>
      </c>
      <c r="B249" s="1" t="s">
        <v>11</v>
      </c>
      <c r="C249">
        <v>1.6557118774381825</v>
      </c>
      <c r="D249" s="17">
        <v>21.77</v>
      </c>
      <c r="E249">
        <v>49.993032679665298</v>
      </c>
      <c r="F249">
        <v>18.15561159457981</v>
      </c>
      <c r="G249" s="18" t="s">
        <v>518</v>
      </c>
      <c r="H249" s="18" t="s">
        <v>517</v>
      </c>
      <c r="I249">
        <v>2.555606834531436</v>
      </c>
      <c r="J249" s="17">
        <v>6.11</v>
      </c>
      <c r="L249" t="s">
        <v>36</v>
      </c>
      <c r="M249" s="1" t="s">
        <v>11</v>
      </c>
      <c r="N249" t="str">
        <f t="shared" si="25"/>
        <v>1.65571187743818</v>
      </c>
      <c r="O249" t="str">
        <f t="shared" si="26"/>
        <v>21.77</v>
      </c>
      <c r="P249" t="str">
        <f t="shared" si="27"/>
        <v>49.9930326796653</v>
      </c>
      <c r="Q249" t="str">
        <f t="shared" si="28"/>
        <v>18.1556115945798</v>
      </c>
      <c r="R249" t="str">
        <f t="shared" si="29"/>
        <v>2.73</v>
      </c>
      <c r="S249" t="str">
        <f t="shared" si="30"/>
        <v>2.77</v>
      </c>
      <c r="T249" t="str">
        <f t="shared" si="31"/>
        <v>2.55560683453144</v>
      </c>
      <c r="U249" t="str">
        <f t="shared" si="32"/>
        <v>6.11</v>
      </c>
    </row>
    <row r="250" spans="1:21" x14ac:dyDescent="0.25">
      <c r="A250" t="s">
        <v>36</v>
      </c>
      <c r="B250" s="1" t="s">
        <v>12</v>
      </c>
      <c r="C250">
        <v>0.16343478748341037</v>
      </c>
      <c r="D250" s="17">
        <v>22.91</v>
      </c>
      <c r="E250">
        <v>55.098382107605161</v>
      </c>
      <c r="F250">
        <v>18.060007904783987</v>
      </c>
      <c r="G250" s="18" t="s">
        <v>478</v>
      </c>
      <c r="H250" s="18" t="s">
        <v>520</v>
      </c>
      <c r="I250">
        <v>2.7935716016623826</v>
      </c>
      <c r="J250" s="17">
        <v>6.05</v>
      </c>
      <c r="L250" t="s">
        <v>36</v>
      </c>
      <c r="M250" s="1" t="s">
        <v>12</v>
      </c>
      <c r="N250" t="str">
        <f t="shared" si="25"/>
        <v>0.16343478748341</v>
      </c>
      <c r="O250" t="str">
        <f t="shared" si="26"/>
        <v>22.91</v>
      </c>
      <c r="P250" t="str">
        <f t="shared" si="27"/>
        <v>55.0983821076052</v>
      </c>
      <c r="Q250" t="str">
        <f t="shared" si="28"/>
        <v>18.060007904784</v>
      </c>
      <c r="R250" t="str">
        <f t="shared" si="29"/>
        <v>3.23</v>
      </c>
      <c r="S250" t="str">
        <f t="shared" si="30"/>
        <v>3.35</v>
      </c>
      <c r="T250" t="str">
        <f t="shared" si="31"/>
        <v>2.79357160166238</v>
      </c>
      <c r="U250" t="str">
        <f t="shared" si="32"/>
        <v>6.05</v>
      </c>
    </row>
    <row r="251" spans="1:21" x14ac:dyDescent="0.25">
      <c r="A251" t="s">
        <v>36</v>
      </c>
      <c r="B251" s="1" t="s">
        <v>13</v>
      </c>
      <c r="C251">
        <v>1.994576022307547</v>
      </c>
      <c r="D251" s="17">
        <v>21.09</v>
      </c>
      <c r="E251">
        <v>52.074857859784473</v>
      </c>
      <c r="F251">
        <v>18.136195449689314</v>
      </c>
      <c r="G251" s="18" t="s">
        <v>518</v>
      </c>
      <c r="H251" s="18" t="s">
        <v>523</v>
      </c>
      <c r="I251">
        <v>3.1181921266979158</v>
      </c>
      <c r="J251" s="17">
        <v>5.79</v>
      </c>
      <c r="L251" t="s">
        <v>36</v>
      </c>
      <c r="M251" s="1" t="s">
        <v>13</v>
      </c>
      <c r="N251" t="str">
        <f t="shared" si="25"/>
        <v>1.99457602230755</v>
      </c>
      <c r="O251" t="str">
        <f t="shared" si="26"/>
        <v>21.09</v>
      </c>
      <c r="P251" t="str">
        <f t="shared" si="27"/>
        <v>52.0748578597845</v>
      </c>
      <c r="Q251" t="str">
        <f t="shared" si="28"/>
        <v>18.1361954496893</v>
      </c>
      <c r="R251" t="str">
        <f t="shared" si="29"/>
        <v>2.73</v>
      </c>
      <c r="S251" t="str">
        <f t="shared" si="30"/>
        <v>4.27</v>
      </c>
      <c r="T251" t="str">
        <f t="shared" si="31"/>
        <v>3.11819212669792</v>
      </c>
      <c r="U251" t="str">
        <f t="shared" si="32"/>
        <v>5.79</v>
      </c>
    </row>
    <row r="252" spans="1:21" x14ac:dyDescent="0.25">
      <c r="A252" t="s">
        <v>36</v>
      </c>
      <c r="B252" s="1" t="s">
        <v>14</v>
      </c>
      <c r="C252">
        <v>3.0635638824408553</v>
      </c>
      <c r="D252" s="17">
        <v>21.32</v>
      </c>
      <c r="E252">
        <v>49.197194619162488</v>
      </c>
      <c r="F252">
        <v>18.223216842337337</v>
      </c>
      <c r="G252" s="18" t="s">
        <v>527</v>
      </c>
      <c r="H252" s="18" t="s">
        <v>526</v>
      </c>
      <c r="I252">
        <v>3.0484054371579408</v>
      </c>
      <c r="J252" s="17">
        <v>5.7</v>
      </c>
      <c r="L252" t="s">
        <v>36</v>
      </c>
      <c r="M252" s="1" t="s">
        <v>14</v>
      </c>
      <c r="N252" t="str">
        <f t="shared" si="25"/>
        <v>3.06356388244086</v>
      </c>
      <c r="O252" t="str">
        <f t="shared" si="26"/>
        <v>21.32</v>
      </c>
      <c r="P252" t="str">
        <f t="shared" si="27"/>
        <v>49.1971946191625</v>
      </c>
      <c r="Q252" t="str">
        <f t="shared" si="28"/>
        <v>18.2232168423373</v>
      </c>
      <c r="R252" t="str">
        <f t="shared" si="29"/>
        <v>2.57</v>
      </c>
      <c r="S252" t="str">
        <f t="shared" si="30"/>
        <v>4.49</v>
      </c>
      <c r="T252" t="str">
        <f t="shared" si="31"/>
        <v>3.04840543715794</v>
      </c>
      <c r="U252" t="str">
        <f t="shared" si="32"/>
        <v>5.7</v>
      </c>
    </row>
    <row r="253" spans="1:21" x14ac:dyDescent="0.25">
      <c r="A253" t="s">
        <v>36</v>
      </c>
      <c r="B253" s="1" t="s">
        <v>15</v>
      </c>
      <c r="C253">
        <v>2.7221053343733463</v>
      </c>
      <c r="D253" s="17">
        <v>21.65</v>
      </c>
      <c r="E253">
        <v>49.606598713418975</v>
      </c>
      <c r="F253">
        <v>18.241786730415107</v>
      </c>
      <c r="G253" s="18" t="s">
        <v>530</v>
      </c>
      <c r="H253" s="18">
        <v>4</v>
      </c>
      <c r="I253">
        <v>3.5069771855225627</v>
      </c>
      <c r="J253" s="17">
        <v>5.55</v>
      </c>
      <c r="L253" t="s">
        <v>36</v>
      </c>
      <c r="M253" s="1" t="s">
        <v>15</v>
      </c>
      <c r="N253" t="str">
        <f t="shared" si="25"/>
        <v>2.72210533437335</v>
      </c>
      <c r="O253" t="str">
        <f t="shared" si="26"/>
        <v>21.65</v>
      </c>
      <c r="P253" t="str">
        <f t="shared" si="27"/>
        <v>49.606598713419</v>
      </c>
      <c r="Q253" t="str">
        <f t="shared" si="28"/>
        <v>18.2417867304151</v>
      </c>
      <c r="R253" t="str">
        <f t="shared" si="29"/>
        <v>1.95</v>
      </c>
      <c r="S253" t="str">
        <f t="shared" si="30"/>
        <v>4</v>
      </c>
      <c r="T253" t="str">
        <f t="shared" si="31"/>
        <v>3.50697718552256</v>
      </c>
      <c r="U253" t="str">
        <f t="shared" si="32"/>
        <v>5.55</v>
      </c>
    </row>
    <row r="254" spans="1:21" x14ac:dyDescent="0.25">
      <c r="A254" t="s">
        <v>36</v>
      </c>
      <c r="B254" s="1" t="s">
        <v>16</v>
      </c>
      <c r="C254">
        <v>0.60345799785857379</v>
      </c>
      <c r="D254" s="17">
        <v>23.13</v>
      </c>
      <c r="E254">
        <v>46.550158505136466</v>
      </c>
      <c r="F254">
        <v>18.311396629928545</v>
      </c>
      <c r="G254" s="18" t="s">
        <v>534</v>
      </c>
      <c r="H254" s="18" t="s">
        <v>533</v>
      </c>
      <c r="I254">
        <v>3.7290906766502716</v>
      </c>
      <c r="J254" s="17">
        <v>5.05</v>
      </c>
      <c r="L254" t="s">
        <v>36</v>
      </c>
      <c r="M254" s="1" t="s">
        <v>16</v>
      </c>
      <c r="N254" t="str">
        <f t="shared" si="25"/>
        <v>0.603457997858574</v>
      </c>
      <c r="O254" t="str">
        <f t="shared" si="26"/>
        <v>23.13</v>
      </c>
      <c r="P254" t="str">
        <f t="shared" si="27"/>
        <v>46.5501585051365</v>
      </c>
      <c r="Q254" t="str">
        <f t="shared" si="28"/>
        <v>18.3113966299285</v>
      </c>
      <c r="R254" t="str">
        <f t="shared" si="29"/>
        <v>2.64</v>
      </c>
      <c r="S254" t="str">
        <f t="shared" si="30"/>
        <v>4.20</v>
      </c>
      <c r="T254" t="str">
        <f t="shared" si="31"/>
        <v>3.72909067665027</v>
      </c>
      <c r="U254" t="str">
        <f t="shared" si="32"/>
        <v>5.05</v>
      </c>
    </row>
    <row r="255" spans="1:21" x14ac:dyDescent="0.25">
      <c r="A255" t="s">
        <v>36</v>
      </c>
      <c r="B255" s="1" t="s">
        <v>17</v>
      </c>
      <c r="C255">
        <v>2.0750071559366359</v>
      </c>
      <c r="D255" s="17">
        <v>21.1</v>
      </c>
      <c r="E255">
        <v>44.614067545897143</v>
      </c>
      <c r="F255">
        <v>18.374415534899136</v>
      </c>
      <c r="G255" s="18" t="s">
        <v>538</v>
      </c>
      <c r="H255" s="18" t="s">
        <v>537</v>
      </c>
      <c r="I255">
        <v>3.8508150619405006</v>
      </c>
      <c r="J255" s="17">
        <v>5.0599999999999996</v>
      </c>
      <c r="L255" t="s">
        <v>36</v>
      </c>
      <c r="M255" s="1" t="s">
        <v>17</v>
      </c>
      <c r="N255" t="str">
        <f t="shared" si="25"/>
        <v>2.07500715593664</v>
      </c>
      <c r="O255" t="str">
        <f t="shared" si="26"/>
        <v>21.1</v>
      </c>
      <c r="P255" t="str">
        <f t="shared" si="27"/>
        <v>44.6140675458971</v>
      </c>
      <c r="Q255" t="str">
        <f t="shared" si="28"/>
        <v>18.3744155348991</v>
      </c>
      <c r="R255" t="str">
        <f t="shared" si="29"/>
        <v>2.31</v>
      </c>
      <c r="S255" t="str">
        <f t="shared" si="30"/>
        <v>4.42</v>
      </c>
      <c r="T255" t="str">
        <f t="shared" si="31"/>
        <v>3.8508150619405</v>
      </c>
      <c r="U255" t="str">
        <f t="shared" si="32"/>
        <v>5.06</v>
      </c>
    </row>
    <row r="256" spans="1:21" x14ac:dyDescent="0.25">
      <c r="A256" t="s">
        <v>36</v>
      </c>
      <c r="B256" s="1" t="s">
        <v>18</v>
      </c>
      <c r="C256">
        <v>1.029598135155408</v>
      </c>
      <c r="D256" s="17">
        <v>22.56</v>
      </c>
      <c r="E256">
        <v>42.608316618282522</v>
      </c>
      <c r="F256">
        <v>18.430658638782081</v>
      </c>
      <c r="G256" s="18" t="s">
        <v>542</v>
      </c>
      <c r="H256" s="18" t="s">
        <v>541</v>
      </c>
      <c r="I256">
        <v>4.1384309255135969</v>
      </c>
      <c r="J256" s="17">
        <v>5.09</v>
      </c>
      <c r="L256" t="s">
        <v>36</v>
      </c>
      <c r="M256" s="1" t="s">
        <v>18</v>
      </c>
      <c r="N256" t="str">
        <f t="shared" si="25"/>
        <v>1.02959813515541</v>
      </c>
      <c r="O256" t="str">
        <f t="shared" si="26"/>
        <v>22.56</v>
      </c>
      <c r="P256" t="str">
        <f t="shared" si="27"/>
        <v>42.6083166182825</v>
      </c>
      <c r="Q256" t="str">
        <f t="shared" si="28"/>
        <v>18.4306586387821</v>
      </c>
      <c r="R256" t="str">
        <f t="shared" si="29"/>
        <v>2.22</v>
      </c>
      <c r="S256" t="str">
        <f t="shared" si="30"/>
        <v>4.40</v>
      </c>
      <c r="T256" t="str">
        <f t="shared" si="31"/>
        <v>4.1384309255136</v>
      </c>
      <c r="U256" t="str">
        <f t="shared" si="32"/>
        <v>5.09</v>
      </c>
    </row>
    <row r="257" spans="1:21" x14ac:dyDescent="0.25">
      <c r="A257" t="s">
        <v>36</v>
      </c>
      <c r="B257" s="1" t="s">
        <v>19</v>
      </c>
      <c r="C257">
        <v>-0.66462903514314875</v>
      </c>
      <c r="D257" s="17">
        <v>23.52</v>
      </c>
      <c r="E257">
        <v>42.442559236276246</v>
      </c>
      <c r="F257">
        <v>18.427888009107765</v>
      </c>
      <c r="G257" s="18" t="s">
        <v>344</v>
      </c>
      <c r="H257" s="18" t="s">
        <v>545</v>
      </c>
      <c r="I257">
        <v>4.2840605677359154</v>
      </c>
      <c r="J257" s="17">
        <v>5.1100000000000003</v>
      </c>
      <c r="L257" t="s">
        <v>36</v>
      </c>
      <c r="M257" s="1" t="s">
        <v>19</v>
      </c>
      <c r="N257" t="str">
        <f t="shared" si="25"/>
        <v>-0.664629035143149</v>
      </c>
      <c r="O257" t="str">
        <f t="shared" si="26"/>
        <v>23.52</v>
      </c>
      <c r="P257" t="str">
        <f t="shared" si="27"/>
        <v>42.4425592362762</v>
      </c>
      <c r="Q257" t="str">
        <f t="shared" si="28"/>
        <v>18.4278880091078</v>
      </c>
      <c r="R257" t="str">
        <f t="shared" si="29"/>
        <v>2.05</v>
      </c>
      <c r="S257" t="str">
        <f t="shared" si="30"/>
        <v>4.48</v>
      </c>
      <c r="T257" t="str">
        <f t="shared" si="31"/>
        <v>4.28406056773592</v>
      </c>
      <c r="U257" t="str">
        <f t="shared" si="32"/>
        <v>5.11</v>
      </c>
    </row>
    <row r="258" spans="1:21" x14ac:dyDescent="0.25">
      <c r="A258" t="s">
        <v>36</v>
      </c>
      <c r="B258" s="1" t="s">
        <v>20</v>
      </c>
      <c r="C258">
        <v>-1.0358282292455929</v>
      </c>
      <c r="D258" s="18" t="s">
        <v>548</v>
      </c>
      <c r="E258">
        <v>40.042718103882336</v>
      </c>
      <c r="F258">
        <v>18.475680483976056</v>
      </c>
      <c r="G258" s="18" t="s">
        <v>538</v>
      </c>
      <c r="H258" s="18" t="s">
        <v>484</v>
      </c>
      <c r="I258">
        <v>4.5906318441358778</v>
      </c>
      <c r="J258" s="18" t="s">
        <v>549</v>
      </c>
      <c r="L258" t="s">
        <v>36</v>
      </c>
      <c r="M258" s="1" t="s">
        <v>20</v>
      </c>
      <c r="N258" t="str">
        <f t="shared" si="25"/>
        <v>-1.03582822924559</v>
      </c>
      <c r="O258" t="str">
        <f t="shared" si="26"/>
        <v>23.67</v>
      </c>
      <c r="P258" t="str">
        <f t="shared" si="27"/>
        <v>40.0427181038823</v>
      </c>
      <c r="Q258" t="str">
        <f t="shared" si="28"/>
        <v>18.4756804839761</v>
      </c>
      <c r="R258" t="str">
        <f t="shared" si="29"/>
        <v>2.31</v>
      </c>
      <c r="S258" t="str">
        <f t="shared" si="30"/>
        <v>4.76</v>
      </c>
      <c r="T258" t="str">
        <f t="shared" si="31"/>
        <v>4.59063184413588</v>
      </c>
      <c r="U258" t="str">
        <f t="shared" si="32"/>
        <v>5.08</v>
      </c>
    </row>
    <row r="259" spans="1:21" x14ac:dyDescent="0.25">
      <c r="A259" t="s">
        <v>36</v>
      </c>
      <c r="B259" s="1" t="s">
        <v>21</v>
      </c>
      <c r="C259">
        <v>2.9159178794814928</v>
      </c>
      <c r="D259" s="18" t="s">
        <v>552</v>
      </c>
      <c r="E259">
        <v>39.972797250556368</v>
      </c>
      <c r="F259">
        <v>18.506170304399713</v>
      </c>
      <c r="G259" s="18" t="s">
        <v>344</v>
      </c>
      <c r="H259" s="18" t="s">
        <v>553</v>
      </c>
      <c r="I259">
        <v>4.0981914327475852</v>
      </c>
      <c r="J259" s="18" t="s">
        <v>230</v>
      </c>
      <c r="L259" t="s">
        <v>36</v>
      </c>
      <c r="M259" s="1" t="s">
        <v>21</v>
      </c>
      <c r="N259" t="str">
        <f t="shared" ref="N259:N322" si="33">SUBSTITUTE(C259,",",".")</f>
        <v>2.91591787948149</v>
      </c>
      <c r="O259" t="str">
        <f t="shared" ref="O259:O322" si="34">SUBSTITUTE(D259,",",".")</f>
        <v>23.31</v>
      </c>
      <c r="P259" t="str">
        <f t="shared" ref="P259:P322" si="35">SUBSTITUTE(E259,",",".")</f>
        <v>39.9727972505564</v>
      </c>
      <c r="Q259" t="str">
        <f t="shared" ref="Q259:Q322" si="36">SUBSTITUTE(F259,",",".")</f>
        <v>18.5061703043997</v>
      </c>
      <c r="R259" t="str">
        <f t="shared" ref="R259:R322" si="37">SUBSTITUTE(G259,",",".")</f>
        <v>2.05</v>
      </c>
      <c r="S259" t="str">
        <f t="shared" ref="S259:S322" si="38">SUBSTITUTE(H259,",",".")</f>
        <v>4.12</v>
      </c>
      <c r="T259" t="str">
        <f t="shared" ref="T259:T322" si="39">SUBSTITUTE(I259,",",".")</f>
        <v>4.09819143274759</v>
      </c>
      <c r="U259" t="str">
        <f t="shared" ref="U259:U322" si="40">SUBSTITUTE(J259,",",".")</f>
        <v>4.92</v>
      </c>
    </row>
    <row r="260" spans="1:21" x14ac:dyDescent="0.25">
      <c r="A260" t="s">
        <v>36</v>
      </c>
      <c r="B260" s="1" t="s">
        <v>22</v>
      </c>
      <c r="C260">
        <v>5.5930406849715615</v>
      </c>
      <c r="D260" s="18" t="s">
        <v>556</v>
      </c>
      <c r="E260">
        <v>46.686547002835418</v>
      </c>
      <c r="F260">
        <v>18.405335688504376</v>
      </c>
      <c r="G260" s="18" t="s">
        <v>559</v>
      </c>
      <c r="H260" s="18" t="s">
        <v>558</v>
      </c>
      <c r="I260">
        <v>3.7164859244493296</v>
      </c>
      <c r="J260" s="18" t="s">
        <v>557</v>
      </c>
      <c r="L260" t="s">
        <v>36</v>
      </c>
      <c r="M260" s="1" t="s">
        <v>22</v>
      </c>
      <c r="N260" t="str">
        <f t="shared" si="33"/>
        <v>5.59304068497156</v>
      </c>
      <c r="O260" t="str">
        <f t="shared" si="34"/>
        <v>22.65</v>
      </c>
      <c r="P260" t="str">
        <f t="shared" si="35"/>
        <v>46.6865470028354</v>
      </c>
      <c r="Q260" t="str">
        <f t="shared" si="36"/>
        <v>18.4053356885044</v>
      </c>
      <c r="R260" t="str">
        <f t="shared" si="37"/>
        <v>2.02</v>
      </c>
      <c r="S260" t="str">
        <f t="shared" si="38"/>
        <v>3.72</v>
      </c>
      <c r="T260" t="str">
        <f t="shared" si="39"/>
        <v>3.71648592444933</v>
      </c>
      <c r="U260" t="str">
        <f t="shared" si="40"/>
        <v>5.17</v>
      </c>
    </row>
    <row r="261" spans="1:21" x14ac:dyDescent="0.25">
      <c r="A261" t="s">
        <v>36</v>
      </c>
      <c r="B261" s="1" t="s">
        <v>23</v>
      </c>
      <c r="C261">
        <v>0.48079625178638202</v>
      </c>
      <c r="D261" s="19">
        <v>24.74</v>
      </c>
      <c r="E261">
        <v>44.837468768127671</v>
      </c>
      <c r="F261">
        <v>18.450544033813433</v>
      </c>
      <c r="G261" s="19">
        <v>1.95</v>
      </c>
      <c r="H261" s="19">
        <v>2.83</v>
      </c>
      <c r="I261">
        <v>2.8543450665705095</v>
      </c>
      <c r="J261" s="18">
        <v>5.1100000000000003</v>
      </c>
      <c r="L261" t="s">
        <v>36</v>
      </c>
      <c r="M261" s="1" t="s">
        <v>23</v>
      </c>
      <c r="N261" t="str">
        <f t="shared" si="33"/>
        <v>0.480796251786382</v>
      </c>
      <c r="O261" t="str">
        <f t="shared" si="34"/>
        <v>24.74</v>
      </c>
      <c r="P261" t="str">
        <f t="shared" si="35"/>
        <v>44.8374687681277</v>
      </c>
      <c r="Q261" t="str">
        <f t="shared" si="36"/>
        <v>18.4505440338134</v>
      </c>
      <c r="R261" t="str">
        <f t="shared" si="37"/>
        <v>1.95</v>
      </c>
      <c r="S261" t="str">
        <f t="shared" si="38"/>
        <v>2.83</v>
      </c>
      <c r="T261" t="str">
        <f t="shared" si="39"/>
        <v>2.85434506657051</v>
      </c>
      <c r="U261" t="str">
        <f t="shared" si="40"/>
        <v>5.11</v>
      </c>
    </row>
    <row r="262" spans="1:21" x14ac:dyDescent="0.25">
      <c r="A262" t="s">
        <v>37</v>
      </c>
      <c r="B262" s="1" t="s">
        <v>4</v>
      </c>
      <c r="C262">
        <v>-8.5738967620438373</v>
      </c>
      <c r="D262" s="17">
        <v>22.4</v>
      </c>
      <c r="E262">
        <v>57.142224828317531</v>
      </c>
      <c r="F262">
        <v>16.926114299338359</v>
      </c>
      <c r="G262" s="17">
        <v>-0.84</v>
      </c>
      <c r="H262" s="17">
        <v>2.63</v>
      </c>
      <c r="I262">
        <v>3.585862639776948</v>
      </c>
      <c r="J262" s="17">
        <v>1.84</v>
      </c>
      <c r="L262" t="s">
        <v>37</v>
      </c>
      <c r="M262" s="1" t="s">
        <v>4</v>
      </c>
      <c r="N262" t="str">
        <f t="shared" si="33"/>
        <v>-8.57389676204384</v>
      </c>
      <c r="O262" t="str">
        <f t="shared" si="34"/>
        <v>22.4</v>
      </c>
      <c r="P262" t="str">
        <f t="shared" si="35"/>
        <v>57.1422248283175</v>
      </c>
      <c r="Q262" t="str">
        <f t="shared" si="36"/>
        <v>16.9261142993384</v>
      </c>
      <c r="R262" t="str">
        <f t="shared" si="37"/>
        <v>-0.84</v>
      </c>
      <c r="S262" t="str">
        <f t="shared" si="38"/>
        <v>2.63</v>
      </c>
      <c r="T262" t="str">
        <f t="shared" si="39"/>
        <v>3.58586263977695</v>
      </c>
      <c r="U262" t="str">
        <f t="shared" si="40"/>
        <v>1.84</v>
      </c>
    </row>
    <row r="263" spans="1:21" x14ac:dyDescent="0.25">
      <c r="A263" t="s">
        <v>37</v>
      </c>
      <c r="B263" s="1" t="s">
        <v>5</v>
      </c>
      <c r="C263">
        <v>-2.7132003356417482</v>
      </c>
      <c r="D263" s="17">
        <v>21.55</v>
      </c>
      <c r="E263">
        <v>60.620210351437144</v>
      </c>
      <c r="F263">
        <v>16.839522417853662</v>
      </c>
      <c r="G263" s="17">
        <v>-0.85</v>
      </c>
      <c r="H263" s="17">
        <v>2.69</v>
      </c>
      <c r="I263">
        <v>3.6662393292258804</v>
      </c>
      <c r="J263" s="17">
        <v>1.82</v>
      </c>
      <c r="L263" t="s">
        <v>37</v>
      </c>
      <c r="M263" s="1" t="s">
        <v>5</v>
      </c>
      <c r="N263" t="str">
        <f t="shared" si="33"/>
        <v>-2.71320033564175</v>
      </c>
      <c r="O263" t="str">
        <f t="shared" si="34"/>
        <v>21.55</v>
      </c>
      <c r="P263" t="str">
        <f t="shared" si="35"/>
        <v>60.6202103514371</v>
      </c>
      <c r="Q263" t="str">
        <f t="shared" si="36"/>
        <v>16.8395224178537</v>
      </c>
      <c r="R263" t="str">
        <f t="shared" si="37"/>
        <v>-0.85</v>
      </c>
      <c r="S263" t="str">
        <f t="shared" si="38"/>
        <v>2.69</v>
      </c>
      <c r="T263" t="str">
        <f t="shared" si="39"/>
        <v>3.66623932922588</v>
      </c>
      <c r="U263" t="str">
        <f t="shared" si="40"/>
        <v>1.82</v>
      </c>
    </row>
    <row r="264" spans="1:21" x14ac:dyDescent="0.25">
      <c r="A264" t="s">
        <v>37</v>
      </c>
      <c r="B264" s="1" t="s">
        <v>6</v>
      </c>
      <c r="C264">
        <v>-2.45233265866456</v>
      </c>
      <c r="D264" s="17">
        <v>21.5</v>
      </c>
      <c r="E264">
        <v>57.670163960101519</v>
      </c>
      <c r="F264">
        <v>16.864581777133875</v>
      </c>
      <c r="G264" s="17">
        <v>-0.97</v>
      </c>
      <c r="H264" s="17">
        <v>4.16</v>
      </c>
      <c r="I264">
        <v>3.699111347581681</v>
      </c>
      <c r="J264" s="17">
        <v>1.57</v>
      </c>
      <c r="L264" t="s">
        <v>37</v>
      </c>
      <c r="M264" s="1" t="s">
        <v>6</v>
      </c>
      <c r="N264" t="str">
        <f t="shared" si="33"/>
        <v>-2.45233265866456</v>
      </c>
      <c r="O264" t="str">
        <f t="shared" si="34"/>
        <v>21.5</v>
      </c>
      <c r="P264" t="str">
        <f t="shared" si="35"/>
        <v>57.6701639601015</v>
      </c>
      <c r="Q264" t="str">
        <f t="shared" si="36"/>
        <v>16.8645817771339</v>
      </c>
      <c r="R264" t="str">
        <f t="shared" si="37"/>
        <v>-0.97</v>
      </c>
      <c r="S264" t="str">
        <f t="shared" si="38"/>
        <v>4.16</v>
      </c>
      <c r="T264" t="str">
        <f t="shared" si="39"/>
        <v>3.69911134758168</v>
      </c>
      <c r="U264" t="str">
        <f t="shared" si="40"/>
        <v>1.57</v>
      </c>
    </row>
    <row r="265" spans="1:21" x14ac:dyDescent="0.25">
      <c r="A265" t="s">
        <v>37</v>
      </c>
      <c r="B265" s="1" t="s">
        <v>7</v>
      </c>
      <c r="C265">
        <v>-7.7856482876921485</v>
      </c>
      <c r="D265" s="17">
        <v>26.5</v>
      </c>
      <c r="E265">
        <v>54.760538501481385</v>
      </c>
      <c r="F265">
        <v>16.835297484558147</v>
      </c>
      <c r="G265" s="17">
        <v>0.12</v>
      </c>
      <c r="H265" s="17">
        <v>2.4900000000000002</v>
      </c>
      <c r="I265">
        <v>1.5477123968612905</v>
      </c>
      <c r="J265" s="17">
        <v>1.73</v>
      </c>
      <c r="L265" t="s">
        <v>37</v>
      </c>
      <c r="M265" s="1" t="s">
        <v>7</v>
      </c>
      <c r="N265" t="str">
        <f t="shared" si="33"/>
        <v>-7.78564828769215</v>
      </c>
      <c r="O265" t="str">
        <f t="shared" si="34"/>
        <v>26.5</v>
      </c>
      <c r="P265" t="str">
        <f t="shared" si="35"/>
        <v>54.7605385014814</v>
      </c>
      <c r="Q265" t="str">
        <f t="shared" si="36"/>
        <v>16.8352974845581</v>
      </c>
      <c r="R265" t="str">
        <f t="shared" si="37"/>
        <v>0.12</v>
      </c>
      <c r="S265" t="str">
        <f t="shared" si="38"/>
        <v>2.49</v>
      </c>
      <c r="T265" t="str">
        <f t="shared" si="39"/>
        <v>1.54771239686129</v>
      </c>
      <c r="U265" t="str">
        <f t="shared" si="40"/>
        <v>1.73</v>
      </c>
    </row>
    <row r="266" spans="1:21" x14ac:dyDescent="0.25">
      <c r="A266" t="s">
        <v>37</v>
      </c>
      <c r="B266" s="1" t="s">
        <v>8</v>
      </c>
      <c r="C266">
        <v>-5.5140451909486181</v>
      </c>
      <c r="D266" s="17">
        <v>27.55</v>
      </c>
      <c r="E266">
        <v>56.426863208343136</v>
      </c>
      <c r="F266">
        <v>16.74860298675339</v>
      </c>
      <c r="G266" s="17">
        <v>-1.02</v>
      </c>
      <c r="H266" s="17">
        <v>3.7</v>
      </c>
      <c r="I266">
        <v>1.9192946812798015</v>
      </c>
      <c r="J266" s="17">
        <v>2.17</v>
      </c>
      <c r="L266" t="s">
        <v>37</v>
      </c>
      <c r="M266" s="1" t="s">
        <v>8</v>
      </c>
      <c r="N266" t="str">
        <f t="shared" si="33"/>
        <v>-5.51404519094862</v>
      </c>
      <c r="O266" t="str">
        <f t="shared" si="34"/>
        <v>27.55</v>
      </c>
      <c r="P266" t="str">
        <f t="shared" si="35"/>
        <v>56.4268632083431</v>
      </c>
      <c r="Q266" t="str">
        <f t="shared" si="36"/>
        <v>16.7486029867534</v>
      </c>
      <c r="R266" t="str">
        <f t="shared" si="37"/>
        <v>-1.02</v>
      </c>
      <c r="S266" t="str">
        <f t="shared" si="38"/>
        <v>3.7</v>
      </c>
      <c r="T266" t="str">
        <f t="shared" si="39"/>
        <v>1.9192946812798</v>
      </c>
      <c r="U266" t="str">
        <f t="shared" si="40"/>
        <v>2.17</v>
      </c>
    </row>
    <row r="267" spans="1:21" x14ac:dyDescent="0.25">
      <c r="A267" t="s">
        <v>37</v>
      </c>
      <c r="B267" s="1" t="s">
        <v>9</v>
      </c>
      <c r="C267">
        <v>20.867065579486468</v>
      </c>
      <c r="D267" s="17">
        <v>21.88</v>
      </c>
      <c r="E267">
        <v>60.38092804489311</v>
      </c>
      <c r="F267">
        <v>16.870396159748211</v>
      </c>
      <c r="G267" s="17">
        <v>-0.52</v>
      </c>
      <c r="H267" s="17">
        <v>4.68</v>
      </c>
      <c r="I267">
        <v>1.5621893801343623</v>
      </c>
      <c r="J267" s="17">
        <v>2.1800000000000002</v>
      </c>
      <c r="L267" t="s">
        <v>37</v>
      </c>
      <c r="M267" s="1" t="s">
        <v>9</v>
      </c>
      <c r="N267" t="str">
        <f t="shared" si="33"/>
        <v>20.8670655794865</v>
      </c>
      <c r="O267" t="str">
        <f t="shared" si="34"/>
        <v>21.88</v>
      </c>
      <c r="P267" t="str">
        <f t="shared" si="35"/>
        <v>60.3809280448931</v>
      </c>
      <c r="Q267" t="str">
        <f t="shared" si="36"/>
        <v>16.8703961597482</v>
      </c>
      <c r="R267" t="str">
        <f t="shared" si="37"/>
        <v>-0.52</v>
      </c>
      <c r="S267" t="str">
        <f t="shared" si="38"/>
        <v>4.68</v>
      </c>
      <c r="T267" t="str">
        <f t="shared" si="39"/>
        <v>1.56218938013436</v>
      </c>
      <c r="U267" t="str">
        <f t="shared" si="40"/>
        <v>2.18</v>
      </c>
    </row>
    <row r="268" spans="1:21" x14ac:dyDescent="0.25">
      <c r="A268" t="s">
        <v>37</v>
      </c>
      <c r="B268" s="1" t="s">
        <v>10</v>
      </c>
      <c r="C268">
        <v>1.5033855150641782</v>
      </c>
      <c r="D268" s="17">
        <v>22.28</v>
      </c>
      <c r="E268">
        <v>60.14797624532212</v>
      </c>
      <c r="F268">
        <v>16.889183624022717</v>
      </c>
      <c r="G268" s="17">
        <v>-0.22</v>
      </c>
      <c r="H268" s="17">
        <v>4.6500000000000004</v>
      </c>
      <c r="I268">
        <v>1.5276556210686323</v>
      </c>
      <c r="J268" s="17">
        <v>2.5099999999999998</v>
      </c>
      <c r="L268" t="s">
        <v>37</v>
      </c>
      <c r="M268" s="1" t="s">
        <v>10</v>
      </c>
      <c r="N268" t="str">
        <f t="shared" si="33"/>
        <v>1.50338551506418</v>
      </c>
      <c r="O268" t="str">
        <f t="shared" si="34"/>
        <v>22.28</v>
      </c>
      <c r="P268" t="str">
        <f t="shared" si="35"/>
        <v>60.1479762453221</v>
      </c>
      <c r="Q268" t="str">
        <f t="shared" si="36"/>
        <v>16.8891836240227</v>
      </c>
      <c r="R268" t="str">
        <f t="shared" si="37"/>
        <v>-0.22</v>
      </c>
      <c r="S268" t="str">
        <f t="shared" si="38"/>
        <v>4.65</v>
      </c>
      <c r="T268" t="str">
        <f t="shared" si="39"/>
        <v>1.52765562106863</v>
      </c>
      <c r="U268" t="str">
        <f t="shared" si="40"/>
        <v>2.51</v>
      </c>
    </row>
    <row r="269" spans="1:21" x14ac:dyDescent="0.25">
      <c r="A269" t="s">
        <v>37</v>
      </c>
      <c r="B269" s="1" t="s">
        <v>11</v>
      </c>
      <c r="C269">
        <v>8.0391178634059788</v>
      </c>
      <c r="D269" s="17">
        <v>21.08</v>
      </c>
      <c r="E269">
        <v>61.029850639296647</v>
      </c>
      <c r="F269">
        <v>16.951951499520305</v>
      </c>
      <c r="G269" s="17">
        <v>0.02</v>
      </c>
      <c r="H269" s="17">
        <v>5.63</v>
      </c>
      <c r="I269">
        <v>1.2365908120198765</v>
      </c>
      <c r="J269" s="17">
        <v>2.56</v>
      </c>
      <c r="L269" t="s">
        <v>37</v>
      </c>
      <c r="M269" s="1" t="s">
        <v>11</v>
      </c>
      <c r="N269" t="str">
        <f t="shared" si="33"/>
        <v>8.03911786340598</v>
      </c>
      <c r="O269" t="str">
        <f t="shared" si="34"/>
        <v>21.08</v>
      </c>
      <c r="P269" t="str">
        <f t="shared" si="35"/>
        <v>61.0298506392966</v>
      </c>
      <c r="Q269" t="str">
        <f t="shared" si="36"/>
        <v>16.9519514995203</v>
      </c>
      <c r="R269" t="str">
        <f t="shared" si="37"/>
        <v>0.02</v>
      </c>
      <c r="S269" t="str">
        <f t="shared" si="38"/>
        <v>5.63</v>
      </c>
      <c r="T269" t="str">
        <f t="shared" si="39"/>
        <v>1.23659081201988</v>
      </c>
      <c r="U269" t="str">
        <f t="shared" si="40"/>
        <v>2.56</v>
      </c>
    </row>
    <row r="270" spans="1:21" x14ac:dyDescent="0.25">
      <c r="A270" t="s">
        <v>37</v>
      </c>
      <c r="B270" s="1" t="s">
        <v>12</v>
      </c>
      <c r="C270">
        <v>1.2795369391140785</v>
      </c>
      <c r="D270" s="17">
        <v>20.36</v>
      </c>
      <c r="E270">
        <v>66.730687138211294</v>
      </c>
      <c r="F270">
        <v>16.875363874899122</v>
      </c>
      <c r="G270" s="17">
        <v>-0.34</v>
      </c>
      <c r="H270" s="17">
        <v>8.41</v>
      </c>
      <c r="I270">
        <v>4.9255239200620551</v>
      </c>
      <c r="J270" s="17">
        <v>1.82</v>
      </c>
      <c r="L270" t="s">
        <v>37</v>
      </c>
      <c r="M270" s="1" t="s">
        <v>12</v>
      </c>
      <c r="N270" t="str">
        <f t="shared" si="33"/>
        <v>1.27953693911408</v>
      </c>
      <c r="O270" t="str">
        <f t="shared" si="34"/>
        <v>20.36</v>
      </c>
      <c r="P270" t="str">
        <f t="shared" si="35"/>
        <v>66.7306871382113</v>
      </c>
      <c r="Q270" t="str">
        <f t="shared" si="36"/>
        <v>16.8753638748991</v>
      </c>
      <c r="R270" t="str">
        <f t="shared" si="37"/>
        <v>-0.34</v>
      </c>
      <c r="S270" t="str">
        <f t="shared" si="38"/>
        <v>8.41</v>
      </c>
      <c r="T270" t="str">
        <f t="shared" si="39"/>
        <v>4.92552392006206</v>
      </c>
      <c r="U270" t="str">
        <f t="shared" si="40"/>
        <v>1.82</v>
      </c>
    </row>
    <row r="271" spans="1:21" x14ac:dyDescent="0.25">
      <c r="A271" t="s">
        <v>37</v>
      </c>
      <c r="B271" s="1" t="s">
        <v>13</v>
      </c>
      <c r="C271">
        <v>-7.6224365840525801</v>
      </c>
      <c r="D271" s="17">
        <v>18.489999999999998</v>
      </c>
      <c r="E271">
        <v>61.443349180359284</v>
      </c>
      <c r="F271">
        <v>16.878627143299791</v>
      </c>
      <c r="G271" s="17">
        <v>-4.83</v>
      </c>
      <c r="H271" s="17">
        <v>9.56</v>
      </c>
      <c r="I271">
        <v>6.6606467573507429</v>
      </c>
      <c r="J271" s="17">
        <v>1.7</v>
      </c>
      <c r="L271" t="s">
        <v>37</v>
      </c>
      <c r="M271" s="1" t="s">
        <v>13</v>
      </c>
      <c r="N271" t="str">
        <f t="shared" si="33"/>
        <v>-7.62243658405258</v>
      </c>
      <c r="O271" t="str">
        <f t="shared" si="34"/>
        <v>18.49</v>
      </c>
      <c r="P271" t="str">
        <f t="shared" si="35"/>
        <v>61.4433491803593</v>
      </c>
      <c r="Q271" t="str">
        <f t="shared" si="36"/>
        <v>16.8786271432998</v>
      </c>
      <c r="R271" t="str">
        <f t="shared" si="37"/>
        <v>-4.83</v>
      </c>
      <c r="S271" t="str">
        <f t="shared" si="38"/>
        <v>9.56</v>
      </c>
      <c r="T271" t="str">
        <f t="shared" si="39"/>
        <v>6.66064675735074</v>
      </c>
      <c r="U271" t="str">
        <f t="shared" si="40"/>
        <v>1.7</v>
      </c>
    </row>
    <row r="272" spans="1:21" x14ac:dyDescent="0.25">
      <c r="A272" t="s">
        <v>37</v>
      </c>
      <c r="B272" s="1" t="s">
        <v>14</v>
      </c>
      <c r="C272">
        <v>-3.6732071688143337</v>
      </c>
      <c r="D272" s="17">
        <v>18.25</v>
      </c>
      <c r="E272">
        <v>60.378012465345897</v>
      </c>
      <c r="F272">
        <v>16.8586940520836</v>
      </c>
      <c r="G272" s="17">
        <v>-3.82</v>
      </c>
      <c r="H272" s="17">
        <v>7.02</v>
      </c>
      <c r="I272">
        <v>4.2256387544336915</v>
      </c>
      <c r="J272" s="17">
        <v>1.63</v>
      </c>
      <c r="L272" t="s">
        <v>37</v>
      </c>
      <c r="M272" s="1" t="s">
        <v>14</v>
      </c>
      <c r="N272" t="str">
        <f t="shared" si="33"/>
        <v>-3.67320716881433</v>
      </c>
      <c r="O272" t="str">
        <f t="shared" si="34"/>
        <v>18.25</v>
      </c>
      <c r="P272" t="str">
        <f t="shared" si="35"/>
        <v>60.3780124653459</v>
      </c>
      <c r="Q272" t="str">
        <f t="shared" si="36"/>
        <v>16.8586940520836</v>
      </c>
      <c r="R272" t="str">
        <f t="shared" si="37"/>
        <v>-3.82</v>
      </c>
      <c r="S272" t="str">
        <f t="shared" si="38"/>
        <v>7.02</v>
      </c>
      <c r="T272" t="str">
        <f t="shared" si="39"/>
        <v>4.22563875443369</v>
      </c>
      <c r="U272" t="str">
        <f t="shared" si="40"/>
        <v>1.63</v>
      </c>
    </row>
    <row r="273" spans="1:21" x14ac:dyDescent="0.25">
      <c r="A273" t="s">
        <v>37</v>
      </c>
      <c r="B273" s="1" t="s">
        <v>15</v>
      </c>
      <c r="C273">
        <v>-5.8283264561576198</v>
      </c>
      <c r="D273" s="18">
        <v>24.53</v>
      </c>
      <c r="E273">
        <v>65.168901009416487</v>
      </c>
      <c r="F273">
        <v>16.722285926852763</v>
      </c>
      <c r="G273" s="17">
        <v>-1.24</v>
      </c>
      <c r="H273" s="18">
        <v>4.66</v>
      </c>
      <c r="I273">
        <v>5.5095891536772053</v>
      </c>
      <c r="J273" s="18">
        <v>1.61</v>
      </c>
      <c r="L273" t="s">
        <v>37</v>
      </c>
      <c r="M273" s="1" t="s">
        <v>15</v>
      </c>
      <c r="N273" t="str">
        <f t="shared" si="33"/>
        <v>-5.82832645615762</v>
      </c>
      <c r="O273" t="str">
        <f t="shared" si="34"/>
        <v>24.53</v>
      </c>
      <c r="P273" t="str">
        <f t="shared" si="35"/>
        <v>65.1689010094165</v>
      </c>
      <c r="Q273" t="str">
        <f t="shared" si="36"/>
        <v>16.7222859268528</v>
      </c>
      <c r="R273" t="str">
        <f t="shared" si="37"/>
        <v>-1.24</v>
      </c>
      <c r="S273" t="str">
        <f t="shared" si="38"/>
        <v>4.66</v>
      </c>
      <c r="T273" t="str">
        <f t="shared" si="39"/>
        <v>5.50958915367721</v>
      </c>
      <c r="U273" t="str">
        <f t="shared" si="40"/>
        <v>1.61</v>
      </c>
    </row>
    <row r="274" spans="1:21" x14ac:dyDescent="0.25">
      <c r="A274" t="s">
        <v>37</v>
      </c>
      <c r="B274" s="1" t="s">
        <v>16</v>
      </c>
      <c r="C274">
        <v>-4.9006952964549191</v>
      </c>
      <c r="D274" s="18">
        <v>23.69</v>
      </c>
      <c r="E274">
        <v>61.501236746357016</v>
      </c>
      <c r="F274">
        <v>16.729962491627166</v>
      </c>
      <c r="G274" s="17">
        <v>-2.89</v>
      </c>
      <c r="H274" s="16">
        <v>3.22</v>
      </c>
      <c r="I274">
        <v>4.0521846897949398</v>
      </c>
      <c r="J274" s="18">
        <v>2.42</v>
      </c>
      <c r="L274" t="s">
        <v>37</v>
      </c>
      <c r="M274" s="1" t="s">
        <v>16</v>
      </c>
      <c r="N274" t="str">
        <f t="shared" si="33"/>
        <v>-4.90069529645492</v>
      </c>
      <c r="O274" t="str">
        <f t="shared" si="34"/>
        <v>23.69</v>
      </c>
      <c r="P274" t="str">
        <f t="shared" si="35"/>
        <v>61.501236746357</v>
      </c>
      <c r="Q274" t="str">
        <f t="shared" si="36"/>
        <v>16.7299624916272</v>
      </c>
      <c r="R274" t="str">
        <f t="shared" si="37"/>
        <v>-2.89</v>
      </c>
      <c r="S274" t="str">
        <f t="shared" si="38"/>
        <v>3.22</v>
      </c>
      <c r="T274" t="str">
        <f t="shared" si="39"/>
        <v>4.05218468979494</v>
      </c>
      <c r="U274" t="str">
        <f t="shared" si="40"/>
        <v>2.42</v>
      </c>
    </row>
    <row r="275" spans="1:21" x14ac:dyDescent="0.25">
      <c r="A275" t="s">
        <v>37</v>
      </c>
      <c r="B275" s="1" t="s">
        <v>17</v>
      </c>
      <c r="C275">
        <v>0.94841010575720652</v>
      </c>
      <c r="D275" s="18">
        <v>21.61</v>
      </c>
      <c r="E275">
        <v>67.236251627373008</v>
      </c>
      <c r="F275">
        <v>16.650246624442968</v>
      </c>
      <c r="G275" s="17">
        <v>-6.13</v>
      </c>
      <c r="H275" s="18">
        <v>7.56</v>
      </c>
      <c r="I275">
        <v>7.3627607439510578</v>
      </c>
      <c r="J275" s="18">
        <v>2.2400000000000002</v>
      </c>
      <c r="L275" t="s">
        <v>37</v>
      </c>
      <c r="M275" s="1" t="s">
        <v>17</v>
      </c>
      <c r="N275" t="str">
        <f t="shared" si="33"/>
        <v>0.948410105757207</v>
      </c>
      <c r="O275" t="str">
        <f t="shared" si="34"/>
        <v>21.61</v>
      </c>
      <c r="P275" t="str">
        <f t="shared" si="35"/>
        <v>67.236251627373</v>
      </c>
      <c r="Q275" t="str">
        <f t="shared" si="36"/>
        <v>16.650246624443</v>
      </c>
      <c r="R275" t="str">
        <f t="shared" si="37"/>
        <v>-6.13</v>
      </c>
      <c r="S275" t="str">
        <f t="shared" si="38"/>
        <v>7.56</v>
      </c>
      <c r="T275" t="str">
        <f t="shared" si="39"/>
        <v>7.36276074395106</v>
      </c>
      <c r="U275" t="str">
        <f t="shared" si="40"/>
        <v>2.24</v>
      </c>
    </row>
    <row r="276" spans="1:21" x14ac:dyDescent="0.25">
      <c r="A276" t="s">
        <v>37</v>
      </c>
      <c r="B276" s="1" t="s">
        <v>18</v>
      </c>
      <c r="C276">
        <v>-5.3156557704199692</v>
      </c>
      <c r="D276" s="18">
        <v>20.59</v>
      </c>
      <c r="E276">
        <v>64.320023935754662</v>
      </c>
      <c r="F276">
        <v>16.63996666914279</v>
      </c>
      <c r="G276" s="17">
        <v>-4.1100000000000003</v>
      </c>
      <c r="H276" s="18">
        <v>7.77</v>
      </c>
      <c r="I276">
        <v>7.6020472979823808</v>
      </c>
      <c r="J276" s="18">
        <v>2.37</v>
      </c>
      <c r="L276" t="s">
        <v>37</v>
      </c>
      <c r="M276" s="1" t="s">
        <v>18</v>
      </c>
      <c r="N276" t="str">
        <f t="shared" si="33"/>
        <v>-5.31565577041997</v>
      </c>
      <c r="O276" t="str">
        <f t="shared" si="34"/>
        <v>20.59</v>
      </c>
      <c r="P276" t="str">
        <f t="shared" si="35"/>
        <v>64.3200239357547</v>
      </c>
      <c r="Q276" t="str">
        <f t="shared" si="36"/>
        <v>16.6399666691428</v>
      </c>
      <c r="R276" t="str">
        <f t="shared" si="37"/>
        <v>-4.11</v>
      </c>
      <c r="S276" t="str">
        <f t="shared" si="38"/>
        <v>7.77</v>
      </c>
      <c r="T276" t="str">
        <f t="shared" si="39"/>
        <v>7.60204729798238</v>
      </c>
      <c r="U276" t="str">
        <f t="shared" si="40"/>
        <v>2.37</v>
      </c>
    </row>
    <row r="277" spans="1:21" x14ac:dyDescent="0.25">
      <c r="A277" t="s">
        <v>37</v>
      </c>
      <c r="B277" s="1" t="s">
        <v>19</v>
      </c>
      <c r="C277">
        <v>-9.9667895769995702</v>
      </c>
      <c r="D277" s="18">
        <v>29.92</v>
      </c>
      <c r="E277">
        <v>55.129481202384397</v>
      </c>
      <c r="F277">
        <v>16.689161465009352</v>
      </c>
      <c r="G277" s="17">
        <v>-8.5</v>
      </c>
      <c r="H277" s="18">
        <v>0.08</v>
      </c>
      <c r="I277">
        <v>3.2911455963667513</v>
      </c>
      <c r="J277" s="18">
        <v>2.34</v>
      </c>
      <c r="L277" t="s">
        <v>37</v>
      </c>
      <c r="M277" s="1" t="s">
        <v>19</v>
      </c>
      <c r="N277" t="str">
        <f t="shared" si="33"/>
        <v>-9.96678957699957</v>
      </c>
      <c r="O277" t="str">
        <f t="shared" si="34"/>
        <v>29.92</v>
      </c>
      <c r="P277" t="str">
        <f t="shared" si="35"/>
        <v>55.1294812023844</v>
      </c>
      <c r="Q277" t="str">
        <f t="shared" si="36"/>
        <v>16.6891614650094</v>
      </c>
      <c r="R277" t="str">
        <f t="shared" si="37"/>
        <v>-8.5</v>
      </c>
      <c r="S277" t="str">
        <f t="shared" si="38"/>
        <v>0.08</v>
      </c>
      <c r="T277" t="str">
        <f t="shared" si="39"/>
        <v>3.29114559636675</v>
      </c>
      <c r="U277" t="str">
        <f t="shared" si="40"/>
        <v>2.34</v>
      </c>
    </row>
    <row r="278" spans="1:21" x14ac:dyDescent="0.25">
      <c r="A278" t="s">
        <v>37</v>
      </c>
      <c r="B278" s="1" t="s">
        <v>20</v>
      </c>
      <c r="C278">
        <v>3.4709225352401325</v>
      </c>
      <c r="D278" s="18" t="s">
        <v>579</v>
      </c>
      <c r="E278">
        <v>57.74634105611829</v>
      </c>
      <c r="F278">
        <v>16.676906543623865</v>
      </c>
      <c r="G278" s="17" t="s">
        <v>561</v>
      </c>
      <c r="H278" s="18" t="s">
        <v>580</v>
      </c>
      <c r="I278">
        <v>3.0442648110483814</v>
      </c>
      <c r="J278" s="18" t="s">
        <v>267</v>
      </c>
      <c r="L278" t="s">
        <v>37</v>
      </c>
      <c r="M278" s="1" t="s">
        <v>20</v>
      </c>
      <c r="N278" t="str">
        <f t="shared" si="33"/>
        <v>3.47092253524013</v>
      </c>
      <c r="O278" t="str">
        <f t="shared" si="34"/>
        <v>30.74</v>
      </c>
      <c r="P278" t="str">
        <f t="shared" si="35"/>
        <v>57.7463410561183</v>
      </c>
      <c r="Q278" t="str">
        <f t="shared" si="36"/>
        <v>16.6769065436239</v>
      </c>
      <c r="R278" t="str">
        <f t="shared" si="37"/>
        <v>0.83</v>
      </c>
      <c r="S278" t="str">
        <f t="shared" si="38"/>
        <v>0.07</v>
      </c>
      <c r="T278" t="str">
        <f t="shared" si="39"/>
        <v>3.04426481104838</v>
      </c>
      <c r="U278" t="str">
        <f t="shared" si="40"/>
        <v>3.03</v>
      </c>
    </row>
    <row r="279" spans="1:21" x14ac:dyDescent="0.25">
      <c r="A279" t="s">
        <v>37</v>
      </c>
      <c r="B279" s="1" t="s">
        <v>21</v>
      </c>
      <c r="C279">
        <v>-2.9103898111597952</v>
      </c>
      <c r="D279" s="18" t="s">
        <v>582</v>
      </c>
      <c r="E279">
        <v>62.069282735828978</v>
      </c>
      <c r="F279">
        <v>16.575179490493657</v>
      </c>
      <c r="G279" s="17" t="s">
        <v>505</v>
      </c>
      <c r="H279" s="18" t="s">
        <v>580</v>
      </c>
      <c r="I279">
        <v>4.5298243921137971</v>
      </c>
      <c r="J279" s="18" t="s">
        <v>583</v>
      </c>
      <c r="L279" t="s">
        <v>37</v>
      </c>
      <c r="M279" s="1" t="s">
        <v>21</v>
      </c>
      <c r="N279" t="str">
        <f t="shared" si="33"/>
        <v>-2.9103898111598</v>
      </c>
      <c r="O279" t="str">
        <f t="shared" si="34"/>
        <v>31.36</v>
      </c>
      <c r="P279" t="str">
        <f t="shared" si="35"/>
        <v>62.069282735829</v>
      </c>
      <c r="Q279" t="str">
        <f t="shared" si="36"/>
        <v>16.5751794904937</v>
      </c>
      <c r="R279" t="str">
        <f t="shared" si="37"/>
        <v>0.61</v>
      </c>
      <c r="S279" t="str">
        <f t="shared" si="38"/>
        <v>0.07</v>
      </c>
      <c r="T279" t="str">
        <f t="shared" si="39"/>
        <v>4.5298243921138</v>
      </c>
      <c r="U279" t="str">
        <f t="shared" si="40"/>
        <v>3.10</v>
      </c>
    </row>
    <row r="280" spans="1:21" x14ac:dyDescent="0.25">
      <c r="A280" t="s">
        <v>37</v>
      </c>
      <c r="B280" s="1" t="s">
        <v>22</v>
      </c>
      <c r="C280">
        <v>-3.4902678127623079</v>
      </c>
      <c r="D280" s="18" t="s">
        <v>585</v>
      </c>
      <c r="E280">
        <v>59.253031232834644</v>
      </c>
      <c r="F280">
        <v>16.586087445320718</v>
      </c>
      <c r="G280" s="17">
        <v>-2.8</v>
      </c>
      <c r="H280" s="18" t="s">
        <v>587</v>
      </c>
      <c r="I280">
        <v>9.1392940454778984</v>
      </c>
      <c r="J280" s="18" t="s">
        <v>586</v>
      </c>
      <c r="L280" t="s">
        <v>37</v>
      </c>
      <c r="M280" s="1" t="s">
        <v>22</v>
      </c>
      <c r="N280" t="str">
        <f t="shared" si="33"/>
        <v>-3.49026781276231</v>
      </c>
      <c r="O280" t="str">
        <f t="shared" si="34"/>
        <v>29.93</v>
      </c>
      <c r="P280" t="str">
        <f t="shared" si="35"/>
        <v>59.2530312328346</v>
      </c>
      <c r="Q280" t="str">
        <f t="shared" si="36"/>
        <v>16.5860874453207</v>
      </c>
      <c r="R280" t="str">
        <f t="shared" si="37"/>
        <v>-2.8</v>
      </c>
      <c r="S280" t="str">
        <f t="shared" si="38"/>
        <v>5.80</v>
      </c>
      <c r="T280" t="str">
        <f t="shared" si="39"/>
        <v>9.1392940454779</v>
      </c>
      <c r="U280" t="str">
        <f t="shared" si="40"/>
        <v>3.15</v>
      </c>
    </row>
    <row r="281" spans="1:21" x14ac:dyDescent="0.25">
      <c r="A281" t="s">
        <v>37</v>
      </c>
      <c r="B281" s="1" t="s">
        <v>23</v>
      </c>
      <c r="C281">
        <v>2.122501342555899</v>
      </c>
      <c r="D281" s="16">
        <v>38.590000000000003</v>
      </c>
      <c r="E281">
        <v>57.798646379001319</v>
      </c>
      <c r="F281">
        <v>16.631941927954291</v>
      </c>
      <c r="G281" s="17">
        <v>-2.42</v>
      </c>
      <c r="H281" s="18" t="s">
        <v>416</v>
      </c>
      <c r="I281">
        <v>4.2032342363321176</v>
      </c>
      <c r="J281" s="18" t="s">
        <v>303</v>
      </c>
      <c r="L281" t="s">
        <v>37</v>
      </c>
      <c r="M281" s="1" t="s">
        <v>23</v>
      </c>
      <c r="N281" t="str">
        <f t="shared" si="33"/>
        <v>2.1225013425559</v>
      </c>
      <c r="O281" t="str">
        <f t="shared" si="34"/>
        <v>38.59</v>
      </c>
      <c r="P281" t="str">
        <f t="shared" si="35"/>
        <v>57.7986463790013</v>
      </c>
      <c r="Q281" t="str">
        <f t="shared" si="36"/>
        <v>16.6319419279543</v>
      </c>
      <c r="R281" t="str">
        <f t="shared" si="37"/>
        <v>-2.42</v>
      </c>
      <c r="S281" t="str">
        <f t="shared" si="38"/>
        <v>0.38</v>
      </c>
      <c r="T281" t="str">
        <f t="shared" si="39"/>
        <v>4.20323423633212</v>
      </c>
      <c r="U281" t="str">
        <f t="shared" si="40"/>
        <v>3.19</v>
      </c>
    </row>
    <row r="282" spans="1:21" x14ac:dyDescent="0.25">
      <c r="A282" t="s">
        <v>38</v>
      </c>
      <c r="B282" s="1" t="s">
        <v>4</v>
      </c>
      <c r="C282">
        <v>5.213333616899102</v>
      </c>
      <c r="D282" s="18">
        <v>24.48</v>
      </c>
      <c r="E282">
        <v>70.209328056565894</v>
      </c>
      <c r="F282">
        <v>17.154307043251329</v>
      </c>
      <c r="G282" s="18">
        <v>2.79</v>
      </c>
      <c r="H282" s="18">
        <v>1.63</v>
      </c>
      <c r="I282">
        <v>0.88311827969486922</v>
      </c>
      <c r="J282" s="18">
        <v>5.07</v>
      </c>
      <c r="L282" t="s">
        <v>38</v>
      </c>
      <c r="M282" s="1" t="s">
        <v>4</v>
      </c>
      <c r="N282" t="str">
        <f t="shared" si="33"/>
        <v>5.2133336168991</v>
      </c>
      <c r="O282" t="str">
        <f t="shared" si="34"/>
        <v>24.48</v>
      </c>
      <c r="P282" t="str">
        <f t="shared" si="35"/>
        <v>70.2093280565659</v>
      </c>
      <c r="Q282" t="str">
        <f t="shared" si="36"/>
        <v>17.1543070432513</v>
      </c>
      <c r="R282" t="str">
        <f t="shared" si="37"/>
        <v>2.79</v>
      </c>
      <c r="S282" t="str">
        <f t="shared" si="38"/>
        <v>1.63</v>
      </c>
      <c r="T282" t="str">
        <f t="shared" si="39"/>
        <v>0.883118279694869</v>
      </c>
      <c r="U282" t="str">
        <f t="shared" si="40"/>
        <v>5.07</v>
      </c>
    </row>
    <row r="283" spans="1:21" x14ac:dyDescent="0.25">
      <c r="A283" t="s">
        <v>38</v>
      </c>
      <c r="B283" s="1" t="s">
        <v>5</v>
      </c>
      <c r="C283">
        <v>6.791779258684369</v>
      </c>
      <c r="D283" s="18">
        <v>23.14</v>
      </c>
      <c r="E283">
        <v>75.576664400244852</v>
      </c>
      <c r="F283">
        <v>17.146351424514272</v>
      </c>
      <c r="G283" s="18">
        <v>2.89</v>
      </c>
      <c r="H283" s="18">
        <v>1.76</v>
      </c>
      <c r="I283">
        <v>0.93225504503012846</v>
      </c>
      <c r="J283" s="18">
        <v>5.12</v>
      </c>
      <c r="L283" t="s">
        <v>38</v>
      </c>
      <c r="M283" s="1" t="s">
        <v>5</v>
      </c>
      <c r="N283" t="str">
        <f t="shared" si="33"/>
        <v>6.79177925868437</v>
      </c>
      <c r="O283" t="str">
        <f t="shared" si="34"/>
        <v>23.14</v>
      </c>
      <c r="P283" t="str">
        <f t="shared" si="35"/>
        <v>75.5766644002449</v>
      </c>
      <c r="Q283" t="str">
        <f t="shared" si="36"/>
        <v>17.1463514245143</v>
      </c>
      <c r="R283" t="str">
        <f t="shared" si="37"/>
        <v>2.89</v>
      </c>
      <c r="S283" t="str">
        <f t="shared" si="38"/>
        <v>1.76</v>
      </c>
      <c r="T283" t="str">
        <f t="shared" si="39"/>
        <v>0.932255045030128</v>
      </c>
      <c r="U283" t="str">
        <f t="shared" si="40"/>
        <v>5.12</v>
      </c>
    </row>
    <row r="284" spans="1:21" x14ac:dyDescent="0.25">
      <c r="A284" t="s">
        <v>38</v>
      </c>
      <c r="B284" s="1" t="s">
        <v>6</v>
      </c>
      <c r="C284">
        <v>4.7286307822845899</v>
      </c>
      <c r="D284" s="18">
        <v>23.02</v>
      </c>
      <c r="E284">
        <v>76.636160054827002</v>
      </c>
      <c r="F284">
        <v>17.178632309282182</v>
      </c>
      <c r="G284" s="18">
        <v>2.56</v>
      </c>
      <c r="H284" s="18">
        <v>2.57</v>
      </c>
      <c r="I284">
        <v>1.2320896074370074</v>
      </c>
      <c r="J284" s="18">
        <v>5.14</v>
      </c>
      <c r="L284" t="s">
        <v>38</v>
      </c>
      <c r="M284" s="1" t="s">
        <v>6</v>
      </c>
      <c r="N284" t="str">
        <f t="shared" si="33"/>
        <v>4.72863078228459</v>
      </c>
      <c r="O284" t="str">
        <f t="shared" si="34"/>
        <v>23.02</v>
      </c>
      <c r="P284" t="str">
        <f t="shared" si="35"/>
        <v>76.636160054827</v>
      </c>
      <c r="Q284" t="str">
        <f t="shared" si="36"/>
        <v>17.1786323092822</v>
      </c>
      <c r="R284" t="str">
        <f t="shared" si="37"/>
        <v>2.56</v>
      </c>
      <c r="S284" t="str">
        <f t="shared" si="38"/>
        <v>2.57</v>
      </c>
      <c r="T284" t="str">
        <f t="shared" si="39"/>
        <v>1.23208960743701</v>
      </c>
      <c r="U284" t="str">
        <f t="shared" si="40"/>
        <v>5.14</v>
      </c>
    </row>
    <row r="285" spans="1:21" x14ac:dyDescent="0.25">
      <c r="A285" t="s">
        <v>38</v>
      </c>
      <c r="B285" s="1" t="s">
        <v>7</v>
      </c>
      <c r="C285">
        <v>1.7940202457871579</v>
      </c>
      <c r="D285" s="16">
        <v>23.04</v>
      </c>
      <c r="E285">
        <v>76.029958868701826</v>
      </c>
      <c r="F285">
        <v>17.204355055953208</v>
      </c>
      <c r="G285" s="18">
        <v>2.59</v>
      </c>
      <c r="H285" s="18">
        <v>1.72</v>
      </c>
      <c r="I285">
        <v>1.0404029230993488</v>
      </c>
      <c r="J285" s="18">
        <v>5.04</v>
      </c>
      <c r="L285" t="s">
        <v>38</v>
      </c>
      <c r="M285" s="1" t="s">
        <v>7</v>
      </c>
      <c r="N285" t="str">
        <f t="shared" si="33"/>
        <v>1.79402024578716</v>
      </c>
      <c r="O285" t="str">
        <f t="shared" si="34"/>
        <v>23.04</v>
      </c>
      <c r="P285" t="str">
        <f t="shared" si="35"/>
        <v>76.0299588687018</v>
      </c>
      <c r="Q285" t="str">
        <f t="shared" si="36"/>
        <v>17.2043550559532</v>
      </c>
      <c r="R285" t="str">
        <f t="shared" si="37"/>
        <v>2.59</v>
      </c>
      <c r="S285" t="str">
        <f t="shared" si="38"/>
        <v>1.72</v>
      </c>
      <c r="T285" t="str">
        <f t="shared" si="39"/>
        <v>1.04040292309935</v>
      </c>
      <c r="U285" t="str">
        <f t="shared" si="40"/>
        <v>5.04</v>
      </c>
    </row>
    <row r="286" spans="1:21" x14ac:dyDescent="0.25">
      <c r="A286" t="s">
        <v>38</v>
      </c>
      <c r="B286" s="1" t="s">
        <v>8</v>
      </c>
      <c r="C286">
        <v>4.4515007436649112</v>
      </c>
      <c r="D286" s="18">
        <v>21.43</v>
      </c>
      <c r="E286">
        <v>74.273897674420951</v>
      </c>
      <c r="F286">
        <v>17.271275604075178</v>
      </c>
      <c r="G286" s="18">
        <v>2.56</v>
      </c>
      <c r="H286" s="18">
        <v>1.71</v>
      </c>
      <c r="I286">
        <v>1.1150338811145291</v>
      </c>
      <c r="J286" s="18">
        <v>4.46</v>
      </c>
      <c r="L286" t="s">
        <v>38</v>
      </c>
      <c r="M286" s="1" t="s">
        <v>8</v>
      </c>
      <c r="N286" t="str">
        <f t="shared" si="33"/>
        <v>4.45150074366491</v>
      </c>
      <c r="O286" t="str">
        <f t="shared" si="34"/>
        <v>21.43</v>
      </c>
      <c r="P286" t="str">
        <f t="shared" si="35"/>
        <v>74.273897674421</v>
      </c>
      <c r="Q286" t="str">
        <f t="shared" si="36"/>
        <v>17.2712756040752</v>
      </c>
      <c r="R286" t="str">
        <f t="shared" si="37"/>
        <v>2.56</v>
      </c>
      <c r="S286" t="str">
        <f t="shared" si="38"/>
        <v>1.71</v>
      </c>
      <c r="T286" t="str">
        <f t="shared" si="39"/>
        <v>1.11503388111453</v>
      </c>
      <c r="U286" t="str">
        <f t="shared" si="40"/>
        <v>4.46</v>
      </c>
    </row>
    <row r="287" spans="1:21" x14ac:dyDescent="0.25">
      <c r="A287" t="s">
        <v>38</v>
      </c>
      <c r="B287" s="1" t="s">
        <v>9</v>
      </c>
      <c r="C287">
        <v>7.4846290181885893</v>
      </c>
      <c r="D287" s="18">
        <v>20.68</v>
      </c>
      <c r="E287">
        <v>68.14846141108103</v>
      </c>
      <c r="F287">
        <v>17.429524268272672</v>
      </c>
      <c r="G287" s="18">
        <v>2.4900000000000002</v>
      </c>
      <c r="H287" s="18">
        <v>1.88</v>
      </c>
      <c r="I287">
        <v>1.0425249372240157</v>
      </c>
      <c r="J287" s="18">
        <v>4.03</v>
      </c>
      <c r="L287" t="s">
        <v>38</v>
      </c>
      <c r="M287" s="1" t="s">
        <v>9</v>
      </c>
      <c r="N287" t="str">
        <f t="shared" si="33"/>
        <v>7.48462901818859</v>
      </c>
      <c r="O287" t="str">
        <f t="shared" si="34"/>
        <v>20.68</v>
      </c>
      <c r="P287" t="str">
        <f t="shared" si="35"/>
        <v>68.148461411081</v>
      </c>
      <c r="Q287" t="str">
        <f t="shared" si="36"/>
        <v>17.4295242682727</v>
      </c>
      <c r="R287" t="str">
        <f t="shared" si="37"/>
        <v>2.49</v>
      </c>
      <c r="S287" t="str">
        <f t="shared" si="38"/>
        <v>1.88</v>
      </c>
      <c r="T287" t="str">
        <f t="shared" si="39"/>
        <v>1.04252493722402</v>
      </c>
      <c r="U287" t="str">
        <f t="shared" si="40"/>
        <v>4.03</v>
      </c>
    </row>
    <row r="288" spans="1:21" x14ac:dyDescent="0.25">
      <c r="A288" t="s">
        <v>38</v>
      </c>
      <c r="B288" s="1" t="s">
        <v>10</v>
      </c>
      <c r="C288">
        <v>3.9995394793649748</v>
      </c>
      <c r="D288" s="18">
        <v>20.36</v>
      </c>
      <c r="E288">
        <v>67.334355147208854</v>
      </c>
      <c r="F288">
        <v>17.480758550642751</v>
      </c>
      <c r="G288" s="18">
        <v>2.2000000000000002</v>
      </c>
      <c r="H288" s="18">
        <v>1.91</v>
      </c>
      <c r="I288">
        <v>1.0380152307266528</v>
      </c>
      <c r="J288" s="18">
        <v>3.62</v>
      </c>
      <c r="L288" t="s">
        <v>38</v>
      </c>
      <c r="M288" s="1" t="s">
        <v>10</v>
      </c>
      <c r="N288" t="str">
        <f t="shared" si="33"/>
        <v>3.99953947936497</v>
      </c>
      <c r="O288" t="str">
        <f t="shared" si="34"/>
        <v>20.36</v>
      </c>
      <c r="P288" t="str">
        <f t="shared" si="35"/>
        <v>67.3343551472089</v>
      </c>
      <c r="Q288" t="str">
        <f t="shared" si="36"/>
        <v>17.4807585506428</v>
      </c>
      <c r="R288" t="str">
        <f t="shared" si="37"/>
        <v>2.2</v>
      </c>
      <c r="S288" t="str">
        <f t="shared" si="38"/>
        <v>1.91</v>
      </c>
      <c r="T288" t="str">
        <f t="shared" si="39"/>
        <v>1.03801523072665</v>
      </c>
      <c r="U288" t="str">
        <f t="shared" si="40"/>
        <v>3.62</v>
      </c>
    </row>
    <row r="289" spans="1:21" x14ac:dyDescent="0.25">
      <c r="A289" t="s">
        <v>38</v>
      </c>
      <c r="B289" s="1" t="s">
        <v>11</v>
      </c>
      <c r="C289">
        <v>1.4055652369612754</v>
      </c>
      <c r="D289" s="18">
        <v>20.02</v>
      </c>
      <c r="E289">
        <v>72.217513510165148</v>
      </c>
      <c r="F289">
        <v>17.424704336494464</v>
      </c>
      <c r="G289" s="18">
        <v>1.88</v>
      </c>
      <c r="H289" s="18">
        <v>1.64</v>
      </c>
      <c r="I289">
        <v>0.91751844930260984</v>
      </c>
      <c r="J289" s="18">
        <v>3.4</v>
      </c>
      <c r="L289" t="s">
        <v>38</v>
      </c>
      <c r="M289" s="1" t="s">
        <v>11</v>
      </c>
      <c r="N289" t="str">
        <f t="shared" si="33"/>
        <v>1.40556523696128</v>
      </c>
      <c r="O289" t="str">
        <f t="shared" si="34"/>
        <v>20.02</v>
      </c>
      <c r="P289" t="str">
        <f t="shared" si="35"/>
        <v>72.2175135101651</v>
      </c>
      <c r="Q289" t="str">
        <f t="shared" si="36"/>
        <v>17.4247043364945</v>
      </c>
      <c r="R289" t="str">
        <f t="shared" si="37"/>
        <v>1.88</v>
      </c>
      <c r="S289" t="str">
        <f t="shared" si="38"/>
        <v>1.64</v>
      </c>
      <c r="T289" t="str">
        <f t="shared" si="39"/>
        <v>0.91751844930261</v>
      </c>
      <c r="U289" t="str">
        <f t="shared" si="40"/>
        <v>3.4</v>
      </c>
    </row>
    <row r="290" spans="1:21" x14ac:dyDescent="0.25">
      <c r="A290" t="s">
        <v>38</v>
      </c>
      <c r="B290" s="1" t="s">
        <v>12</v>
      </c>
      <c r="C290">
        <v>9.9294605886906773</v>
      </c>
      <c r="D290" s="18">
        <v>17.96</v>
      </c>
      <c r="E290">
        <v>76.64129893465666</v>
      </c>
      <c r="F290">
        <v>17.459919547059759</v>
      </c>
      <c r="G290" s="18">
        <v>1.83</v>
      </c>
      <c r="H290" s="18">
        <v>1.72</v>
      </c>
      <c r="I290">
        <v>1.2276473422180529</v>
      </c>
      <c r="J290" s="18">
        <v>3.02</v>
      </c>
      <c r="L290" t="s">
        <v>38</v>
      </c>
      <c r="M290" s="1" t="s">
        <v>12</v>
      </c>
      <c r="N290" t="str">
        <f t="shared" si="33"/>
        <v>9.92946058869068</v>
      </c>
      <c r="O290" t="str">
        <f t="shared" si="34"/>
        <v>17.96</v>
      </c>
      <c r="P290" t="str">
        <f t="shared" si="35"/>
        <v>76.6412989346567</v>
      </c>
      <c r="Q290" t="str">
        <f t="shared" si="36"/>
        <v>17.4599195470598</v>
      </c>
      <c r="R290" t="str">
        <f t="shared" si="37"/>
        <v>1.83</v>
      </c>
      <c r="S290" t="str">
        <f t="shared" si="38"/>
        <v>1.72</v>
      </c>
      <c r="T290" t="str">
        <f t="shared" si="39"/>
        <v>1.22764734221805</v>
      </c>
      <c r="U290" t="str">
        <f t="shared" si="40"/>
        <v>3.02</v>
      </c>
    </row>
    <row r="291" spans="1:21" x14ac:dyDescent="0.25">
      <c r="A291" t="s">
        <v>38</v>
      </c>
      <c r="B291" s="1" t="s">
        <v>13</v>
      </c>
      <c r="C291">
        <v>-5.4294878106081557</v>
      </c>
      <c r="D291" s="18">
        <v>19.14</v>
      </c>
      <c r="E291">
        <v>76.776947999739534</v>
      </c>
      <c r="F291">
        <v>17.402326721261893</v>
      </c>
      <c r="G291" s="18">
        <v>1.79</v>
      </c>
      <c r="H291" s="18">
        <v>1.42</v>
      </c>
      <c r="I291">
        <v>1.3174865112982279</v>
      </c>
      <c r="J291" s="18">
        <v>3.28</v>
      </c>
      <c r="L291" t="s">
        <v>38</v>
      </c>
      <c r="M291" s="1" t="s">
        <v>13</v>
      </c>
      <c r="N291" t="str">
        <f t="shared" si="33"/>
        <v>-5.42948781060816</v>
      </c>
      <c r="O291" t="str">
        <f t="shared" si="34"/>
        <v>19.14</v>
      </c>
      <c r="P291" t="str">
        <f t="shared" si="35"/>
        <v>76.7769479997395</v>
      </c>
      <c r="Q291" t="str">
        <f t="shared" si="36"/>
        <v>17.4023267212619</v>
      </c>
      <c r="R291" t="str">
        <f t="shared" si="37"/>
        <v>1.79</v>
      </c>
      <c r="S291" t="str">
        <f t="shared" si="38"/>
        <v>1.42</v>
      </c>
      <c r="T291" t="str">
        <f t="shared" si="39"/>
        <v>1.31748651129823</v>
      </c>
      <c r="U291" t="str">
        <f t="shared" si="40"/>
        <v>3.28</v>
      </c>
    </row>
    <row r="292" spans="1:21" x14ac:dyDescent="0.25">
      <c r="A292" t="s">
        <v>38</v>
      </c>
      <c r="B292" s="1" t="s">
        <v>14</v>
      </c>
      <c r="C292">
        <v>7.5044248336499821</v>
      </c>
      <c r="D292" s="18">
        <v>19.059999999999999</v>
      </c>
      <c r="E292">
        <v>75.643274049568248</v>
      </c>
      <c r="F292">
        <v>17.489564454596451</v>
      </c>
      <c r="G292" s="18">
        <v>1.94</v>
      </c>
      <c r="H292" s="18">
        <v>1.32</v>
      </c>
      <c r="I292">
        <v>1.2502265443988279</v>
      </c>
      <c r="J292" s="18">
        <v>3.4</v>
      </c>
      <c r="L292" t="s">
        <v>38</v>
      </c>
      <c r="M292" s="1" t="s">
        <v>14</v>
      </c>
      <c r="N292" t="str">
        <f t="shared" si="33"/>
        <v>7.50442483364998</v>
      </c>
      <c r="O292" t="str">
        <f t="shared" si="34"/>
        <v>19.06</v>
      </c>
      <c r="P292" t="str">
        <f t="shared" si="35"/>
        <v>75.6432740495682</v>
      </c>
      <c r="Q292" t="str">
        <f t="shared" si="36"/>
        <v>17.4895644545965</v>
      </c>
      <c r="R292" t="str">
        <f t="shared" si="37"/>
        <v>1.94</v>
      </c>
      <c r="S292" t="str">
        <f t="shared" si="38"/>
        <v>1.32</v>
      </c>
      <c r="T292" t="str">
        <f t="shared" si="39"/>
        <v>1.25022654439883</v>
      </c>
      <c r="U292" t="str">
        <f t="shared" si="40"/>
        <v>3.4</v>
      </c>
    </row>
    <row r="293" spans="1:21" x14ac:dyDescent="0.25">
      <c r="A293" t="s">
        <v>38</v>
      </c>
      <c r="B293" s="1" t="s">
        <v>15</v>
      </c>
      <c r="C293">
        <v>0.67042047479009903</v>
      </c>
      <c r="D293" s="18">
        <v>19.989999999999998</v>
      </c>
      <c r="E293">
        <v>78.866744911742245</v>
      </c>
      <c r="F293">
        <v>17.454515158595967</v>
      </c>
      <c r="G293" s="18">
        <v>1.84</v>
      </c>
      <c r="H293" s="18">
        <v>1.1200000000000001</v>
      </c>
      <c r="I293">
        <v>1.4422077800264781</v>
      </c>
      <c r="J293" s="18">
        <v>3.82</v>
      </c>
      <c r="L293" t="s">
        <v>38</v>
      </c>
      <c r="M293" s="1" t="s">
        <v>15</v>
      </c>
      <c r="N293" t="str">
        <f t="shared" si="33"/>
        <v>0.670420474790099</v>
      </c>
      <c r="O293" t="str">
        <f t="shared" si="34"/>
        <v>19.99</v>
      </c>
      <c r="P293" t="str">
        <f t="shared" si="35"/>
        <v>78.8667449117422</v>
      </c>
      <c r="Q293" t="str">
        <f t="shared" si="36"/>
        <v>17.454515158596</v>
      </c>
      <c r="R293" t="str">
        <f t="shared" si="37"/>
        <v>1.84</v>
      </c>
      <c r="S293" t="str">
        <f t="shared" si="38"/>
        <v>1.12</v>
      </c>
      <c r="T293" t="str">
        <f t="shared" si="39"/>
        <v>1.44220778002648</v>
      </c>
      <c r="U293" t="str">
        <f t="shared" si="40"/>
        <v>3.82</v>
      </c>
    </row>
    <row r="294" spans="1:21" x14ac:dyDescent="0.25">
      <c r="A294" t="s">
        <v>38</v>
      </c>
      <c r="B294" s="1" t="s">
        <v>16</v>
      </c>
      <c r="C294">
        <v>2.8870345209365764</v>
      </c>
      <c r="D294" s="18">
        <v>19.93</v>
      </c>
      <c r="E294">
        <v>77.093658599331434</v>
      </c>
      <c r="F294">
        <v>17.505715233584166</v>
      </c>
      <c r="G294" s="18">
        <v>2.13</v>
      </c>
      <c r="H294" s="18">
        <v>1.06</v>
      </c>
      <c r="I294">
        <v>1.4344254132433276</v>
      </c>
      <c r="J294" s="18">
        <v>4.0999999999999996</v>
      </c>
      <c r="L294" t="s">
        <v>38</v>
      </c>
      <c r="M294" s="1" t="s">
        <v>16</v>
      </c>
      <c r="N294" t="str">
        <f t="shared" si="33"/>
        <v>2.88703452093658</v>
      </c>
      <c r="O294" t="str">
        <f t="shared" si="34"/>
        <v>19.93</v>
      </c>
      <c r="P294" t="str">
        <f t="shared" si="35"/>
        <v>77.0936585993314</v>
      </c>
      <c r="Q294" t="str">
        <f t="shared" si="36"/>
        <v>17.5057152335842</v>
      </c>
      <c r="R294" t="str">
        <f t="shared" si="37"/>
        <v>2.13</v>
      </c>
      <c r="S294" t="str">
        <f t="shared" si="38"/>
        <v>1.06</v>
      </c>
      <c r="T294" t="str">
        <f t="shared" si="39"/>
        <v>1.43442541324333</v>
      </c>
      <c r="U294" t="str">
        <f t="shared" si="40"/>
        <v>4.1</v>
      </c>
    </row>
    <row r="295" spans="1:21" x14ac:dyDescent="0.25">
      <c r="A295" t="s">
        <v>38</v>
      </c>
      <c r="B295" s="1" t="s">
        <v>17</v>
      </c>
      <c r="C295">
        <v>1.8151548672100657</v>
      </c>
      <c r="D295" s="18">
        <v>19.96</v>
      </c>
      <c r="E295">
        <v>77.30918513032141</v>
      </c>
      <c r="F295">
        <v>17.520912264824247</v>
      </c>
      <c r="G295" s="18">
        <v>2.0299999999999998</v>
      </c>
      <c r="H295" s="18">
        <v>0.98</v>
      </c>
      <c r="I295">
        <v>1.5030735700962572</v>
      </c>
      <c r="J295" s="18">
        <v>4.12</v>
      </c>
      <c r="L295" t="s">
        <v>38</v>
      </c>
      <c r="M295" s="1" t="s">
        <v>17</v>
      </c>
      <c r="N295" t="str">
        <f t="shared" si="33"/>
        <v>1.81515486721007</v>
      </c>
      <c r="O295" t="str">
        <f t="shared" si="34"/>
        <v>19.96</v>
      </c>
      <c r="P295" t="str">
        <f t="shared" si="35"/>
        <v>77.3091851303214</v>
      </c>
      <c r="Q295" t="str">
        <f t="shared" si="36"/>
        <v>17.5209122648242</v>
      </c>
      <c r="R295" t="str">
        <f t="shared" si="37"/>
        <v>2.03</v>
      </c>
      <c r="S295" t="str">
        <f t="shared" si="38"/>
        <v>0.98</v>
      </c>
      <c r="T295" t="str">
        <f t="shared" si="39"/>
        <v>1.50307357009626</v>
      </c>
      <c r="U295" t="str">
        <f t="shared" si="40"/>
        <v>4.12</v>
      </c>
    </row>
    <row r="296" spans="1:21" x14ac:dyDescent="0.25">
      <c r="A296" t="s">
        <v>38</v>
      </c>
      <c r="B296" s="1" t="s">
        <v>18</v>
      </c>
      <c r="C296">
        <v>3.2364800146773827</v>
      </c>
      <c r="D296" s="18">
        <v>24.77</v>
      </c>
      <c r="E296">
        <v>78.649957015133381</v>
      </c>
      <c r="F296">
        <v>17.535570047953701</v>
      </c>
      <c r="G296" s="18">
        <v>1.9</v>
      </c>
      <c r="H296" s="18">
        <v>1</v>
      </c>
      <c r="I296">
        <v>1.6778838316398952</v>
      </c>
      <c r="J296" s="18">
        <v>4.0999999999999996</v>
      </c>
      <c r="L296" t="s">
        <v>38</v>
      </c>
      <c r="M296" s="1" t="s">
        <v>18</v>
      </c>
      <c r="N296" t="str">
        <f t="shared" si="33"/>
        <v>3.23648001467738</v>
      </c>
      <c r="O296" t="str">
        <f t="shared" si="34"/>
        <v>24.77</v>
      </c>
      <c r="P296" t="str">
        <f t="shared" si="35"/>
        <v>78.6499570151334</v>
      </c>
      <c r="Q296" t="str">
        <f t="shared" si="36"/>
        <v>17.5355700479537</v>
      </c>
      <c r="R296" t="str">
        <f t="shared" si="37"/>
        <v>1.9</v>
      </c>
      <c r="S296" t="str">
        <f t="shared" si="38"/>
        <v>1</v>
      </c>
      <c r="T296" t="str">
        <f t="shared" si="39"/>
        <v>1.6778838316399</v>
      </c>
      <c r="U296" t="str">
        <f t="shared" si="40"/>
        <v>4.1</v>
      </c>
    </row>
    <row r="297" spans="1:21" x14ac:dyDescent="0.25">
      <c r="A297" t="s">
        <v>38</v>
      </c>
      <c r="B297" s="1" t="s">
        <v>19</v>
      </c>
      <c r="C297">
        <v>4.5772571100781825</v>
      </c>
      <c r="D297" s="18">
        <v>24.48</v>
      </c>
      <c r="E297">
        <v>77.490302802152925</v>
      </c>
      <c r="F297">
        <v>17.595180242283355</v>
      </c>
      <c r="G297" s="18">
        <v>2</v>
      </c>
      <c r="H297" s="18">
        <v>0.93</v>
      </c>
      <c r="I297">
        <v>1.1453430664160036</v>
      </c>
      <c r="J297" s="18">
        <v>4.16</v>
      </c>
      <c r="L297" t="s">
        <v>38</v>
      </c>
      <c r="M297" s="1" t="s">
        <v>19</v>
      </c>
      <c r="N297" t="str">
        <f t="shared" si="33"/>
        <v>4.57725711007818</v>
      </c>
      <c r="O297" t="str">
        <f t="shared" si="34"/>
        <v>24.48</v>
      </c>
      <c r="P297" t="str">
        <f t="shared" si="35"/>
        <v>77.4903028021529</v>
      </c>
      <c r="Q297" t="str">
        <f t="shared" si="36"/>
        <v>17.5951802422834</v>
      </c>
      <c r="R297" t="str">
        <f t="shared" si="37"/>
        <v>2</v>
      </c>
      <c r="S297" t="str">
        <f t="shared" si="38"/>
        <v>0.93</v>
      </c>
      <c r="T297" t="str">
        <f t="shared" si="39"/>
        <v>1.145343066416</v>
      </c>
      <c r="U297" t="str">
        <f t="shared" si="40"/>
        <v>4.16</v>
      </c>
    </row>
    <row r="298" spans="1:21" x14ac:dyDescent="0.25">
      <c r="A298" t="s">
        <v>38</v>
      </c>
      <c r="B298" s="1" t="s">
        <v>20</v>
      </c>
      <c r="C298">
        <v>4.724525417941269</v>
      </c>
      <c r="D298" s="18" t="s">
        <v>605</v>
      </c>
      <c r="E298">
        <v>77.347181315221007</v>
      </c>
      <c r="F298">
        <v>17.643192059118604</v>
      </c>
      <c r="G298" s="18" t="s">
        <v>608</v>
      </c>
      <c r="H298" s="18" t="s">
        <v>607</v>
      </c>
      <c r="I298">
        <v>1.1207782956451362</v>
      </c>
      <c r="J298" s="18" t="s">
        <v>606</v>
      </c>
      <c r="L298" t="s">
        <v>38</v>
      </c>
      <c r="M298" s="1" t="s">
        <v>20</v>
      </c>
      <c r="N298" t="str">
        <f t="shared" si="33"/>
        <v>4.72452541794127</v>
      </c>
      <c r="O298" t="str">
        <f t="shared" si="34"/>
        <v>23.33</v>
      </c>
      <c r="P298" t="str">
        <f t="shared" si="35"/>
        <v>77.347181315221</v>
      </c>
      <c r="Q298" t="str">
        <f t="shared" si="36"/>
        <v>17.6431920591186</v>
      </c>
      <c r="R298" t="str">
        <f t="shared" si="37"/>
        <v>2.58</v>
      </c>
      <c r="S298" t="str">
        <f t="shared" si="38"/>
        <v>1.08</v>
      </c>
      <c r="T298" t="str">
        <f t="shared" si="39"/>
        <v>1.12077829564514</v>
      </c>
      <c r="U298" t="str">
        <f t="shared" si="40"/>
        <v>4.30</v>
      </c>
    </row>
    <row r="299" spans="1:21" x14ac:dyDescent="0.25">
      <c r="A299" t="s">
        <v>38</v>
      </c>
      <c r="B299" s="1" t="s">
        <v>21</v>
      </c>
      <c r="C299">
        <v>6.5487744224195383</v>
      </c>
      <c r="D299" s="18">
        <v>22.68</v>
      </c>
      <c r="E299">
        <v>79.265528561999119</v>
      </c>
      <c r="F299">
        <v>17.682125527374208</v>
      </c>
      <c r="G299" s="18">
        <v>2.48</v>
      </c>
      <c r="H299" s="18">
        <v>1.07</v>
      </c>
      <c r="I299">
        <v>1.1209856551963193</v>
      </c>
      <c r="J299" s="18">
        <v>4.34</v>
      </c>
      <c r="L299" t="s">
        <v>38</v>
      </c>
      <c r="M299" s="1" t="s">
        <v>21</v>
      </c>
      <c r="N299" t="str">
        <f t="shared" si="33"/>
        <v>6.54877442241954</v>
      </c>
      <c r="O299" t="str">
        <f t="shared" si="34"/>
        <v>22.68</v>
      </c>
      <c r="P299" t="str">
        <f t="shared" si="35"/>
        <v>79.2655285619991</v>
      </c>
      <c r="Q299" t="str">
        <f t="shared" si="36"/>
        <v>17.6821255273742</v>
      </c>
      <c r="R299" t="str">
        <f t="shared" si="37"/>
        <v>2.48</v>
      </c>
      <c r="S299" t="str">
        <f t="shared" si="38"/>
        <v>1.07</v>
      </c>
      <c r="T299" t="str">
        <f t="shared" si="39"/>
        <v>1.12098565519632</v>
      </c>
      <c r="U299" t="str">
        <f t="shared" si="40"/>
        <v>4.34</v>
      </c>
    </row>
    <row r="300" spans="1:21" x14ac:dyDescent="0.25">
      <c r="A300" t="s">
        <v>38</v>
      </c>
      <c r="B300" s="1" t="s">
        <v>22</v>
      </c>
      <c r="C300">
        <v>3.2014635298061442</v>
      </c>
      <c r="D300" s="18">
        <v>22.86</v>
      </c>
      <c r="E300">
        <v>79.776496061830969</v>
      </c>
      <c r="F300">
        <v>17.707212787880636</v>
      </c>
      <c r="G300" s="18">
        <v>2.33</v>
      </c>
      <c r="H300" s="18">
        <v>1.07</v>
      </c>
      <c r="I300">
        <v>1.4635212911224076</v>
      </c>
      <c r="J300" s="16">
        <v>4.49</v>
      </c>
      <c r="L300" t="s">
        <v>38</v>
      </c>
      <c r="M300" s="1" t="s">
        <v>22</v>
      </c>
      <c r="N300" t="str">
        <f t="shared" si="33"/>
        <v>3.20146352980614</v>
      </c>
      <c r="O300" t="str">
        <f t="shared" si="34"/>
        <v>22.86</v>
      </c>
      <c r="P300" t="str">
        <f t="shared" si="35"/>
        <v>79.776496061831</v>
      </c>
      <c r="Q300" t="str">
        <f t="shared" si="36"/>
        <v>17.7072127878806</v>
      </c>
      <c r="R300" t="str">
        <f t="shared" si="37"/>
        <v>2.33</v>
      </c>
      <c r="S300" t="str">
        <f t="shared" si="38"/>
        <v>1.07</v>
      </c>
      <c r="T300" t="str">
        <f t="shared" si="39"/>
        <v>1.46352129112241</v>
      </c>
      <c r="U300" t="str">
        <f t="shared" si="40"/>
        <v>4.49</v>
      </c>
    </row>
    <row r="301" spans="1:21" x14ac:dyDescent="0.25">
      <c r="A301" t="s">
        <v>38</v>
      </c>
      <c r="B301" s="1" t="s">
        <v>23</v>
      </c>
      <c r="C301">
        <v>3.0818709207123147</v>
      </c>
      <c r="D301" s="19">
        <v>23.66</v>
      </c>
      <c r="E301">
        <v>78.23474685852797</v>
      </c>
      <c r="F301">
        <v>17.757081181105399</v>
      </c>
      <c r="G301" s="18">
        <v>2.33</v>
      </c>
      <c r="H301" s="19">
        <v>1.05</v>
      </c>
      <c r="I301">
        <v>1.5273348687842705</v>
      </c>
      <c r="J301" s="18">
        <v>4.41</v>
      </c>
      <c r="L301" t="s">
        <v>38</v>
      </c>
      <c r="M301" s="1" t="s">
        <v>23</v>
      </c>
      <c r="N301" t="str">
        <f t="shared" si="33"/>
        <v>3.08187092071231</v>
      </c>
      <c r="O301" t="str">
        <f t="shared" si="34"/>
        <v>23.66</v>
      </c>
      <c r="P301" t="str">
        <f t="shared" si="35"/>
        <v>78.234746858528</v>
      </c>
      <c r="Q301" t="str">
        <f t="shared" si="36"/>
        <v>17.7570811811054</v>
      </c>
      <c r="R301" t="str">
        <f t="shared" si="37"/>
        <v>2.33</v>
      </c>
      <c r="S301" t="str">
        <f t="shared" si="38"/>
        <v>1.05</v>
      </c>
      <c r="T301" t="str">
        <f t="shared" si="39"/>
        <v>1.52733486878427</v>
      </c>
      <c r="U301" t="str">
        <f t="shared" si="40"/>
        <v>4.41</v>
      </c>
    </row>
    <row r="302" spans="1:21" x14ac:dyDescent="0.25">
      <c r="A302" t="s">
        <v>39</v>
      </c>
      <c r="B302" s="1" t="s">
        <v>4</v>
      </c>
      <c r="C302">
        <v>3.426018488085071</v>
      </c>
      <c r="D302" s="17">
        <v>21.4</v>
      </c>
      <c r="E302">
        <v>43.29490250552935</v>
      </c>
      <c r="F302">
        <v>18.248019483876536</v>
      </c>
      <c r="G302" s="17">
        <v>2.0499999999999998</v>
      </c>
      <c r="H302" s="17">
        <v>2.34</v>
      </c>
      <c r="I302">
        <v>1.2435673704379075</v>
      </c>
      <c r="J302" s="17">
        <v>5.01</v>
      </c>
      <c r="L302" t="s">
        <v>39</v>
      </c>
      <c r="M302" s="1" t="s">
        <v>4</v>
      </c>
      <c r="N302" t="str">
        <f t="shared" si="33"/>
        <v>3.42601848808507</v>
      </c>
      <c r="O302" t="str">
        <f t="shared" si="34"/>
        <v>21.4</v>
      </c>
      <c r="P302" t="str">
        <f t="shared" si="35"/>
        <v>43.2949025055294</v>
      </c>
      <c r="Q302" t="str">
        <f t="shared" si="36"/>
        <v>18.2480194838765</v>
      </c>
      <c r="R302" t="str">
        <f t="shared" si="37"/>
        <v>2.05</v>
      </c>
      <c r="S302" t="str">
        <f t="shared" si="38"/>
        <v>2.34</v>
      </c>
      <c r="T302" t="str">
        <f t="shared" si="39"/>
        <v>1.24356737043791</v>
      </c>
      <c r="U302" t="str">
        <f t="shared" si="40"/>
        <v>5.01</v>
      </c>
    </row>
    <row r="303" spans="1:21" x14ac:dyDescent="0.25">
      <c r="A303" t="s">
        <v>39</v>
      </c>
      <c r="B303" s="1" t="s">
        <v>5</v>
      </c>
      <c r="C303">
        <v>5.8468416186538157</v>
      </c>
      <c r="D303" s="17">
        <v>21.06</v>
      </c>
      <c r="E303">
        <v>46.477652536330069</v>
      </c>
      <c r="F303">
        <v>18.233905753326468</v>
      </c>
      <c r="G303" s="17">
        <v>2.0699999999999998</v>
      </c>
      <c r="H303" s="17">
        <v>2.2799999999999998</v>
      </c>
      <c r="I303">
        <v>1.1604342229170139</v>
      </c>
      <c r="J303" s="17">
        <v>5.14</v>
      </c>
      <c r="L303" t="s">
        <v>39</v>
      </c>
      <c r="M303" s="1" t="s">
        <v>5</v>
      </c>
      <c r="N303" t="str">
        <f t="shared" si="33"/>
        <v>5.84684161865382</v>
      </c>
      <c r="O303" t="str">
        <f t="shared" si="34"/>
        <v>21.06</v>
      </c>
      <c r="P303" t="str">
        <f t="shared" si="35"/>
        <v>46.4776525363301</v>
      </c>
      <c r="Q303" t="str">
        <f t="shared" si="36"/>
        <v>18.2339057533265</v>
      </c>
      <c r="R303" t="str">
        <f t="shared" si="37"/>
        <v>2.07</v>
      </c>
      <c r="S303" t="str">
        <f t="shared" si="38"/>
        <v>2.28</v>
      </c>
      <c r="T303" t="str">
        <f t="shared" si="39"/>
        <v>1.16043422291701</v>
      </c>
      <c r="U303" t="str">
        <f t="shared" si="40"/>
        <v>5.14</v>
      </c>
    </row>
    <row r="304" spans="1:21" x14ac:dyDescent="0.25">
      <c r="A304" t="s">
        <v>39</v>
      </c>
      <c r="B304" s="1" t="s">
        <v>6</v>
      </c>
      <c r="C304">
        <v>4.2240630418524754</v>
      </c>
      <c r="D304" s="17">
        <v>21.03</v>
      </c>
      <c r="E304">
        <v>51.947919613843332</v>
      </c>
      <c r="F304">
        <v>18.164008536945367</v>
      </c>
      <c r="G304" s="17">
        <v>2.29</v>
      </c>
      <c r="H304" s="17">
        <v>2.19</v>
      </c>
      <c r="I304">
        <v>1.0008325611094107</v>
      </c>
      <c r="J304" s="17">
        <v>5.32</v>
      </c>
      <c r="L304" t="s">
        <v>39</v>
      </c>
      <c r="M304" s="1" t="s">
        <v>6</v>
      </c>
      <c r="N304" t="str">
        <f t="shared" si="33"/>
        <v>4.22406304185248</v>
      </c>
      <c r="O304" t="str">
        <f t="shared" si="34"/>
        <v>21.03</v>
      </c>
      <c r="P304" t="str">
        <f t="shared" si="35"/>
        <v>51.9479196138433</v>
      </c>
      <c r="Q304" t="str">
        <f t="shared" si="36"/>
        <v>18.1640085369454</v>
      </c>
      <c r="R304" t="str">
        <f t="shared" si="37"/>
        <v>2.29</v>
      </c>
      <c r="S304" t="str">
        <f t="shared" si="38"/>
        <v>2.19</v>
      </c>
      <c r="T304" t="str">
        <f t="shared" si="39"/>
        <v>1.00083256110941</v>
      </c>
      <c r="U304" t="str">
        <f t="shared" si="40"/>
        <v>5.32</v>
      </c>
    </row>
    <row r="305" spans="1:21" x14ac:dyDescent="0.25">
      <c r="A305" t="s">
        <v>39</v>
      </c>
      <c r="B305" s="1" t="s">
        <v>7</v>
      </c>
      <c r="C305">
        <v>5.1375009794580437</v>
      </c>
      <c r="D305" s="17">
        <v>22.79</v>
      </c>
      <c r="E305">
        <v>50.443792220395643</v>
      </c>
      <c r="F305">
        <v>18.243489357303474</v>
      </c>
      <c r="G305" s="17">
        <v>2.4700000000000002</v>
      </c>
      <c r="H305" s="17">
        <v>1.6</v>
      </c>
      <c r="I305">
        <v>0.82135102271092619</v>
      </c>
      <c r="J305" s="17">
        <v>5.19</v>
      </c>
      <c r="L305" t="s">
        <v>39</v>
      </c>
      <c r="M305" s="1" t="s">
        <v>7</v>
      </c>
      <c r="N305" t="str">
        <f t="shared" si="33"/>
        <v>5.13750097945804</v>
      </c>
      <c r="O305" t="str">
        <f t="shared" si="34"/>
        <v>22.79</v>
      </c>
      <c r="P305" t="str">
        <f t="shared" si="35"/>
        <v>50.4437922203956</v>
      </c>
      <c r="Q305" t="str">
        <f t="shared" si="36"/>
        <v>18.2434893573035</v>
      </c>
      <c r="R305" t="str">
        <f t="shared" si="37"/>
        <v>2.47</v>
      </c>
      <c r="S305" t="str">
        <f t="shared" si="38"/>
        <v>1.6</v>
      </c>
      <c r="T305" t="str">
        <f t="shared" si="39"/>
        <v>0.821351022710926</v>
      </c>
      <c r="U305" t="str">
        <f t="shared" si="40"/>
        <v>5.19</v>
      </c>
    </row>
    <row r="306" spans="1:21" x14ac:dyDescent="0.25">
      <c r="A306" t="s">
        <v>39</v>
      </c>
      <c r="B306" s="1" t="s">
        <v>8</v>
      </c>
      <c r="C306">
        <v>3.1241339311270555</v>
      </c>
      <c r="D306" s="17">
        <v>24.25</v>
      </c>
      <c r="E306">
        <v>51.889313472536116</v>
      </c>
      <c r="F306">
        <v>18.245999445907827</v>
      </c>
      <c r="G306" s="17">
        <v>2.94</v>
      </c>
      <c r="H306" s="17">
        <v>1.75</v>
      </c>
      <c r="I306">
        <v>0.75421479758912535</v>
      </c>
      <c r="J306" s="17">
        <v>5.26</v>
      </c>
      <c r="L306" t="s">
        <v>39</v>
      </c>
      <c r="M306" s="1" t="s">
        <v>8</v>
      </c>
      <c r="N306" t="str">
        <f t="shared" si="33"/>
        <v>3.12413393112706</v>
      </c>
      <c r="O306" t="str">
        <f t="shared" si="34"/>
        <v>24.25</v>
      </c>
      <c r="P306" t="str">
        <f t="shared" si="35"/>
        <v>51.8893134725361</v>
      </c>
      <c r="Q306" t="str">
        <f t="shared" si="36"/>
        <v>18.2459994459078</v>
      </c>
      <c r="R306" t="str">
        <f t="shared" si="37"/>
        <v>2.94</v>
      </c>
      <c r="S306" t="str">
        <f t="shared" si="38"/>
        <v>1.75</v>
      </c>
      <c r="T306" t="str">
        <f t="shared" si="39"/>
        <v>0.754214797589125</v>
      </c>
      <c r="U306" t="str">
        <f t="shared" si="40"/>
        <v>5.26</v>
      </c>
    </row>
    <row r="307" spans="1:21" x14ac:dyDescent="0.25">
      <c r="A307" t="s">
        <v>39</v>
      </c>
      <c r="B307" s="1" t="s">
        <v>9</v>
      </c>
      <c r="C307">
        <v>5.9212306007979807</v>
      </c>
      <c r="D307" s="17">
        <v>23.26</v>
      </c>
      <c r="E307">
        <v>54.762753006653305</v>
      </c>
      <c r="F307">
        <v>18.249627559903704</v>
      </c>
      <c r="G307" s="17">
        <v>2.7</v>
      </c>
      <c r="H307" s="17">
        <v>1.65</v>
      </c>
      <c r="I307">
        <v>0.71151517974812994</v>
      </c>
      <c r="J307" s="17">
        <v>5.2</v>
      </c>
      <c r="L307" t="s">
        <v>39</v>
      </c>
      <c r="M307" s="1" t="s">
        <v>9</v>
      </c>
      <c r="N307" t="str">
        <f t="shared" si="33"/>
        <v>5.92123060079798</v>
      </c>
      <c r="O307" t="str">
        <f t="shared" si="34"/>
        <v>23.26</v>
      </c>
      <c r="P307" t="str">
        <f t="shared" si="35"/>
        <v>54.7627530066533</v>
      </c>
      <c r="Q307" t="str">
        <f t="shared" si="36"/>
        <v>18.2496275599037</v>
      </c>
      <c r="R307" t="str">
        <f t="shared" si="37"/>
        <v>2.7</v>
      </c>
      <c r="S307" t="str">
        <f t="shared" si="38"/>
        <v>1.65</v>
      </c>
      <c r="T307" t="str">
        <f t="shared" si="39"/>
        <v>0.71151517974813</v>
      </c>
      <c r="U307" t="str">
        <f t="shared" si="40"/>
        <v>5.2</v>
      </c>
    </row>
    <row r="308" spans="1:21" x14ac:dyDescent="0.25">
      <c r="A308" t="s">
        <v>39</v>
      </c>
      <c r="B308" s="1" t="s">
        <v>10</v>
      </c>
      <c r="C308">
        <v>4.516803160806691</v>
      </c>
      <c r="D308" s="17">
        <v>24.42</v>
      </c>
      <c r="E308">
        <v>54.934538286581571</v>
      </c>
      <c r="F308">
        <v>18.290673237996788</v>
      </c>
      <c r="G308" s="17">
        <v>2.75</v>
      </c>
      <c r="H308" s="17">
        <v>1.37</v>
      </c>
      <c r="I308">
        <v>0.59944766929315541</v>
      </c>
      <c r="J308" s="17">
        <v>5.17</v>
      </c>
      <c r="L308" t="s">
        <v>39</v>
      </c>
      <c r="M308" s="1" t="s">
        <v>10</v>
      </c>
      <c r="N308" t="str">
        <f t="shared" si="33"/>
        <v>4.51680316080669</v>
      </c>
      <c r="O308" t="str">
        <f t="shared" si="34"/>
        <v>24.42</v>
      </c>
      <c r="P308" t="str">
        <f t="shared" si="35"/>
        <v>54.9345382865816</v>
      </c>
      <c r="Q308" t="str">
        <f t="shared" si="36"/>
        <v>18.2906732379968</v>
      </c>
      <c r="R308" t="str">
        <f t="shared" si="37"/>
        <v>2.75</v>
      </c>
      <c r="S308" t="str">
        <f t="shared" si="38"/>
        <v>1.37</v>
      </c>
      <c r="T308" t="str">
        <f t="shared" si="39"/>
        <v>0.599447669293155</v>
      </c>
      <c r="U308" t="str">
        <f t="shared" si="40"/>
        <v>5.17</v>
      </c>
    </row>
    <row r="309" spans="1:21" x14ac:dyDescent="0.25">
      <c r="A309" t="s">
        <v>39</v>
      </c>
      <c r="B309" s="1" t="s">
        <v>11</v>
      </c>
      <c r="C309">
        <v>9.9049648296793755</v>
      </c>
      <c r="D309" s="17">
        <v>23.68</v>
      </c>
      <c r="E309">
        <v>52.592547797116964</v>
      </c>
      <c r="F309">
        <v>18.428686918831716</v>
      </c>
      <c r="G309" s="17">
        <v>2.9</v>
      </c>
      <c r="H309" s="17">
        <v>2.46</v>
      </c>
      <c r="I309">
        <v>0.52904535884667103</v>
      </c>
      <c r="J309" s="17">
        <v>4.9000000000000004</v>
      </c>
      <c r="L309" t="s">
        <v>39</v>
      </c>
      <c r="M309" s="1" t="s">
        <v>11</v>
      </c>
      <c r="N309" t="str">
        <f t="shared" si="33"/>
        <v>9.90496482967938</v>
      </c>
      <c r="O309" t="str">
        <f t="shared" si="34"/>
        <v>23.68</v>
      </c>
      <c r="P309" t="str">
        <f t="shared" si="35"/>
        <v>52.592547797117</v>
      </c>
      <c r="Q309" t="str">
        <f t="shared" si="36"/>
        <v>18.4286869188317</v>
      </c>
      <c r="R309" t="str">
        <f t="shared" si="37"/>
        <v>2.9</v>
      </c>
      <c r="S309" t="str">
        <f t="shared" si="38"/>
        <v>2.46</v>
      </c>
      <c r="T309" t="str">
        <f t="shared" si="39"/>
        <v>0.529045358846671</v>
      </c>
      <c r="U309" t="str">
        <f t="shared" si="40"/>
        <v>4.9</v>
      </c>
    </row>
    <row r="310" spans="1:21" x14ac:dyDescent="0.25">
      <c r="A310" t="s">
        <v>39</v>
      </c>
      <c r="B310" s="1" t="s">
        <v>12</v>
      </c>
      <c r="C310">
        <v>1.2196987726355162</v>
      </c>
      <c r="D310" s="17">
        <v>24.7</v>
      </c>
      <c r="E310">
        <v>54.061873795533231</v>
      </c>
      <c r="F310">
        <v>18.413255353851714</v>
      </c>
      <c r="G310" s="17">
        <v>3.29</v>
      </c>
      <c r="H310" s="17">
        <v>1.55</v>
      </c>
      <c r="I310">
        <v>1.1665439539725835</v>
      </c>
      <c r="J310" s="17">
        <v>4.84</v>
      </c>
      <c r="L310" t="s">
        <v>39</v>
      </c>
      <c r="M310" s="1" t="s">
        <v>12</v>
      </c>
      <c r="N310" t="str">
        <f t="shared" si="33"/>
        <v>1.21969877263552</v>
      </c>
      <c r="O310" t="str">
        <f t="shared" si="34"/>
        <v>24.7</v>
      </c>
      <c r="P310" t="str">
        <f t="shared" si="35"/>
        <v>54.0618737955332</v>
      </c>
      <c r="Q310" t="str">
        <f t="shared" si="36"/>
        <v>18.4132553538517</v>
      </c>
      <c r="R310" t="str">
        <f t="shared" si="37"/>
        <v>3.29</v>
      </c>
      <c r="S310" t="str">
        <f t="shared" si="38"/>
        <v>1.55</v>
      </c>
      <c r="T310" t="str">
        <f t="shared" si="39"/>
        <v>1.16654395397258</v>
      </c>
      <c r="U310" t="str">
        <f t="shared" si="40"/>
        <v>4.84</v>
      </c>
    </row>
    <row r="311" spans="1:21" x14ac:dyDescent="0.25">
      <c r="A311" t="s">
        <v>39</v>
      </c>
      <c r="B311" s="1" t="s">
        <v>13</v>
      </c>
      <c r="C311">
        <v>-6.8761205569758674</v>
      </c>
      <c r="D311" s="17">
        <v>25.34</v>
      </c>
      <c r="E311">
        <v>50.356736542669509</v>
      </c>
      <c r="F311">
        <v>18.413012608808334</v>
      </c>
      <c r="G311" s="17">
        <v>2.93</v>
      </c>
      <c r="H311" s="17">
        <v>1.56</v>
      </c>
      <c r="I311">
        <v>1.117210051190394</v>
      </c>
      <c r="J311" s="17">
        <v>4.6500000000000004</v>
      </c>
      <c r="L311" t="s">
        <v>39</v>
      </c>
      <c r="M311" s="1" t="s">
        <v>13</v>
      </c>
      <c r="N311" t="str">
        <f t="shared" si="33"/>
        <v>-6.87612055697587</v>
      </c>
      <c r="O311" t="str">
        <f t="shared" si="34"/>
        <v>25.34</v>
      </c>
      <c r="P311" t="str">
        <f t="shared" si="35"/>
        <v>50.3567365426695</v>
      </c>
      <c r="Q311" t="str">
        <f t="shared" si="36"/>
        <v>18.4130126088083</v>
      </c>
      <c r="R311" t="str">
        <f t="shared" si="37"/>
        <v>2.93</v>
      </c>
      <c r="S311" t="str">
        <f t="shared" si="38"/>
        <v>1.56</v>
      </c>
      <c r="T311" t="str">
        <f t="shared" si="39"/>
        <v>1.11721005119039</v>
      </c>
      <c r="U311" t="str">
        <f t="shared" si="40"/>
        <v>4.65</v>
      </c>
    </row>
    <row r="312" spans="1:21" x14ac:dyDescent="0.25">
      <c r="A312" t="s">
        <v>39</v>
      </c>
      <c r="B312" s="1" t="s">
        <v>14</v>
      </c>
      <c r="C312">
        <v>1.0771096519093635</v>
      </c>
      <c r="D312" s="17">
        <v>26.01</v>
      </c>
      <c r="E312">
        <v>48.649916672022684</v>
      </c>
      <c r="F312">
        <v>18.458208418955799</v>
      </c>
      <c r="G312" s="17">
        <v>2.92</v>
      </c>
      <c r="H312" s="17">
        <v>1.4</v>
      </c>
      <c r="I312">
        <v>0.96068675067919274</v>
      </c>
      <c r="J312" s="17">
        <v>4.57</v>
      </c>
      <c r="L312" t="s">
        <v>39</v>
      </c>
      <c r="M312" s="1" t="s">
        <v>14</v>
      </c>
      <c r="N312" t="str">
        <f t="shared" si="33"/>
        <v>1.07710965190936</v>
      </c>
      <c r="O312" t="str">
        <f t="shared" si="34"/>
        <v>26.01</v>
      </c>
      <c r="P312" t="str">
        <f t="shared" si="35"/>
        <v>48.6499166720227</v>
      </c>
      <c r="Q312" t="str">
        <f t="shared" si="36"/>
        <v>18.4582084189558</v>
      </c>
      <c r="R312" t="str">
        <f t="shared" si="37"/>
        <v>2.92</v>
      </c>
      <c r="S312" t="str">
        <f t="shared" si="38"/>
        <v>1.4</v>
      </c>
      <c r="T312" t="str">
        <f t="shared" si="39"/>
        <v>0.960686750679193</v>
      </c>
      <c r="U312" t="str">
        <f t="shared" si="40"/>
        <v>4.57</v>
      </c>
    </row>
    <row r="313" spans="1:21" x14ac:dyDescent="0.25">
      <c r="A313" t="s">
        <v>39</v>
      </c>
      <c r="B313" s="1" t="s">
        <v>15</v>
      </c>
      <c r="C313">
        <v>-4.0067075394981124</v>
      </c>
      <c r="D313" s="17">
        <v>31.04</v>
      </c>
      <c r="E313">
        <v>43.213348974912385</v>
      </c>
      <c r="F313">
        <v>18.535817196049617</v>
      </c>
      <c r="G313" s="17">
        <v>3.64</v>
      </c>
      <c r="H313" s="17">
        <v>1.39</v>
      </c>
      <c r="I313">
        <v>0.94758081647593451</v>
      </c>
      <c r="J313" s="17">
        <v>4.42</v>
      </c>
      <c r="L313" t="s">
        <v>39</v>
      </c>
      <c r="M313" s="1" t="s">
        <v>15</v>
      </c>
      <c r="N313" t="str">
        <f t="shared" si="33"/>
        <v>-4.00670753949811</v>
      </c>
      <c r="O313" t="str">
        <f t="shared" si="34"/>
        <v>31.04</v>
      </c>
      <c r="P313" t="str">
        <f t="shared" si="35"/>
        <v>43.2133489749124</v>
      </c>
      <c r="Q313" t="str">
        <f t="shared" si="36"/>
        <v>18.5358171960496</v>
      </c>
      <c r="R313" t="str">
        <f t="shared" si="37"/>
        <v>3.64</v>
      </c>
      <c r="S313" t="str">
        <f t="shared" si="38"/>
        <v>1.39</v>
      </c>
      <c r="T313" t="str">
        <f t="shared" si="39"/>
        <v>0.947580816475935</v>
      </c>
      <c r="U313" t="str">
        <f t="shared" si="40"/>
        <v>4.42</v>
      </c>
    </row>
    <row r="314" spans="1:21" x14ac:dyDescent="0.25">
      <c r="A314" t="s">
        <v>39</v>
      </c>
      <c r="B314" s="1" t="s">
        <v>16</v>
      </c>
      <c r="C314">
        <v>1.608127239642916</v>
      </c>
      <c r="D314" s="17">
        <v>26.6</v>
      </c>
      <c r="E314">
        <v>44.14847242809833</v>
      </c>
      <c r="F314">
        <v>18.530361659228575</v>
      </c>
      <c r="G314" s="17">
        <v>3.35</v>
      </c>
      <c r="H314" s="17">
        <v>1.3</v>
      </c>
      <c r="I314">
        <v>0.91032097856688865</v>
      </c>
      <c r="J314" s="17">
        <v>4.82</v>
      </c>
      <c r="L314" t="s">
        <v>39</v>
      </c>
      <c r="M314" s="1" t="s">
        <v>16</v>
      </c>
      <c r="N314" t="str">
        <f t="shared" si="33"/>
        <v>1.60812723964292</v>
      </c>
      <c r="O314" t="str">
        <f t="shared" si="34"/>
        <v>26.6</v>
      </c>
      <c r="P314" t="str">
        <f t="shared" si="35"/>
        <v>44.1484724280983</v>
      </c>
      <c r="Q314" t="str">
        <f t="shared" si="36"/>
        <v>18.5303616592286</v>
      </c>
      <c r="R314" t="str">
        <f t="shared" si="37"/>
        <v>3.35</v>
      </c>
      <c r="S314" t="str">
        <f t="shared" si="38"/>
        <v>1.3</v>
      </c>
      <c r="T314" t="str">
        <f t="shared" si="39"/>
        <v>0.910320978566889</v>
      </c>
      <c r="U314" t="str">
        <f t="shared" si="40"/>
        <v>4.82</v>
      </c>
    </row>
    <row r="315" spans="1:21" x14ac:dyDescent="0.25">
      <c r="A315" t="s">
        <v>39</v>
      </c>
      <c r="B315" s="1" t="s">
        <v>17</v>
      </c>
      <c r="C315">
        <v>6.4763546337777811</v>
      </c>
      <c r="D315" s="17">
        <v>27.31</v>
      </c>
      <c r="E315">
        <v>45.2738576167121</v>
      </c>
      <c r="F315">
        <v>18.567942967030632</v>
      </c>
      <c r="G315" s="17">
        <v>3.45</v>
      </c>
      <c r="H315" s="17">
        <v>1.26</v>
      </c>
      <c r="I315">
        <v>0.88780874724102099</v>
      </c>
      <c r="J315" s="17">
        <v>4.97</v>
      </c>
      <c r="L315" t="s">
        <v>39</v>
      </c>
      <c r="M315" s="1" t="s">
        <v>17</v>
      </c>
      <c r="N315" t="str">
        <f t="shared" si="33"/>
        <v>6.47635463377778</v>
      </c>
      <c r="O315" t="str">
        <f t="shared" si="34"/>
        <v>27.31</v>
      </c>
      <c r="P315" t="str">
        <f t="shared" si="35"/>
        <v>45.2738576167121</v>
      </c>
      <c r="Q315" t="str">
        <f t="shared" si="36"/>
        <v>18.5679429670306</v>
      </c>
      <c r="R315" t="str">
        <f t="shared" si="37"/>
        <v>3.45</v>
      </c>
      <c r="S315" t="str">
        <f t="shared" si="38"/>
        <v>1.26</v>
      </c>
      <c r="T315" t="str">
        <f t="shared" si="39"/>
        <v>0.887808747241021</v>
      </c>
      <c r="U315" t="str">
        <f t="shared" si="40"/>
        <v>4.97</v>
      </c>
    </row>
    <row r="316" spans="1:21" x14ac:dyDescent="0.25">
      <c r="A316" t="s">
        <v>39</v>
      </c>
      <c r="B316" s="1" t="s">
        <v>18</v>
      </c>
      <c r="C316">
        <v>2.8310495476038944</v>
      </c>
      <c r="D316" s="17">
        <v>28.2</v>
      </c>
      <c r="E316">
        <v>45.039844975792057</v>
      </c>
      <c r="F316">
        <v>18.601042356309424</v>
      </c>
      <c r="G316" s="17">
        <v>3.66</v>
      </c>
      <c r="H316" s="17">
        <v>1.25</v>
      </c>
      <c r="I316">
        <v>0.91741336855092115</v>
      </c>
      <c r="J316" s="17">
        <v>4.9800000000000004</v>
      </c>
      <c r="L316" t="s">
        <v>39</v>
      </c>
      <c r="M316" s="1" t="s">
        <v>18</v>
      </c>
      <c r="N316" t="str">
        <f t="shared" si="33"/>
        <v>2.83104954760389</v>
      </c>
      <c r="O316" t="str">
        <f t="shared" si="34"/>
        <v>28.2</v>
      </c>
      <c r="P316" t="str">
        <f t="shared" si="35"/>
        <v>45.0398449757921</v>
      </c>
      <c r="Q316" t="str">
        <f t="shared" si="36"/>
        <v>18.6010423563094</v>
      </c>
      <c r="R316" t="str">
        <f t="shared" si="37"/>
        <v>3.66</v>
      </c>
      <c r="S316" t="str">
        <f t="shared" si="38"/>
        <v>1.25</v>
      </c>
      <c r="T316" t="str">
        <f t="shared" si="39"/>
        <v>0.917413368550921</v>
      </c>
      <c r="U316" t="str">
        <f t="shared" si="40"/>
        <v>4.98</v>
      </c>
    </row>
    <row r="317" spans="1:21" x14ac:dyDescent="0.25">
      <c r="A317" t="s">
        <v>39</v>
      </c>
      <c r="B317" s="1" t="s">
        <v>19</v>
      </c>
      <c r="C317">
        <v>12.486429170656987</v>
      </c>
      <c r="D317" s="17">
        <v>27.3</v>
      </c>
      <c r="E317">
        <v>45.663526149540573</v>
      </c>
      <c r="F317">
        <v>18.70495243265071</v>
      </c>
      <c r="G317" s="17">
        <v>4.22</v>
      </c>
      <c r="H317" s="17">
        <v>1.1200000000000001</v>
      </c>
      <c r="I317">
        <v>0.83579532845952653</v>
      </c>
      <c r="J317" s="17">
        <v>4.75</v>
      </c>
      <c r="L317" t="s">
        <v>39</v>
      </c>
      <c r="M317" s="1" t="s">
        <v>19</v>
      </c>
      <c r="N317" t="str">
        <f t="shared" si="33"/>
        <v>12.486429170657</v>
      </c>
      <c r="O317" t="str">
        <f t="shared" si="34"/>
        <v>27.3</v>
      </c>
      <c r="P317" t="str">
        <f t="shared" si="35"/>
        <v>45.6635261495406</v>
      </c>
      <c r="Q317" t="str">
        <f t="shared" si="36"/>
        <v>18.7049524326507</v>
      </c>
      <c r="R317" t="str">
        <f t="shared" si="37"/>
        <v>4.22</v>
      </c>
      <c r="S317" t="str">
        <f t="shared" si="38"/>
        <v>1.12</v>
      </c>
      <c r="T317" t="str">
        <f t="shared" si="39"/>
        <v>0.835795328459527</v>
      </c>
      <c r="U317" t="str">
        <f t="shared" si="40"/>
        <v>4.75</v>
      </c>
    </row>
    <row r="318" spans="1:21" x14ac:dyDescent="0.25">
      <c r="A318" t="s">
        <v>39</v>
      </c>
      <c r="B318" s="1" t="s">
        <v>20</v>
      </c>
      <c r="C318">
        <v>3.0420527967448843</v>
      </c>
      <c r="D318" s="17">
        <v>22.93</v>
      </c>
      <c r="E318">
        <v>55.23447852129766</v>
      </c>
      <c r="F318">
        <v>18.544631926308146</v>
      </c>
      <c r="G318" s="17">
        <v>2.83</v>
      </c>
      <c r="H318" s="17">
        <v>1.1399999999999999</v>
      </c>
      <c r="I318">
        <v>0.82213571289811627</v>
      </c>
      <c r="J318" s="17">
        <v>4.99</v>
      </c>
      <c r="L318" t="s">
        <v>39</v>
      </c>
      <c r="M318" s="1" t="s">
        <v>20</v>
      </c>
      <c r="N318" t="str">
        <f t="shared" si="33"/>
        <v>3.04205279674488</v>
      </c>
      <c r="O318" t="str">
        <f t="shared" si="34"/>
        <v>22.93</v>
      </c>
      <c r="P318" t="str">
        <f t="shared" si="35"/>
        <v>55.2344785212977</v>
      </c>
      <c r="Q318" t="str">
        <f t="shared" si="36"/>
        <v>18.5446319263081</v>
      </c>
      <c r="R318" t="str">
        <f t="shared" si="37"/>
        <v>2.83</v>
      </c>
      <c r="S318" t="str">
        <f t="shared" si="38"/>
        <v>1.14</v>
      </c>
      <c r="T318" t="str">
        <f t="shared" si="39"/>
        <v>0.822135712898116</v>
      </c>
      <c r="U318" t="str">
        <f t="shared" si="40"/>
        <v>4.99</v>
      </c>
    </row>
    <row r="319" spans="1:21" x14ac:dyDescent="0.25">
      <c r="A319" t="s">
        <v>39</v>
      </c>
      <c r="B319" s="1" t="s">
        <v>21</v>
      </c>
      <c r="C319">
        <v>2.9711953251825314</v>
      </c>
      <c r="D319" s="17">
        <v>22.51</v>
      </c>
      <c r="E319">
        <v>52.109261048070096</v>
      </c>
      <c r="F319">
        <v>18.632155713385238</v>
      </c>
      <c r="G319" s="17">
        <v>3.06</v>
      </c>
      <c r="H319" s="17">
        <v>1.1599999999999999</v>
      </c>
      <c r="I319">
        <v>0.85861433962864353</v>
      </c>
      <c r="J319" s="17">
        <v>5.35</v>
      </c>
      <c r="L319" t="s">
        <v>39</v>
      </c>
      <c r="M319" s="1" t="s">
        <v>21</v>
      </c>
      <c r="N319" t="str">
        <f t="shared" si="33"/>
        <v>2.97119532518253</v>
      </c>
      <c r="O319" t="str">
        <f t="shared" si="34"/>
        <v>22.51</v>
      </c>
      <c r="P319" t="str">
        <f t="shared" si="35"/>
        <v>52.1092610480701</v>
      </c>
      <c r="Q319" t="str">
        <f t="shared" si="36"/>
        <v>18.6321557133852</v>
      </c>
      <c r="R319" t="str">
        <f t="shared" si="37"/>
        <v>3.06</v>
      </c>
      <c r="S319" t="str">
        <f t="shared" si="38"/>
        <v>1.16</v>
      </c>
      <c r="T319" t="str">
        <f t="shared" si="39"/>
        <v>0.858614339628644</v>
      </c>
      <c r="U319" t="str">
        <f t="shared" si="40"/>
        <v>5.35</v>
      </c>
    </row>
    <row r="320" spans="1:21" x14ac:dyDescent="0.25">
      <c r="A320" t="s">
        <v>39</v>
      </c>
      <c r="B320" s="1" t="s">
        <v>22</v>
      </c>
      <c r="C320">
        <v>6.0616432111229441</v>
      </c>
      <c r="D320" s="17">
        <v>22.59</v>
      </c>
      <c r="E320">
        <v>54.11886213021576</v>
      </c>
      <c r="F320">
        <v>18.653165902271109</v>
      </c>
      <c r="G320" s="17">
        <v>3.58</v>
      </c>
      <c r="H320" s="17">
        <v>1.27</v>
      </c>
      <c r="I320">
        <v>0.82652635553091647</v>
      </c>
      <c r="J320" s="17">
        <v>5.6</v>
      </c>
      <c r="L320" t="s">
        <v>39</v>
      </c>
      <c r="M320" s="1" t="s">
        <v>22</v>
      </c>
      <c r="N320" t="str">
        <f t="shared" si="33"/>
        <v>6.06164321112294</v>
      </c>
      <c r="O320" t="str">
        <f t="shared" si="34"/>
        <v>22.59</v>
      </c>
      <c r="P320" t="str">
        <f t="shared" si="35"/>
        <v>54.1188621302158</v>
      </c>
      <c r="Q320" t="str">
        <f t="shared" si="36"/>
        <v>18.6531659022711</v>
      </c>
      <c r="R320" t="str">
        <f t="shared" si="37"/>
        <v>3.58</v>
      </c>
      <c r="S320" t="str">
        <f t="shared" si="38"/>
        <v>1.27</v>
      </c>
      <c r="T320" t="str">
        <f t="shared" si="39"/>
        <v>0.826526355530916</v>
      </c>
      <c r="U320" t="str">
        <f t="shared" si="40"/>
        <v>5.6</v>
      </c>
    </row>
    <row r="321" spans="1:21" x14ac:dyDescent="0.25">
      <c r="A321" t="s">
        <v>39</v>
      </c>
      <c r="B321" s="1" t="s">
        <v>23</v>
      </c>
      <c r="C321">
        <v>2.9375653571284475</v>
      </c>
      <c r="D321" s="19">
        <v>25.41</v>
      </c>
      <c r="E321">
        <v>49.586690903532869</v>
      </c>
      <c r="F321">
        <v>18.769578668115621</v>
      </c>
      <c r="G321" s="17">
        <v>4</v>
      </c>
      <c r="H321" s="19">
        <v>1.23</v>
      </c>
      <c r="I321">
        <v>0.81382164301204241</v>
      </c>
      <c r="J321" s="17">
        <v>5.42</v>
      </c>
      <c r="L321" t="s">
        <v>39</v>
      </c>
      <c r="M321" s="1" t="s">
        <v>23</v>
      </c>
      <c r="N321" t="str">
        <f t="shared" si="33"/>
        <v>2.93756535712845</v>
      </c>
      <c r="O321" t="str">
        <f t="shared" si="34"/>
        <v>25.41</v>
      </c>
      <c r="P321" t="str">
        <f t="shared" si="35"/>
        <v>49.5866909035329</v>
      </c>
      <c r="Q321" t="str">
        <f t="shared" si="36"/>
        <v>18.7695786681156</v>
      </c>
      <c r="R321" t="str">
        <f t="shared" si="37"/>
        <v>4</v>
      </c>
      <c r="S321" t="str">
        <f t="shared" si="38"/>
        <v>1.23</v>
      </c>
      <c r="T321" t="str">
        <f t="shared" si="39"/>
        <v>0.813821643012042</v>
      </c>
      <c r="U321" t="str">
        <f t="shared" si="40"/>
        <v>5.42</v>
      </c>
    </row>
    <row r="322" spans="1:21" x14ac:dyDescent="0.25">
      <c r="A322" t="s">
        <v>40</v>
      </c>
      <c r="B322" s="1" t="s">
        <v>4</v>
      </c>
      <c r="C322">
        <v>-4.4835911970407629</v>
      </c>
      <c r="D322" s="20">
        <v>20.149999999999999</v>
      </c>
      <c r="E322">
        <v>69.193104028564932</v>
      </c>
      <c r="F322">
        <v>14.691273418726309</v>
      </c>
      <c r="G322">
        <v>0.27</v>
      </c>
      <c r="H322" s="20">
        <v>3.76</v>
      </c>
      <c r="I322">
        <v>1.2940643167303083</v>
      </c>
      <c r="J322">
        <v>5.13</v>
      </c>
      <c r="L322" t="s">
        <v>40</v>
      </c>
      <c r="M322" s="1" t="s">
        <v>4</v>
      </c>
      <c r="N322" t="str">
        <f t="shared" si="33"/>
        <v>-4.48359119704076</v>
      </c>
      <c r="O322" t="str">
        <f t="shared" si="34"/>
        <v>20.15</v>
      </c>
      <c r="P322" t="str">
        <f t="shared" si="35"/>
        <v>69.1931040285649</v>
      </c>
      <c r="Q322" t="str">
        <f t="shared" si="36"/>
        <v>14.6912734187263</v>
      </c>
      <c r="R322" t="str">
        <f t="shared" si="37"/>
        <v>0.27</v>
      </c>
      <c r="S322" t="str">
        <f t="shared" si="38"/>
        <v>3.76</v>
      </c>
      <c r="T322" t="str">
        <f t="shared" si="39"/>
        <v>1.29406431673031</v>
      </c>
      <c r="U322" t="str">
        <f t="shared" si="40"/>
        <v>5.13</v>
      </c>
    </row>
    <row r="323" spans="1:21" x14ac:dyDescent="0.25">
      <c r="A323" t="s">
        <v>40</v>
      </c>
      <c r="B323" s="1" t="s">
        <v>5</v>
      </c>
      <c r="C323">
        <v>-3.3270263550622077</v>
      </c>
      <c r="D323" s="20">
        <v>19.989999999999998</v>
      </c>
      <c r="E323">
        <v>66.683567431768878</v>
      </c>
      <c r="F323">
        <v>14.694379757188795</v>
      </c>
      <c r="G323">
        <v>-1.64</v>
      </c>
      <c r="H323" s="20">
        <v>6.4</v>
      </c>
      <c r="I323">
        <v>2.7340541530161153</v>
      </c>
      <c r="J323">
        <v>5.28</v>
      </c>
      <c r="L323" t="s">
        <v>40</v>
      </c>
      <c r="M323" s="1" t="s">
        <v>5</v>
      </c>
      <c r="N323" t="str">
        <f t="shared" ref="N323:N386" si="41">SUBSTITUTE(C323,",",".")</f>
        <v>-3.32702635506221</v>
      </c>
      <c r="O323" t="str">
        <f t="shared" ref="O323:O386" si="42">SUBSTITUTE(D323,",",".")</f>
        <v>19.99</v>
      </c>
      <c r="P323" t="str">
        <f t="shared" ref="P323:P386" si="43">SUBSTITUTE(E323,",",".")</f>
        <v>66.6835674317689</v>
      </c>
      <c r="Q323" t="str">
        <f t="shared" ref="Q323:Q386" si="44">SUBSTITUTE(F323,",",".")</f>
        <v>14.6943797571888</v>
      </c>
      <c r="R323" t="str">
        <f t="shared" ref="R323:R386" si="45">SUBSTITUTE(G323,",",".")</f>
        <v>-1.64</v>
      </c>
      <c r="S323" t="str">
        <f t="shared" ref="S323:S386" si="46">SUBSTITUTE(H323,",",".")</f>
        <v>6.4</v>
      </c>
      <c r="T323" t="str">
        <f t="shared" ref="T323:T386" si="47">SUBSTITUTE(I323,",",".")</f>
        <v>2.73405415301612</v>
      </c>
      <c r="U323" t="str">
        <f t="shared" ref="U323:U386" si="48">SUBSTITUTE(J323,",",".")</f>
        <v>5.28</v>
      </c>
    </row>
    <row r="324" spans="1:21" x14ac:dyDescent="0.25">
      <c r="A324" t="s">
        <v>40</v>
      </c>
      <c r="B324" s="1" t="s">
        <v>6</v>
      </c>
      <c r="C324">
        <v>9.7104536705323081</v>
      </c>
      <c r="D324" s="20">
        <v>20.329999999999998</v>
      </c>
      <c r="E324">
        <v>72.006259803933588</v>
      </c>
      <c r="F324">
        <v>14.710259727470669</v>
      </c>
      <c r="G324">
        <v>-1.1499999999999999</v>
      </c>
      <c r="H324" s="20">
        <v>5.36</v>
      </c>
      <c r="I324">
        <v>2.5606867549138861</v>
      </c>
      <c r="J324">
        <v>5.27</v>
      </c>
      <c r="L324" t="s">
        <v>40</v>
      </c>
      <c r="M324" s="1" t="s">
        <v>6</v>
      </c>
      <c r="N324" t="str">
        <f t="shared" si="41"/>
        <v>9.71045367053231</v>
      </c>
      <c r="O324" t="str">
        <f t="shared" si="42"/>
        <v>20.33</v>
      </c>
      <c r="P324" t="str">
        <f t="shared" si="43"/>
        <v>72.0062598039336</v>
      </c>
      <c r="Q324" t="str">
        <f t="shared" si="44"/>
        <v>14.7102597274707</v>
      </c>
      <c r="R324" t="str">
        <f t="shared" si="45"/>
        <v>-1.15</v>
      </c>
      <c r="S324" t="str">
        <f t="shared" si="46"/>
        <v>5.36</v>
      </c>
      <c r="T324" t="str">
        <f t="shared" si="47"/>
        <v>2.56068675491389</v>
      </c>
      <c r="U324" t="str">
        <f t="shared" si="48"/>
        <v>5.27</v>
      </c>
    </row>
    <row r="325" spans="1:21" x14ac:dyDescent="0.25">
      <c r="A325" t="s">
        <v>40</v>
      </c>
      <c r="B325" s="1" t="s">
        <v>7</v>
      </c>
      <c r="C325">
        <v>-11.389987359468451</v>
      </c>
      <c r="D325" s="20">
        <v>16.850000000000001</v>
      </c>
      <c r="E325">
        <v>68.949015821670869</v>
      </c>
      <c r="F325">
        <v>14.632720128813416</v>
      </c>
      <c r="G325">
        <v>-5.0599999999999996</v>
      </c>
      <c r="H325" s="20">
        <v>4.07</v>
      </c>
      <c r="I325">
        <v>1.8482184322203541</v>
      </c>
      <c r="J325">
        <v>5.17</v>
      </c>
      <c r="L325" t="s">
        <v>40</v>
      </c>
      <c r="M325" s="1" t="s">
        <v>7</v>
      </c>
      <c r="N325" t="str">
        <f t="shared" si="41"/>
        <v>-11.3899873594685</v>
      </c>
      <c r="O325" t="str">
        <f t="shared" si="42"/>
        <v>16.85</v>
      </c>
      <c r="P325" t="str">
        <f t="shared" si="43"/>
        <v>68.9490158216709</v>
      </c>
      <c r="Q325" t="str">
        <f t="shared" si="44"/>
        <v>14.6327201288134</v>
      </c>
      <c r="R325" t="str">
        <f t="shared" si="45"/>
        <v>-5.06</v>
      </c>
      <c r="S325" t="str">
        <f t="shared" si="46"/>
        <v>4.07</v>
      </c>
      <c r="T325" t="str">
        <f t="shared" si="47"/>
        <v>1.84821843222035</v>
      </c>
      <c r="U325" t="str">
        <f t="shared" si="48"/>
        <v>5.17</v>
      </c>
    </row>
    <row r="326" spans="1:21" x14ac:dyDescent="0.25">
      <c r="A326" t="s">
        <v>40</v>
      </c>
      <c r="B326" s="1" t="s">
        <v>8</v>
      </c>
      <c r="C326">
        <v>-2.9069421090559695</v>
      </c>
      <c r="D326" s="20">
        <v>17.149999999999999</v>
      </c>
      <c r="E326">
        <v>66.272085863954004</v>
      </c>
      <c r="F326">
        <v>14.642818370636046</v>
      </c>
      <c r="G326">
        <v>1.72</v>
      </c>
      <c r="H326" s="20">
        <v>4.08</v>
      </c>
      <c r="I326">
        <v>1.9368046319167351</v>
      </c>
      <c r="J326">
        <v>5.15</v>
      </c>
      <c r="L326" t="s">
        <v>40</v>
      </c>
      <c r="M326" s="1" t="s">
        <v>8</v>
      </c>
      <c r="N326" t="str">
        <f t="shared" si="41"/>
        <v>-2.90694210905597</v>
      </c>
      <c r="O326" t="str">
        <f t="shared" si="42"/>
        <v>17.15</v>
      </c>
      <c r="P326" t="str">
        <f t="shared" si="43"/>
        <v>66.272085863954</v>
      </c>
      <c r="Q326" t="str">
        <f t="shared" si="44"/>
        <v>14.642818370636</v>
      </c>
      <c r="R326" t="str">
        <f t="shared" si="45"/>
        <v>1.72</v>
      </c>
      <c r="S326" t="str">
        <f t="shared" si="46"/>
        <v>4.08</v>
      </c>
      <c r="T326" t="str">
        <f t="shared" si="47"/>
        <v>1.93680463191674</v>
      </c>
      <c r="U326" t="str">
        <f t="shared" si="48"/>
        <v>5.15</v>
      </c>
    </row>
    <row r="327" spans="1:21" x14ac:dyDescent="0.25">
      <c r="A327" t="s">
        <v>40</v>
      </c>
      <c r="B327" s="1" t="s">
        <v>9</v>
      </c>
      <c r="C327">
        <v>30.628061202947197</v>
      </c>
      <c r="D327" s="20">
        <v>16.73</v>
      </c>
      <c r="E327">
        <v>71.513263088548086</v>
      </c>
      <c r="F327">
        <v>14.833888092741375</v>
      </c>
      <c r="G327" s="20">
        <v>0.8</v>
      </c>
      <c r="H327" s="20">
        <v>3.2</v>
      </c>
      <c r="I327">
        <v>1.5594041779062187</v>
      </c>
      <c r="J327">
        <v>4.91</v>
      </c>
      <c r="L327" t="s">
        <v>40</v>
      </c>
      <c r="M327" s="1" t="s">
        <v>9</v>
      </c>
      <c r="N327" t="str">
        <f t="shared" si="41"/>
        <v>30.6280612029472</v>
      </c>
      <c r="O327" t="str">
        <f t="shared" si="42"/>
        <v>16.73</v>
      </c>
      <c r="P327" t="str">
        <f t="shared" si="43"/>
        <v>71.5132630885481</v>
      </c>
      <c r="Q327" t="str">
        <f t="shared" si="44"/>
        <v>14.8338880927414</v>
      </c>
      <c r="R327" t="str">
        <f t="shared" si="45"/>
        <v>0.8</v>
      </c>
      <c r="S327" t="str">
        <f t="shared" si="46"/>
        <v>3.2</v>
      </c>
      <c r="T327" t="str">
        <f t="shared" si="47"/>
        <v>1.55940417790622</v>
      </c>
      <c r="U327" t="str">
        <f t="shared" si="48"/>
        <v>4.91</v>
      </c>
    </row>
    <row r="328" spans="1:21" x14ac:dyDescent="0.25">
      <c r="A328" t="s">
        <v>40</v>
      </c>
      <c r="B328" s="1" t="s">
        <v>10</v>
      </c>
      <c r="C328">
        <v>-12.603719115327525</v>
      </c>
      <c r="D328" s="20">
        <v>17.649999999999999</v>
      </c>
      <c r="E328">
        <v>68.863661145428168</v>
      </c>
      <c r="F328">
        <v>14.736924941489049</v>
      </c>
      <c r="G328">
        <v>-0.32</v>
      </c>
      <c r="H328" s="20">
        <v>4.93</v>
      </c>
      <c r="I328">
        <v>1.8245123336039781</v>
      </c>
      <c r="J328">
        <v>4.5599999999999996</v>
      </c>
      <c r="L328" t="s">
        <v>40</v>
      </c>
      <c r="M328" s="1" t="s">
        <v>10</v>
      </c>
      <c r="N328" t="str">
        <f t="shared" si="41"/>
        <v>-12.6037191153275</v>
      </c>
      <c r="O328" t="str">
        <f t="shared" si="42"/>
        <v>17.65</v>
      </c>
      <c r="P328" t="str">
        <f t="shared" si="43"/>
        <v>68.8636611454282</v>
      </c>
      <c r="Q328" t="str">
        <f t="shared" si="44"/>
        <v>14.736924941489</v>
      </c>
      <c r="R328" t="str">
        <f t="shared" si="45"/>
        <v>-0.32</v>
      </c>
      <c r="S328" t="str">
        <f t="shared" si="46"/>
        <v>4.93</v>
      </c>
      <c r="T328" t="str">
        <f t="shared" si="47"/>
        <v>1.82451233360398</v>
      </c>
      <c r="U328" t="str">
        <f t="shared" si="48"/>
        <v>4.56</v>
      </c>
    </row>
    <row r="329" spans="1:21" x14ac:dyDescent="0.25">
      <c r="A329" t="s">
        <v>40</v>
      </c>
      <c r="B329" s="1" t="s">
        <v>11</v>
      </c>
      <c r="C329">
        <v>-4.0204341682871645</v>
      </c>
      <c r="D329" s="20">
        <v>16.2</v>
      </c>
      <c r="E329">
        <v>65.720233636557523</v>
      </c>
      <c r="F329">
        <v>14.742611844652258</v>
      </c>
      <c r="G329">
        <v>-1.87</v>
      </c>
      <c r="H329" s="20">
        <v>10.16</v>
      </c>
      <c r="I329">
        <v>6.3703590420407687</v>
      </c>
      <c r="J329">
        <v>4.21</v>
      </c>
      <c r="L329" t="s">
        <v>40</v>
      </c>
      <c r="M329" s="1" t="s">
        <v>11</v>
      </c>
      <c r="N329" t="str">
        <f t="shared" si="41"/>
        <v>-4.02043416828716</v>
      </c>
      <c r="O329" t="str">
        <f t="shared" si="42"/>
        <v>16.2</v>
      </c>
      <c r="P329" t="str">
        <f t="shared" si="43"/>
        <v>65.7202336365575</v>
      </c>
      <c r="Q329" t="str">
        <f t="shared" si="44"/>
        <v>14.7426118446523</v>
      </c>
      <c r="R329" t="str">
        <f t="shared" si="45"/>
        <v>-1.87</v>
      </c>
      <c r="S329" t="str">
        <f t="shared" si="46"/>
        <v>10.16</v>
      </c>
      <c r="T329" t="str">
        <f t="shared" si="47"/>
        <v>6.37035904204077</v>
      </c>
      <c r="U329" t="str">
        <f t="shared" si="48"/>
        <v>4.21</v>
      </c>
    </row>
    <row r="330" spans="1:21" x14ac:dyDescent="0.25">
      <c r="A330" t="s">
        <v>40</v>
      </c>
      <c r="B330" s="1" t="s">
        <v>12</v>
      </c>
      <c r="C330">
        <v>-5.5808904281145235</v>
      </c>
      <c r="D330" s="20">
        <v>15.26</v>
      </c>
      <c r="E330">
        <v>67.541261090533212</v>
      </c>
      <c r="F330">
        <v>14.657853304886073</v>
      </c>
      <c r="G330">
        <v>0.14000000000000001</v>
      </c>
      <c r="H330" s="20">
        <v>10.43</v>
      </c>
      <c r="I330">
        <v>7.4875029732051246</v>
      </c>
      <c r="J330">
        <v>3.27</v>
      </c>
      <c r="L330" t="s">
        <v>40</v>
      </c>
      <c r="M330" s="1" t="s">
        <v>12</v>
      </c>
      <c r="N330" t="str">
        <f t="shared" si="41"/>
        <v>-5.58089042811452</v>
      </c>
      <c r="O330" t="str">
        <f t="shared" si="42"/>
        <v>15.26</v>
      </c>
      <c r="P330" t="str">
        <f t="shared" si="43"/>
        <v>67.5412610905332</v>
      </c>
      <c r="Q330" t="str">
        <f t="shared" si="44"/>
        <v>14.6578533048861</v>
      </c>
      <c r="R330" t="str">
        <f t="shared" si="45"/>
        <v>0.14</v>
      </c>
      <c r="S330" t="str">
        <f t="shared" si="46"/>
        <v>10.43</v>
      </c>
      <c r="T330" t="str">
        <f t="shared" si="47"/>
        <v>7.48750297320512</v>
      </c>
      <c r="U330" t="str">
        <f t="shared" si="48"/>
        <v>3.27</v>
      </c>
    </row>
    <row r="331" spans="1:21" x14ac:dyDescent="0.25">
      <c r="A331" t="s">
        <v>40</v>
      </c>
      <c r="B331" s="1" t="s">
        <v>13</v>
      </c>
      <c r="C331">
        <v>-5.1524927415533872</v>
      </c>
      <c r="D331" s="20">
        <v>16.399999999999999</v>
      </c>
      <c r="E331">
        <v>67.500078284085461</v>
      </c>
      <c r="F331">
        <v>14.605563462951791</v>
      </c>
      <c r="G331" s="20">
        <v>2.96</v>
      </c>
      <c r="H331" s="20">
        <v>6.9</v>
      </c>
      <c r="I331">
        <v>4.9413966772289131</v>
      </c>
      <c r="J331">
        <v>2.94</v>
      </c>
      <c r="L331" t="s">
        <v>40</v>
      </c>
      <c r="M331" s="1" t="s">
        <v>13</v>
      </c>
      <c r="N331" t="str">
        <f t="shared" si="41"/>
        <v>-5.15249274155339</v>
      </c>
      <c r="O331" t="str">
        <f t="shared" si="42"/>
        <v>16.4</v>
      </c>
      <c r="P331" t="str">
        <f t="shared" si="43"/>
        <v>67.5000782840855</v>
      </c>
      <c r="Q331" t="str">
        <f t="shared" si="44"/>
        <v>14.6055634629518</v>
      </c>
      <c r="R331" t="str">
        <f t="shared" si="45"/>
        <v>2.96</v>
      </c>
      <c r="S331" t="str">
        <f t="shared" si="46"/>
        <v>6.9</v>
      </c>
      <c r="T331" t="str">
        <f t="shared" si="47"/>
        <v>4.94139667722891</v>
      </c>
      <c r="U331" t="str">
        <f t="shared" si="48"/>
        <v>2.94</v>
      </c>
    </row>
    <row r="332" spans="1:21" x14ac:dyDescent="0.25">
      <c r="A332" t="s">
        <v>40</v>
      </c>
      <c r="B332" s="1" t="s">
        <v>14</v>
      </c>
      <c r="C332">
        <v>-7.7828493592394103</v>
      </c>
      <c r="D332" s="20">
        <v>18.89</v>
      </c>
      <c r="E332">
        <v>64.42528363107904</v>
      </c>
      <c r="F332">
        <v>14.571162004467002</v>
      </c>
      <c r="G332" s="20">
        <v>2.97</v>
      </c>
      <c r="H332" s="20">
        <v>3.39</v>
      </c>
      <c r="I332">
        <v>2.0325704116248535</v>
      </c>
      <c r="J332">
        <v>2.5099999999999998</v>
      </c>
      <c r="L332" t="s">
        <v>40</v>
      </c>
      <c r="M332" s="1" t="s">
        <v>14</v>
      </c>
      <c r="N332" t="str">
        <f t="shared" si="41"/>
        <v>-7.78284935923941</v>
      </c>
      <c r="O332" t="str">
        <f t="shared" si="42"/>
        <v>18.89</v>
      </c>
      <c r="P332" t="str">
        <f t="shared" si="43"/>
        <v>64.425283631079</v>
      </c>
      <c r="Q332" t="str">
        <f t="shared" si="44"/>
        <v>14.571162004467</v>
      </c>
      <c r="R332" t="str">
        <f t="shared" si="45"/>
        <v>2.97</v>
      </c>
      <c r="S332" t="str">
        <f t="shared" si="46"/>
        <v>3.39</v>
      </c>
      <c r="T332" t="str">
        <f t="shared" si="47"/>
        <v>2.03257041162485</v>
      </c>
      <c r="U332" t="str">
        <f t="shared" si="48"/>
        <v>2.51</v>
      </c>
    </row>
    <row r="333" spans="1:21" x14ac:dyDescent="0.25">
      <c r="A333" t="s">
        <v>40</v>
      </c>
      <c r="B333" s="1" t="s">
        <v>15</v>
      </c>
      <c r="C333">
        <v>-6.9834567038953406</v>
      </c>
      <c r="D333" s="20">
        <v>19.61</v>
      </c>
      <c r="E333">
        <v>49.32327867990535</v>
      </c>
      <c r="F333">
        <v>14.765879185964513</v>
      </c>
      <c r="G333">
        <v>2.04</v>
      </c>
      <c r="H333" s="20">
        <v>2.76</v>
      </c>
      <c r="I333">
        <v>2.2415264765520715</v>
      </c>
      <c r="J333">
        <v>2.44</v>
      </c>
      <c r="L333" t="s">
        <v>40</v>
      </c>
      <c r="M333" s="1" t="s">
        <v>15</v>
      </c>
      <c r="N333" t="str">
        <f t="shared" si="41"/>
        <v>-6.98345670389534</v>
      </c>
      <c r="O333" t="str">
        <f t="shared" si="42"/>
        <v>19.61</v>
      </c>
      <c r="P333" t="str">
        <f t="shared" si="43"/>
        <v>49.3232786799053</v>
      </c>
      <c r="Q333" t="str">
        <f t="shared" si="44"/>
        <v>14.7658791859645</v>
      </c>
      <c r="R333" t="str">
        <f t="shared" si="45"/>
        <v>2.04</v>
      </c>
      <c r="S333" t="str">
        <f t="shared" si="46"/>
        <v>2.76</v>
      </c>
      <c r="T333" t="str">
        <f t="shared" si="47"/>
        <v>2.24152647655207</v>
      </c>
      <c r="U333" t="str">
        <f t="shared" si="48"/>
        <v>2.44</v>
      </c>
    </row>
    <row r="334" spans="1:21" x14ac:dyDescent="0.25">
      <c r="A334" t="s">
        <v>40</v>
      </c>
      <c r="B334" s="1" t="s">
        <v>16</v>
      </c>
      <c r="C334">
        <v>-20.80336910882118</v>
      </c>
      <c r="D334" s="20">
        <v>18.190000000000001</v>
      </c>
      <c r="E334">
        <v>25.379953792153103</v>
      </c>
      <c r="F334">
        <v>15.197079270776106</v>
      </c>
      <c r="G334">
        <v>1.07</v>
      </c>
      <c r="H334" s="20">
        <v>2.59</v>
      </c>
      <c r="I334">
        <v>2.3842749294347256</v>
      </c>
      <c r="J334">
        <v>2.99</v>
      </c>
      <c r="L334" t="s">
        <v>40</v>
      </c>
      <c r="M334" s="1" t="s">
        <v>16</v>
      </c>
      <c r="N334" t="str">
        <f t="shared" si="41"/>
        <v>-20.8033691088212</v>
      </c>
      <c r="O334" t="str">
        <f t="shared" si="42"/>
        <v>18.19</v>
      </c>
      <c r="P334" t="str">
        <f t="shared" si="43"/>
        <v>25.3799537921531</v>
      </c>
      <c r="Q334" t="str">
        <f t="shared" si="44"/>
        <v>15.1970792707761</v>
      </c>
      <c r="R334" t="str">
        <f t="shared" si="45"/>
        <v>1.07</v>
      </c>
      <c r="S334" t="str">
        <f t="shared" si="46"/>
        <v>2.59</v>
      </c>
      <c r="T334" t="str">
        <f t="shared" si="47"/>
        <v>2.38427492943473</v>
      </c>
      <c r="U334" t="str">
        <f t="shared" si="48"/>
        <v>2.99</v>
      </c>
    </row>
    <row r="335" spans="1:21" x14ac:dyDescent="0.25">
      <c r="A335" t="s">
        <v>40</v>
      </c>
      <c r="B335" s="1" t="s">
        <v>17</v>
      </c>
      <c r="C335">
        <v>-11.987882170837242</v>
      </c>
      <c r="D335" s="20">
        <v>22.49</v>
      </c>
      <c r="E335">
        <v>21.062094080677259</v>
      </c>
      <c r="F335">
        <v>15.255868298241797</v>
      </c>
      <c r="G335">
        <v>1.25</v>
      </c>
      <c r="H335" s="20">
        <v>1.76</v>
      </c>
      <c r="I335">
        <v>2.5752149198513412</v>
      </c>
      <c r="J335">
        <v>3.15</v>
      </c>
      <c r="L335" t="s">
        <v>40</v>
      </c>
      <c r="M335" s="1" t="s">
        <v>17</v>
      </c>
      <c r="N335" t="str">
        <f t="shared" si="41"/>
        <v>-11.9878821708372</v>
      </c>
      <c r="O335" t="str">
        <f t="shared" si="42"/>
        <v>22.49</v>
      </c>
      <c r="P335" t="str">
        <f t="shared" si="43"/>
        <v>21.0620940806773</v>
      </c>
      <c r="Q335" t="str">
        <f t="shared" si="44"/>
        <v>15.2558682982418</v>
      </c>
      <c r="R335" t="str">
        <f t="shared" si="45"/>
        <v>1.25</v>
      </c>
      <c r="S335" t="str">
        <f t="shared" si="46"/>
        <v>1.76</v>
      </c>
      <c r="T335" t="str">
        <f t="shared" si="47"/>
        <v>2.57521491985134</v>
      </c>
      <c r="U335" t="str">
        <f t="shared" si="48"/>
        <v>3.15</v>
      </c>
    </row>
    <row r="336" spans="1:21" x14ac:dyDescent="0.25">
      <c r="A336" t="s">
        <v>40</v>
      </c>
      <c r="B336" s="1" t="s">
        <v>18</v>
      </c>
      <c r="C336">
        <v>132.23904597513734</v>
      </c>
      <c r="D336" s="20">
        <v>41.56</v>
      </c>
      <c r="E336">
        <v>29.937532144259087</v>
      </c>
      <c r="F336">
        <v>15.74682731094518</v>
      </c>
      <c r="G336" s="20">
        <v>2.68</v>
      </c>
      <c r="H336" s="20">
        <v>2.1800000000000002</v>
      </c>
      <c r="I336">
        <v>1.417879625249423</v>
      </c>
      <c r="J336">
        <v>4.41</v>
      </c>
      <c r="L336" t="s">
        <v>40</v>
      </c>
      <c r="M336" s="1" t="s">
        <v>18</v>
      </c>
      <c r="N336" t="str">
        <f t="shared" si="41"/>
        <v>132.239045975137</v>
      </c>
      <c r="O336" t="str">
        <f t="shared" si="42"/>
        <v>41.56</v>
      </c>
      <c r="P336" t="str">
        <f t="shared" si="43"/>
        <v>29.9375321442591</v>
      </c>
      <c r="Q336" t="str">
        <f t="shared" si="44"/>
        <v>15.7468273109452</v>
      </c>
      <c r="R336" t="str">
        <f t="shared" si="45"/>
        <v>2.68</v>
      </c>
      <c r="S336" t="str">
        <f t="shared" si="46"/>
        <v>2.18</v>
      </c>
      <c r="T336" t="str">
        <f t="shared" si="47"/>
        <v>1.41787962524942</v>
      </c>
      <c r="U336" t="str">
        <f t="shared" si="48"/>
        <v>4.41</v>
      </c>
    </row>
    <row r="337" spans="1:21" x14ac:dyDescent="0.25">
      <c r="A337" t="s">
        <v>40</v>
      </c>
      <c r="B337" s="1" t="s">
        <v>19</v>
      </c>
      <c r="C337">
        <v>6.4386832307880768</v>
      </c>
      <c r="D337" s="20">
        <v>48.82</v>
      </c>
      <c r="E337">
        <v>47.280580949150604</v>
      </c>
      <c r="F337">
        <v>15.352239488432145</v>
      </c>
      <c r="G337" s="20">
        <v>4.74</v>
      </c>
      <c r="H337" s="20">
        <v>0.52</v>
      </c>
      <c r="I337">
        <v>1.2250692939770536</v>
      </c>
      <c r="J337">
        <v>4.63</v>
      </c>
      <c r="L337" t="s">
        <v>40</v>
      </c>
      <c r="M337" s="1" t="s">
        <v>19</v>
      </c>
      <c r="N337" t="str">
        <f t="shared" si="41"/>
        <v>6.43868323078808</v>
      </c>
      <c r="O337" t="str">
        <f t="shared" si="42"/>
        <v>48.82</v>
      </c>
      <c r="P337" t="str">
        <f t="shared" si="43"/>
        <v>47.2805809491506</v>
      </c>
      <c r="Q337" t="str">
        <f t="shared" si="44"/>
        <v>15.3522394884321</v>
      </c>
      <c r="R337" t="str">
        <f t="shared" si="45"/>
        <v>4.74</v>
      </c>
      <c r="S337" t="str">
        <f t="shared" si="46"/>
        <v>0.52</v>
      </c>
      <c r="T337" t="str">
        <f t="shared" si="47"/>
        <v>1.22506929397705</v>
      </c>
      <c r="U337" t="str">
        <f t="shared" si="48"/>
        <v>4.63</v>
      </c>
    </row>
    <row r="338" spans="1:21" x14ac:dyDescent="0.25">
      <c r="A338" t="s">
        <v>40</v>
      </c>
      <c r="B338" s="1" t="s">
        <v>20</v>
      </c>
      <c r="C338">
        <v>119.00463233591555</v>
      </c>
      <c r="D338" s="20">
        <v>110.54</v>
      </c>
      <c r="E338">
        <v>51.1252483383578</v>
      </c>
      <c r="F338">
        <v>16.057983372871419</v>
      </c>
      <c r="G338">
        <v>4.4400000000000004</v>
      </c>
      <c r="H338" s="20">
        <v>0.24</v>
      </c>
      <c r="I338">
        <v>0.8339609833631545</v>
      </c>
      <c r="J338">
        <v>3.95</v>
      </c>
      <c r="L338" t="s">
        <v>40</v>
      </c>
      <c r="M338" s="1" t="s">
        <v>20</v>
      </c>
      <c r="N338" t="str">
        <f t="shared" si="41"/>
        <v>119.004632335916</v>
      </c>
      <c r="O338" t="str">
        <f t="shared" si="42"/>
        <v>110.54</v>
      </c>
      <c r="P338" t="str">
        <f t="shared" si="43"/>
        <v>51.1252483383578</v>
      </c>
      <c r="Q338" t="str">
        <f t="shared" si="44"/>
        <v>16.0579833728714</v>
      </c>
      <c r="R338" t="str">
        <f t="shared" si="45"/>
        <v>4.44</v>
      </c>
      <c r="S338" t="str">
        <f t="shared" si="46"/>
        <v>0.24</v>
      </c>
      <c r="T338" t="str">
        <f t="shared" si="47"/>
        <v>0.833960983363154</v>
      </c>
      <c r="U338" t="str">
        <f t="shared" si="48"/>
        <v>3.95</v>
      </c>
    </row>
    <row r="339" spans="1:21" x14ac:dyDescent="0.25">
      <c r="A339" t="s">
        <v>40</v>
      </c>
      <c r="B339" s="1" t="s">
        <v>21</v>
      </c>
      <c r="C339">
        <v>39.455645672205911</v>
      </c>
      <c r="D339" s="20">
        <v>85.19</v>
      </c>
      <c r="E339">
        <v>68.697296464883408</v>
      </c>
      <c r="F339">
        <v>16.095128411555212</v>
      </c>
      <c r="G339">
        <v>4.29</v>
      </c>
      <c r="H339" s="20">
        <v>0</v>
      </c>
      <c r="I339">
        <v>0.67562847523790359</v>
      </c>
      <c r="J339">
        <v>5.0599999999999996</v>
      </c>
      <c r="L339" t="s">
        <v>40</v>
      </c>
      <c r="M339" s="1" t="s">
        <v>21</v>
      </c>
      <c r="N339" t="str">
        <f t="shared" si="41"/>
        <v>39.4556456722059</v>
      </c>
      <c r="O339" t="str">
        <f t="shared" si="42"/>
        <v>85.19</v>
      </c>
      <c r="P339" t="str">
        <f t="shared" si="43"/>
        <v>68.6972964648834</v>
      </c>
      <c r="Q339" t="str">
        <f t="shared" si="44"/>
        <v>16.0951284115552</v>
      </c>
      <c r="R339" t="str">
        <f t="shared" si="45"/>
        <v>4.29</v>
      </c>
      <c r="S339" t="str">
        <f t="shared" si="46"/>
        <v>0</v>
      </c>
      <c r="T339" t="str">
        <f t="shared" si="47"/>
        <v>0.675628475237904</v>
      </c>
      <c r="U339" t="str">
        <f t="shared" si="48"/>
        <v>5.06</v>
      </c>
    </row>
    <row r="340" spans="1:21" x14ac:dyDescent="0.25">
      <c r="A340" t="s">
        <v>40</v>
      </c>
      <c r="B340" s="1" t="s">
        <v>22</v>
      </c>
      <c r="C340">
        <v>6.6291575690422739</v>
      </c>
      <c r="D340" s="20">
        <v>78.36</v>
      </c>
      <c r="E340">
        <v>67.542709915251933</v>
      </c>
      <c r="F340">
        <v>16.176264931478123</v>
      </c>
      <c r="G340" s="20">
        <v>3.78</v>
      </c>
      <c r="H340" s="20">
        <v>0</v>
      </c>
      <c r="I340">
        <v>0.69989246822169149</v>
      </c>
      <c r="J340">
        <v>6.01</v>
      </c>
      <c r="L340" t="s">
        <v>40</v>
      </c>
      <c r="M340" s="1" t="s">
        <v>22</v>
      </c>
      <c r="N340" t="str">
        <f t="shared" si="41"/>
        <v>6.62915756904227</v>
      </c>
      <c r="O340" t="str">
        <f t="shared" si="42"/>
        <v>78.36</v>
      </c>
      <c r="P340" t="str">
        <f t="shared" si="43"/>
        <v>67.5427099152519</v>
      </c>
      <c r="Q340" t="str">
        <f t="shared" si="44"/>
        <v>16.1762649314781</v>
      </c>
      <c r="R340" t="str">
        <f t="shared" si="45"/>
        <v>3.78</v>
      </c>
      <c r="S340" t="str">
        <f t="shared" si="46"/>
        <v>0</v>
      </c>
      <c r="T340" t="str">
        <f t="shared" si="47"/>
        <v>0.699892468221691</v>
      </c>
      <c r="U340" t="str">
        <f t="shared" si="48"/>
        <v>6.01</v>
      </c>
    </row>
    <row r="341" spans="1:21" x14ac:dyDescent="0.25">
      <c r="A341" t="s">
        <v>40</v>
      </c>
      <c r="B341" s="1" t="s">
        <v>23</v>
      </c>
      <c r="C341">
        <v>0.6529573194666044</v>
      </c>
      <c r="D341" s="19">
        <v>79.53</v>
      </c>
      <c r="E341">
        <v>65.155861005324553</v>
      </c>
      <c r="F341">
        <v>16.218751155389668</v>
      </c>
      <c r="G341" s="20">
        <v>3.55</v>
      </c>
      <c r="H341" s="20">
        <v>0.01</v>
      </c>
      <c r="I341">
        <v>0.72834053934476695</v>
      </c>
      <c r="J341">
        <v>6.7</v>
      </c>
      <c r="L341" t="s">
        <v>40</v>
      </c>
      <c r="M341" s="1" t="s">
        <v>23</v>
      </c>
      <c r="N341" t="str">
        <f t="shared" si="41"/>
        <v>0.652957319466604</v>
      </c>
      <c r="O341" t="str">
        <f t="shared" si="42"/>
        <v>79.53</v>
      </c>
      <c r="P341" t="str">
        <f t="shared" si="43"/>
        <v>65.1558610053246</v>
      </c>
      <c r="Q341" t="str">
        <f t="shared" si="44"/>
        <v>16.2187511553897</v>
      </c>
      <c r="R341" t="str">
        <f t="shared" si="45"/>
        <v>3.55</v>
      </c>
      <c r="S341" t="str">
        <f t="shared" si="46"/>
        <v>0.01</v>
      </c>
      <c r="T341" t="str">
        <f t="shared" si="47"/>
        <v>0.728340539344767</v>
      </c>
      <c r="U341" t="str">
        <f t="shared" si="48"/>
        <v>6.7</v>
      </c>
    </row>
    <row r="342" spans="1:21" x14ac:dyDescent="0.25">
      <c r="A342" t="s">
        <v>41</v>
      </c>
      <c r="B342" s="1" t="s">
        <v>4</v>
      </c>
      <c r="C342">
        <v>13.885242645827489</v>
      </c>
      <c r="D342" s="16">
        <v>25.53</v>
      </c>
      <c r="E342">
        <v>70.312212483473203</v>
      </c>
      <c r="F342">
        <v>16.693979591994463</v>
      </c>
      <c r="G342" s="17">
        <v>2.13</v>
      </c>
      <c r="H342" s="17">
        <v>2.2400000000000002</v>
      </c>
      <c r="I342">
        <v>2.8389835387313807</v>
      </c>
      <c r="J342" s="16">
        <v>3.47</v>
      </c>
      <c r="L342" t="s">
        <v>41</v>
      </c>
      <c r="M342" s="1" t="s">
        <v>4</v>
      </c>
      <c r="N342" t="str">
        <f t="shared" si="41"/>
        <v>13.8852426458275</v>
      </c>
      <c r="O342" t="str">
        <f t="shared" si="42"/>
        <v>25.53</v>
      </c>
      <c r="P342" t="str">
        <f t="shared" si="43"/>
        <v>70.3122124834732</v>
      </c>
      <c r="Q342" t="str">
        <f t="shared" si="44"/>
        <v>16.6939795919945</v>
      </c>
      <c r="R342" t="str">
        <f t="shared" si="45"/>
        <v>2.13</v>
      </c>
      <c r="S342" t="str">
        <f t="shared" si="46"/>
        <v>2.24</v>
      </c>
      <c r="T342" t="str">
        <f t="shared" si="47"/>
        <v>2.83898353873138</v>
      </c>
      <c r="U342" t="str">
        <f t="shared" si="48"/>
        <v>3.47</v>
      </c>
    </row>
    <row r="343" spans="1:21" x14ac:dyDescent="0.25">
      <c r="A343" t="s">
        <v>41</v>
      </c>
      <c r="B343" s="1" t="s">
        <v>5</v>
      </c>
      <c r="C343">
        <v>5.2516829718557982</v>
      </c>
      <c r="D343" s="16">
        <v>24.11</v>
      </c>
      <c r="E343">
        <v>70.1201502182697</v>
      </c>
      <c r="F343">
        <v>16.74789916958537</v>
      </c>
      <c r="G343" s="17">
        <v>1.98</v>
      </c>
      <c r="H343" s="17">
        <v>2.2000000000000002</v>
      </c>
      <c r="I343">
        <v>2.8686387180913644</v>
      </c>
      <c r="J343" s="16">
        <v>3.55</v>
      </c>
      <c r="L343" t="s">
        <v>41</v>
      </c>
      <c r="M343" s="1" t="s">
        <v>5</v>
      </c>
      <c r="N343" t="str">
        <f t="shared" si="41"/>
        <v>5.2516829718558</v>
      </c>
      <c r="O343" t="str">
        <f t="shared" si="42"/>
        <v>24.11</v>
      </c>
      <c r="P343" t="str">
        <f t="shared" si="43"/>
        <v>70.1201502182697</v>
      </c>
      <c r="Q343" t="str">
        <f t="shared" si="44"/>
        <v>16.7478991695854</v>
      </c>
      <c r="R343" t="str">
        <f t="shared" si="45"/>
        <v>1.98</v>
      </c>
      <c r="S343" t="str">
        <f t="shared" si="46"/>
        <v>2.2</v>
      </c>
      <c r="T343" t="str">
        <f t="shared" si="47"/>
        <v>2.86863871809136</v>
      </c>
      <c r="U343" t="str">
        <f t="shared" si="48"/>
        <v>3.55</v>
      </c>
    </row>
    <row r="344" spans="1:21" x14ac:dyDescent="0.25">
      <c r="A344" t="s">
        <v>41</v>
      </c>
      <c r="B344" s="1" t="s">
        <v>6</v>
      </c>
      <c r="C344">
        <v>3.7875685231766902</v>
      </c>
      <c r="D344" s="17">
        <v>31.9</v>
      </c>
      <c r="E344">
        <v>65.34931146230187</v>
      </c>
      <c r="F344">
        <v>16.855538481904226</v>
      </c>
      <c r="G344" s="17">
        <v>1.65</v>
      </c>
      <c r="H344" s="17">
        <v>2.96</v>
      </c>
      <c r="I344">
        <v>2.8993367937815577</v>
      </c>
      <c r="J344" s="16">
        <v>3.55</v>
      </c>
      <c r="L344" t="s">
        <v>41</v>
      </c>
      <c r="M344" s="1" t="s">
        <v>6</v>
      </c>
      <c r="N344" t="str">
        <f t="shared" si="41"/>
        <v>3.78756852317669</v>
      </c>
      <c r="O344" t="str">
        <f t="shared" si="42"/>
        <v>31.9</v>
      </c>
      <c r="P344" t="str">
        <f t="shared" si="43"/>
        <v>65.3493114623019</v>
      </c>
      <c r="Q344" t="str">
        <f t="shared" si="44"/>
        <v>16.8555384819042</v>
      </c>
      <c r="R344" t="str">
        <f t="shared" si="45"/>
        <v>1.65</v>
      </c>
      <c r="S344" t="str">
        <f t="shared" si="46"/>
        <v>2.96</v>
      </c>
      <c r="T344" t="str">
        <f t="shared" si="47"/>
        <v>2.89933679378156</v>
      </c>
      <c r="U344" t="str">
        <f t="shared" si="48"/>
        <v>3.55</v>
      </c>
    </row>
    <row r="345" spans="1:21" x14ac:dyDescent="0.25">
      <c r="A345" t="s">
        <v>41</v>
      </c>
      <c r="B345" s="1" t="s">
        <v>7</v>
      </c>
      <c r="C345">
        <v>14.705353183698739</v>
      </c>
      <c r="D345" s="17">
        <v>28.34</v>
      </c>
      <c r="E345">
        <v>67.217350712378149</v>
      </c>
      <c r="F345">
        <v>16.9645504846698</v>
      </c>
      <c r="G345" s="17">
        <v>1.54</v>
      </c>
      <c r="H345" s="17">
        <v>2.86</v>
      </c>
      <c r="I345">
        <v>2.878679319643016</v>
      </c>
      <c r="J345" s="16">
        <v>3.5</v>
      </c>
      <c r="L345" t="s">
        <v>41</v>
      </c>
      <c r="M345" s="1" t="s">
        <v>7</v>
      </c>
      <c r="N345" t="str">
        <f t="shared" si="41"/>
        <v>14.7053531836987</v>
      </c>
      <c r="O345" t="str">
        <f t="shared" si="42"/>
        <v>28.34</v>
      </c>
      <c r="P345" t="str">
        <f t="shared" si="43"/>
        <v>67.2173507123781</v>
      </c>
      <c r="Q345" t="str">
        <f t="shared" si="44"/>
        <v>16.9645504846698</v>
      </c>
      <c r="R345" t="str">
        <f t="shared" si="45"/>
        <v>1.54</v>
      </c>
      <c r="S345" t="str">
        <f t="shared" si="46"/>
        <v>2.86</v>
      </c>
      <c r="T345" t="str">
        <f t="shared" si="47"/>
        <v>2.87867931964302</v>
      </c>
      <c r="U345" t="str">
        <f t="shared" si="48"/>
        <v>3.5</v>
      </c>
    </row>
    <row r="346" spans="1:21" x14ac:dyDescent="0.25">
      <c r="A346" t="s">
        <v>41</v>
      </c>
      <c r="B346" s="1" t="s">
        <v>8</v>
      </c>
      <c r="C346">
        <v>4.072783117067428</v>
      </c>
      <c r="D346" s="16">
        <v>28.05</v>
      </c>
      <c r="E346">
        <v>70.980283983441979</v>
      </c>
      <c r="F346">
        <v>16.950000051938012</v>
      </c>
      <c r="G346" s="17">
        <v>1.46</v>
      </c>
      <c r="H346" s="17">
        <v>2.87</v>
      </c>
      <c r="I346">
        <v>2.8761662758105597</v>
      </c>
      <c r="J346" s="16">
        <v>3.06</v>
      </c>
      <c r="L346" t="s">
        <v>41</v>
      </c>
      <c r="M346" s="1" t="s">
        <v>8</v>
      </c>
      <c r="N346" t="str">
        <f t="shared" si="41"/>
        <v>4.07278311706743</v>
      </c>
      <c r="O346" t="str">
        <f t="shared" si="42"/>
        <v>28.05</v>
      </c>
      <c r="P346" t="str">
        <f t="shared" si="43"/>
        <v>70.980283983442</v>
      </c>
      <c r="Q346" t="str">
        <f t="shared" si="44"/>
        <v>16.950000051938</v>
      </c>
      <c r="R346" t="str">
        <f t="shared" si="45"/>
        <v>1.46</v>
      </c>
      <c r="S346" t="str">
        <f t="shared" si="46"/>
        <v>2.87</v>
      </c>
      <c r="T346" t="str">
        <f t="shared" si="47"/>
        <v>2.87616627581056</v>
      </c>
      <c r="U346" t="str">
        <f t="shared" si="48"/>
        <v>3.06</v>
      </c>
    </row>
    <row r="347" spans="1:21" x14ac:dyDescent="0.25">
      <c r="A347" t="s">
        <v>41</v>
      </c>
      <c r="B347" s="1" t="s">
        <v>9</v>
      </c>
      <c r="C347">
        <v>7.797114869387717</v>
      </c>
      <c r="D347" s="17">
        <v>25.41</v>
      </c>
      <c r="E347">
        <v>70.838039897697541</v>
      </c>
      <c r="F347">
        <v>17.027086765332498</v>
      </c>
      <c r="G347" s="17">
        <v>2.64</v>
      </c>
      <c r="H347" s="17">
        <v>4.45</v>
      </c>
      <c r="I347">
        <v>3.1429052800376409</v>
      </c>
      <c r="J347" s="16">
        <v>3.06</v>
      </c>
      <c r="L347" t="s">
        <v>41</v>
      </c>
      <c r="M347" s="1" t="s">
        <v>9</v>
      </c>
      <c r="N347" t="str">
        <f t="shared" si="41"/>
        <v>7.79711486938772</v>
      </c>
      <c r="O347" t="str">
        <f t="shared" si="42"/>
        <v>25.41</v>
      </c>
      <c r="P347" t="str">
        <f t="shared" si="43"/>
        <v>70.8380398976975</v>
      </c>
      <c r="Q347" t="str">
        <f t="shared" si="44"/>
        <v>17.0270867653325</v>
      </c>
      <c r="R347" t="str">
        <f t="shared" si="45"/>
        <v>2.64</v>
      </c>
      <c r="S347" t="str">
        <f t="shared" si="46"/>
        <v>4.45</v>
      </c>
      <c r="T347" t="str">
        <f t="shared" si="47"/>
        <v>3.14290528003764</v>
      </c>
      <c r="U347" t="str">
        <f t="shared" si="48"/>
        <v>3.06</v>
      </c>
    </row>
    <row r="348" spans="1:21" x14ac:dyDescent="0.25">
      <c r="A348" t="s">
        <v>41</v>
      </c>
      <c r="B348" s="1" t="s">
        <v>10</v>
      </c>
      <c r="C348">
        <v>4.6034266651832221</v>
      </c>
      <c r="D348" s="17">
        <v>24.4</v>
      </c>
      <c r="E348">
        <v>73.783911067187645</v>
      </c>
      <c r="F348">
        <v>17.031348332627811</v>
      </c>
      <c r="G348" s="17">
        <v>0.14000000000000001</v>
      </c>
      <c r="H348" s="17">
        <v>7.51</v>
      </c>
      <c r="I348">
        <v>4.0548943304747365</v>
      </c>
      <c r="J348" s="16">
        <v>3.06</v>
      </c>
      <c r="L348" t="s">
        <v>41</v>
      </c>
      <c r="M348" s="1" t="s">
        <v>10</v>
      </c>
      <c r="N348" t="str">
        <f t="shared" si="41"/>
        <v>4.60342666518322</v>
      </c>
      <c r="O348" t="str">
        <f t="shared" si="42"/>
        <v>24.4</v>
      </c>
      <c r="P348" t="str">
        <f t="shared" si="43"/>
        <v>73.7839110671876</v>
      </c>
      <c r="Q348" t="str">
        <f t="shared" si="44"/>
        <v>17.0313483326278</v>
      </c>
      <c r="R348" t="str">
        <f t="shared" si="45"/>
        <v>0.14</v>
      </c>
      <c r="S348" t="str">
        <f t="shared" si="46"/>
        <v>7.51</v>
      </c>
      <c r="T348" t="str">
        <f t="shared" si="47"/>
        <v>4.05489433047474</v>
      </c>
      <c r="U348" t="str">
        <f t="shared" si="48"/>
        <v>3.06</v>
      </c>
    </row>
    <row r="349" spans="1:21" x14ac:dyDescent="0.25">
      <c r="A349" t="s">
        <v>41</v>
      </c>
      <c r="B349" s="1" t="s">
        <v>11</v>
      </c>
      <c r="C349">
        <v>5.3084327300732577</v>
      </c>
      <c r="D349" s="17">
        <v>24.28</v>
      </c>
      <c r="E349">
        <v>71.546845319458015</v>
      </c>
      <c r="F349">
        <v>17.113859931642754</v>
      </c>
      <c r="G349" s="17">
        <v>0.31</v>
      </c>
      <c r="H349" s="17">
        <v>7.66</v>
      </c>
      <c r="I349">
        <v>4.3050162796143496</v>
      </c>
      <c r="J349" s="16">
        <v>3.01</v>
      </c>
      <c r="L349" t="s">
        <v>41</v>
      </c>
      <c r="M349" s="1" t="s">
        <v>11</v>
      </c>
      <c r="N349" t="str">
        <f t="shared" si="41"/>
        <v>5.30843273007326</v>
      </c>
      <c r="O349" t="str">
        <f t="shared" si="42"/>
        <v>24.28</v>
      </c>
      <c r="P349" t="str">
        <f t="shared" si="43"/>
        <v>71.546845319458</v>
      </c>
      <c r="Q349" t="str">
        <f t="shared" si="44"/>
        <v>17.1138599316428</v>
      </c>
      <c r="R349" t="str">
        <f t="shared" si="45"/>
        <v>0.31</v>
      </c>
      <c r="S349" t="str">
        <f t="shared" si="46"/>
        <v>7.66</v>
      </c>
      <c r="T349" t="str">
        <f t="shared" si="47"/>
        <v>4.30501627961435</v>
      </c>
      <c r="U349" t="str">
        <f t="shared" si="48"/>
        <v>3.01</v>
      </c>
    </row>
    <row r="350" spans="1:21" x14ac:dyDescent="0.25">
      <c r="A350" t="s">
        <v>41</v>
      </c>
      <c r="B350" s="1" t="s">
        <v>12</v>
      </c>
      <c r="C350">
        <v>-2.3341747458012643</v>
      </c>
      <c r="D350" s="17">
        <v>22.39</v>
      </c>
      <c r="E350">
        <v>71.102663640945096</v>
      </c>
      <c r="F350">
        <v>17.096469065866721</v>
      </c>
      <c r="G350" s="17">
        <v>0.34</v>
      </c>
      <c r="H350" s="17">
        <v>8.34</v>
      </c>
      <c r="I350">
        <v>6.505042797732477</v>
      </c>
      <c r="J350" s="16">
        <v>2.95</v>
      </c>
      <c r="L350" t="s">
        <v>41</v>
      </c>
      <c r="M350" s="1" t="s">
        <v>12</v>
      </c>
      <c r="N350" t="str">
        <f t="shared" si="41"/>
        <v>-2.33417474580126</v>
      </c>
      <c r="O350" t="str">
        <f t="shared" si="42"/>
        <v>22.39</v>
      </c>
      <c r="P350" t="str">
        <f t="shared" si="43"/>
        <v>71.1026636409451</v>
      </c>
      <c r="Q350" t="str">
        <f t="shared" si="44"/>
        <v>17.0964690658667</v>
      </c>
      <c r="R350" t="str">
        <f t="shared" si="45"/>
        <v>0.34</v>
      </c>
      <c r="S350" t="str">
        <f t="shared" si="46"/>
        <v>8.34</v>
      </c>
      <c r="T350" t="str">
        <f t="shared" si="47"/>
        <v>6.50504279773248</v>
      </c>
      <c r="U350" t="str">
        <f t="shared" si="48"/>
        <v>2.95</v>
      </c>
    </row>
    <row r="351" spans="1:21" x14ac:dyDescent="0.25">
      <c r="A351" t="s">
        <v>41</v>
      </c>
      <c r="B351" s="1" t="s">
        <v>13</v>
      </c>
      <c r="C351">
        <v>1.4757904417119769</v>
      </c>
      <c r="D351" s="16">
        <v>23.21</v>
      </c>
      <c r="E351">
        <v>73.303066480050688</v>
      </c>
      <c r="F351">
        <v>17.080641488836456</v>
      </c>
      <c r="G351" s="17">
        <v>0.24</v>
      </c>
      <c r="H351" s="17">
        <v>8.33</v>
      </c>
      <c r="I351">
        <v>6.7033731549651838</v>
      </c>
      <c r="J351" s="16">
        <v>2.5499999999999998</v>
      </c>
      <c r="L351" t="s">
        <v>41</v>
      </c>
      <c r="M351" s="1" t="s">
        <v>13</v>
      </c>
      <c r="N351" t="str">
        <f t="shared" si="41"/>
        <v>1.47579044171198</v>
      </c>
      <c r="O351" t="str">
        <f t="shared" si="42"/>
        <v>23.21</v>
      </c>
      <c r="P351" t="str">
        <f t="shared" si="43"/>
        <v>73.3030664800507</v>
      </c>
      <c r="Q351" t="str">
        <f t="shared" si="44"/>
        <v>17.0806414888365</v>
      </c>
      <c r="R351" t="str">
        <f t="shared" si="45"/>
        <v>0.24</v>
      </c>
      <c r="S351" t="str">
        <f t="shared" si="46"/>
        <v>8.33</v>
      </c>
      <c r="T351" t="str">
        <f t="shared" si="47"/>
        <v>6.70337315496518</v>
      </c>
      <c r="U351" t="str">
        <f t="shared" si="48"/>
        <v>2.55</v>
      </c>
    </row>
    <row r="352" spans="1:21" x14ac:dyDescent="0.25">
      <c r="A352" t="s">
        <v>41</v>
      </c>
      <c r="B352" s="1" t="s">
        <v>14</v>
      </c>
      <c r="C352">
        <v>3.8048412321421754</v>
      </c>
      <c r="D352" s="17">
        <v>22.6</v>
      </c>
      <c r="E352">
        <v>71.321082984644121</v>
      </c>
      <c r="F352">
        <v>17.145394377418611</v>
      </c>
      <c r="G352" s="17">
        <v>0.2</v>
      </c>
      <c r="H352" s="17">
        <v>7.24</v>
      </c>
      <c r="I352">
        <v>5.9503966474353822</v>
      </c>
      <c r="J352" s="16">
        <v>2.39</v>
      </c>
      <c r="L352" t="s">
        <v>41</v>
      </c>
      <c r="M352" s="1" t="s">
        <v>14</v>
      </c>
      <c r="N352" t="str">
        <f t="shared" si="41"/>
        <v>3.80484123214218</v>
      </c>
      <c r="O352" t="str">
        <f t="shared" si="42"/>
        <v>22.6</v>
      </c>
      <c r="P352" t="str">
        <f t="shared" si="43"/>
        <v>71.3210829846441</v>
      </c>
      <c r="Q352" t="str">
        <f t="shared" si="44"/>
        <v>17.1453943774186</v>
      </c>
      <c r="R352" t="str">
        <f t="shared" si="45"/>
        <v>0.2</v>
      </c>
      <c r="S352" t="str">
        <f t="shared" si="46"/>
        <v>7.24</v>
      </c>
      <c r="T352" t="str">
        <f t="shared" si="47"/>
        <v>5.95039664743538</v>
      </c>
      <c r="U352" t="str">
        <f t="shared" si="48"/>
        <v>2.39</v>
      </c>
    </row>
    <row r="353" spans="1:21" x14ac:dyDescent="0.25">
      <c r="A353" t="s">
        <v>41</v>
      </c>
      <c r="B353" s="1" t="s">
        <v>15</v>
      </c>
      <c r="C353">
        <v>-2.1666702721037594</v>
      </c>
      <c r="D353" s="17">
        <v>24.33</v>
      </c>
      <c r="E353">
        <v>69.575554839443825</v>
      </c>
      <c r="F353">
        <v>17.148268200847657</v>
      </c>
      <c r="G353" s="17">
        <v>0.24</v>
      </c>
      <c r="H353" s="17">
        <v>4.97</v>
      </c>
      <c r="I353">
        <v>5.1629817749228986</v>
      </c>
      <c r="J353" s="16">
        <v>2.4</v>
      </c>
      <c r="L353" t="s">
        <v>41</v>
      </c>
      <c r="M353" s="1" t="s">
        <v>15</v>
      </c>
      <c r="N353" t="str">
        <f t="shared" si="41"/>
        <v>-2.16667027210376</v>
      </c>
      <c r="O353" t="str">
        <f t="shared" si="42"/>
        <v>24.33</v>
      </c>
      <c r="P353" t="str">
        <f t="shared" si="43"/>
        <v>69.5755548394438</v>
      </c>
      <c r="Q353" t="str">
        <f t="shared" si="44"/>
        <v>17.1482682008477</v>
      </c>
      <c r="R353" t="str">
        <f t="shared" si="45"/>
        <v>0.24</v>
      </c>
      <c r="S353" t="str">
        <f t="shared" si="46"/>
        <v>4.97</v>
      </c>
      <c r="T353" t="str">
        <f t="shared" si="47"/>
        <v>5.1629817749229</v>
      </c>
      <c r="U353" t="str">
        <f t="shared" si="48"/>
        <v>2.4</v>
      </c>
    </row>
    <row r="354" spans="1:21" x14ac:dyDescent="0.25">
      <c r="A354" t="s">
        <v>41</v>
      </c>
      <c r="B354" s="1" t="s">
        <v>16</v>
      </c>
      <c r="C354">
        <v>-5.1474625350157659</v>
      </c>
      <c r="D354" s="17">
        <v>24.1</v>
      </c>
      <c r="E354">
        <v>74.225024190205218</v>
      </c>
      <c r="F354">
        <v>17.030733398803317</v>
      </c>
      <c r="G354" s="17">
        <v>0.47</v>
      </c>
      <c r="H354" s="17">
        <v>4.76</v>
      </c>
      <c r="I354">
        <v>5.5764326914204503</v>
      </c>
      <c r="J354" s="16">
        <v>3.39</v>
      </c>
      <c r="L354" t="s">
        <v>41</v>
      </c>
      <c r="M354" s="1" t="s">
        <v>16</v>
      </c>
      <c r="N354" t="str">
        <f t="shared" si="41"/>
        <v>-5.14746253501577</v>
      </c>
      <c r="O354" t="str">
        <f t="shared" si="42"/>
        <v>24.1</v>
      </c>
      <c r="P354" t="str">
        <f t="shared" si="43"/>
        <v>74.2250241902052</v>
      </c>
      <c r="Q354" t="str">
        <f t="shared" si="44"/>
        <v>17.0307333988033</v>
      </c>
      <c r="R354" t="str">
        <f t="shared" si="45"/>
        <v>0.47</v>
      </c>
      <c r="S354" t="str">
        <f t="shared" si="46"/>
        <v>4.76</v>
      </c>
      <c r="T354" t="str">
        <f t="shared" si="47"/>
        <v>5.57643269142045</v>
      </c>
      <c r="U354" t="str">
        <f t="shared" si="48"/>
        <v>3.39</v>
      </c>
    </row>
    <row r="355" spans="1:21" x14ac:dyDescent="0.25">
      <c r="A355" t="s">
        <v>41</v>
      </c>
      <c r="B355" s="1" t="s">
        <v>17</v>
      </c>
      <c r="C355">
        <v>-0.64425126107480102</v>
      </c>
      <c r="D355" s="17">
        <v>24.9</v>
      </c>
      <c r="E355">
        <v>72.310892717559881</v>
      </c>
      <c r="F355">
        <v>17.050396612383995</v>
      </c>
      <c r="G355" s="17">
        <v>0.33</v>
      </c>
      <c r="H355" s="17">
        <v>4.59</v>
      </c>
      <c r="I355">
        <v>5.8969548459207966</v>
      </c>
      <c r="J355" s="16">
        <v>3.48</v>
      </c>
      <c r="L355" t="s">
        <v>41</v>
      </c>
      <c r="M355" s="1" t="s">
        <v>17</v>
      </c>
      <c r="N355" t="str">
        <f t="shared" si="41"/>
        <v>-0.644251261074801</v>
      </c>
      <c r="O355" t="str">
        <f t="shared" si="42"/>
        <v>24.9</v>
      </c>
      <c r="P355" t="str">
        <f t="shared" si="43"/>
        <v>72.3108927175599</v>
      </c>
      <c r="Q355" t="str">
        <f t="shared" si="44"/>
        <v>17.050396612384</v>
      </c>
      <c r="R355" t="str">
        <f t="shared" si="45"/>
        <v>0.33</v>
      </c>
      <c r="S355" t="str">
        <f t="shared" si="46"/>
        <v>4.59</v>
      </c>
      <c r="T355" t="str">
        <f t="shared" si="47"/>
        <v>5.8969548459208</v>
      </c>
      <c r="U355" t="str">
        <f t="shared" si="48"/>
        <v>3.48</v>
      </c>
    </row>
    <row r="356" spans="1:21" x14ac:dyDescent="0.25">
      <c r="A356" t="s">
        <v>41</v>
      </c>
      <c r="B356" s="1" t="s">
        <v>18</v>
      </c>
      <c r="C356">
        <v>-22.040181755815532</v>
      </c>
      <c r="D356" s="17">
        <v>17.47</v>
      </c>
      <c r="E356">
        <v>69.739983019863757</v>
      </c>
      <c r="F356">
        <v>16.837620949674996</v>
      </c>
      <c r="G356" s="16">
        <v>-10.36</v>
      </c>
      <c r="H356" s="17">
        <v>4.6100000000000003</v>
      </c>
      <c r="I356">
        <v>7.7356147492733296</v>
      </c>
      <c r="J356" s="16">
        <v>3.62</v>
      </c>
      <c r="L356" t="s">
        <v>41</v>
      </c>
      <c r="M356" s="1" t="s">
        <v>18</v>
      </c>
      <c r="N356" t="str">
        <f t="shared" si="41"/>
        <v>-22.0401817558155</v>
      </c>
      <c r="O356" t="str">
        <f t="shared" si="42"/>
        <v>17.47</v>
      </c>
      <c r="P356" t="str">
        <f t="shared" si="43"/>
        <v>69.7399830198638</v>
      </c>
      <c r="Q356" t="str">
        <f t="shared" si="44"/>
        <v>16.837620949675</v>
      </c>
      <c r="R356" t="str">
        <f t="shared" si="45"/>
        <v>-10.36</v>
      </c>
      <c r="S356" t="str">
        <f t="shared" si="46"/>
        <v>4.61</v>
      </c>
      <c r="T356" t="str">
        <f t="shared" si="47"/>
        <v>7.73561474927333</v>
      </c>
      <c r="U356" t="str">
        <f t="shared" si="48"/>
        <v>3.62</v>
      </c>
    </row>
    <row r="357" spans="1:21" x14ac:dyDescent="0.25">
      <c r="A357" t="s">
        <v>41</v>
      </c>
      <c r="B357" s="1" t="s">
        <v>19</v>
      </c>
      <c r="C357">
        <v>-18.9408716571558</v>
      </c>
      <c r="D357" s="17">
        <v>20.239999999999998</v>
      </c>
      <c r="E357">
        <v>68.824659356288194</v>
      </c>
      <c r="F357">
        <v>16.640841327766747</v>
      </c>
      <c r="G357" s="17">
        <v>-14.75</v>
      </c>
      <c r="H357" s="17">
        <v>3.98</v>
      </c>
      <c r="I357">
        <v>16.155661362744176</v>
      </c>
      <c r="J357" s="16">
        <v>3.87</v>
      </c>
      <c r="L357" t="s">
        <v>41</v>
      </c>
      <c r="M357" s="1" t="s">
        <v>19</v>
      </c>
      <c r="N357" t="str">
        <f t="shared" si="41"/>
        <v>-18.9408716571558</v>
      </c>
      <c r="O357" t="str">
        <f t="shared" si="42"/>
        <v>20.24</v>
      </c>
      <c r="P357" t="str">
        <f t="shared" si="43"/>
        <v>68.8246593562882</v>
      </c>
      <c r="Q357" t="str">
        <f t="shared" si="44"/>
        <v>16.6408413277667</v>
      </c>
      <c r="R357" t="str">
        <f t="shared" si="45"/>
        <v>-14.75</v>
      </c>
      <c r="S357" t="str">
        <f t="shared" si="46"/>
        <v>3.98</v>
      </c>
      <c r="T357" t="str">
        <f t="shared" si="47"/>
        <v>16.1556613627442</v>
      </c>
      <c r="U357" t="str">
        <f t="shared" si="48"/>
        <v>3.87</v>
      </c>
    </row>
    <row r="358" spans="1:21" x14ac:dyDescent="0.25">
      <c r="A358" t="s">
        <v>41</v>
      </c>
      <c r="B358" s="1" t="s">
        <v>20</v>
      </c>
      <c r="C358">
        <v>-17.928612796658815</v>
      </c>
      <c r="D358" s="17">
        <v>25.87</v>
      </c>
      <c r="E358">
        <v>72.211837732325534</v>
      </c>
      <c r="F358">
        <v>16.395218697589733</v>
      </c>
      <c r="G358" s="17">
        <v>3.45</v>
      </c>
      <c r="H358" s="17">
        <v>1.4</v>
      </c>
      <c r="I358">
        <v>15.790582983411033</v>
      </c>
      <c r="J358" s="16">
        <v>4.8099999999999996</v>
      </c>
      <c r="L358" t="s">
        <v>41</v>
      </c>
      <c r="M358" s="1" t="s">
        <v>20</v>
      </c>
      <c r="N358" t="str">
        <f t="shared" si="41"/>
        <v>-17.9286127966588</v>
      </c>
      <c r="O358" t="str">
        <f t="shared" si="42"/>
        <v>25.87</v>
      </c>
      <c r="P358" t="str">
        <f t="shared" si="43"/>
        <v>72.2118377323255</v>
      </c>
      <c r="Q358" t="str">
        <f t="shared" si="44"/>
        <v>16.3952186975897</v>
      </c>
      <c r="R358" t="str">
        <f t="shared" si="45"/>
        <v>3.45</v>
      </c>
      <c r="S358" t="str">
        <f t="shared" si="46"/>
        <v>1.4</v>
      </c>
      <c r="T358" t="str">
        <f t="shared" si="47"/>
        <v>15.790582983411</v>
      </c>
      <c r="U358" t="str">
        <f t="shared" si="48"/>
        <v>4.81</v>
      </c>
    </row>
    <row r="359" spans="1:21" x14ac:dyDescent="0.25">
      <c r="A359" t="s">
        <v>41</v>
      </c>
      <c r="B359" s="1" t="s">
        <v>21</v>
      </c>
      <c r="C359">
        <v>-2.7261033376840733</v>
      </c>
      <c r="D359" s="17">
        <v>25.14</v>
      </c>
      <c r="E359">
        <v>63.910096329302171</v>
      </c>
      <c r="F359">
        <v>16.489705826993749</v>
      </c>
      <c r="G359" s="17">
        <v>1.58</v>
      </c>
      <c r="H359" s="17">
        <v>3.5</v>
      </c>
      <c r="I359">
        <v>15.999542913672837</v>
      </c>
      <c r="J359" s="16">
        <v>4.76</v>
      </c>
      <c r="L359" t="s">
        <v>41</v>
      </c>
      <c r="M359" s="1" t="s">
        <v>21</v>
      </c>
      <c r="N359" t="str">
        <f t="shared" si="41"/>
        <v>-2.72610333768407</v>
      </c>
      <c r="O359" t="str">
        <f t="shared" si="42"/>
        <v>25.14</v>
      </c>
      <c r="P359" t="str">
        <f t="shared" si="43"/>
        <v>63.9100963293022</v>
      </c>
      <c r="Q359" t="str">
        <f t="shared" si="44"/>
        <v>16.4897058269937</v>
      </c>
      <c r="R359" t="str">
        <f t="shared" si="45"/>
        <v>1.58</v>
      </c>
      <c r="S359" t="str">
        <f t="shared" si="46"/>
        <v>3.5</v>
      </c>
      <c r="T359" t="str">
        <f t="shared" si="47"/>
        <v>15.9995429136728</v>
      </c>
      <c r="U359" t="str">
        <f t="shared" si="48"/>
        <v>4.76</v>
      </c>
    </row>
    <row r="360" spans="1:21" x14ac:dyDescent="0.25">
      <c r="A360" t="s">
        <v>41</v>
      </c>
      <c r="B360" s="1" t="s">
        <v>22</v>
      </c>
      <c r="C360">
        <v>-9.6357811838406384</v>
      </c>
      <c r="D360" s="17">
        <v>27.33</v>
      </c>
      <c r="E360">
        <v>64.492764672694832</v>
      </c>
      <c r="F360">
        <v>16.379308329528303</v>
      </c>
      <c r="G360" s="17">
        <v>1.06</v>
      </c>
      <c r="H360" s="17">
        <v>2.0499999999999998</v>
      </c>
      <c r="I360">
        <v>17.334582376549513</v>
      </c>
      <c r="J360" s="16">
        <v>4.71</v>
      </c>
      <c r="L360" t="s">
        <v>41</v>
      </c>
      <c r="M360" s="1" t="s">
        <v>22</v>
      </c>
      <c r="N360" t="str">
        <f t="shared" si="41"/>
        <v>-9.63578118384064</v>
      </c>
      <c r="O360" t="str">
        <f t="shared" si="42"/>
        <v>27.33</v>
      </c>
      <c r="P360" t="str">
        <f t="shared" si="43"/>
        <v>64.4927646726948</v>
      </c>
      <c r="Q360" t="str">
        <f t="shared" si="44"/>
        <v>16.3793083295283</v>
      </c>
      <c r="R360" t="str">
        <f t="shared" si="45"/>
        <v>1.06</v>
      </c>
      <c r="S360" t="str">
        <f t="shared" si="46"/>
        <v>2.05</v>
      </c>
      <c r="T360" t="str">
        <f t="shared" si="47"/>
        <v>17.3345823765495</v>
      </c>
      <c r="U360" t="str">
        <f t="shared" si="48"/>
        <v>4.71</v>
      </c>
    </row>
    <row r="361" spans="1:21" x14ac:dyDescent="0.25">
      <c r="A361" t="s">
        <v>41</v>
      </c>
      <c r="B361" s="1" t="s">
        <v>23</v>
      </c>
      <c r="C361">
        <v>-7.2574187315882552</v>
      </c>
      <c r="D361" s="19">
        <v>43.74</v>
      </c>
      <c r="E361">
        <v>55.880061372315183</v>
      </c>
      <c r="F361">
        <v>16.447311264720884</v>
      </c>
      <c r="G361" s="16">
        <v>0.85</v>
      </c>
      <c r="H361" s="19">
        <v>2.9</v>
      </c>
      <c r="I361">
        <v>17.015586139908049</v>
      </c>
      <c r="J361" s="19">
        <v>4.5599999999999996</v>
      </c>
      <c r="L361" t="s">
        <v>41</v>
      </c>
      <c r="M361" s="1" t="s">
        <v>23</v>
      </c>
      <c r="N361" t="str">
        <f t="shared" si="41"/>
        <v>-7.25741873158826</v>
      </c>
      <c r="O361" t="str">
        <f t="shared" si="42"/>
        <v>43.74</v>
      </c>
      <c r="P361" t="str">
        <f t="shared" si="43"/>
        <v>55.8800613723152</v>
      </c>
      <c r="Q361" t="str">
        <f t="shared" si="44"/>
        <v>16.4473112647209</v>
      </c>
      <c r="R361" t="str">
        <f t="shared" si="45"/>
        <v>0.85</v>
      </c>
      <c r="S361" t="str">
        <f t="shared" si="46"/>
        <v>2.9</v>
      </c>
      <c r="T361" t="str">
        <f t="shared" si="47"/>
        <v>17.015586139908</v>
      </c>
      <c r="U361" t="str">
        <f t="shared" si="48"/>
        <v>4.56</v>
      </c>
    </row>
    <row r="362" spans="1:21" x14ac:dyDescent="0.25">
      <c r="A362" t="s">
        <v>42</v>
      </c>
      <c r="B362" s="1" t="s">
        <v>4</v>
      </c>
      <c r="C362">
        <v>3.2508607645945702</v>
      </c>
      <c r="D362" s="17">
        <v>15.58</v>
      </c>
      <c r="E362">
        <v>65.292516568531994</v>
      </c>
      <c r="F362">
        <v>16.587310531723741</v>
      </c>
      <c r="G362" s="17">
        <v>0.46</v>
      </c>
      <c r="H362" s="17">
        <v>3.1</v>
      </c>
      <c r="I362">
        <v>1.072704814052045</v>
      </c>
      <c r="J362" s="16">
        <v>4.24</v>
      </c>
      <c r="L362" t="s">
        <v>42</v>
      </c>
      <c r="M362" s="1" t="s">
        <v>4</v>
      </c>
      <c r="N362" t="str">
        <f t="shared" si="41"/>
        <v>3.25086076459457</v>
      </c>
      <c r="O362" t="str">
        <f t="shared" si="42"/>
        <v>15.58</v>
      </c>
      <c r="P362" t="str">
        <f t="shared" si="43"/>
        <v>65.292516568532</v>
      </c>
      <c r="Q362" t="str">
        <f t="shared" si="44"/>
        <v>16.5873105317237</v>
      </c>
      <c r="R362" t="str">
        <f t="shared" si="45"/>
        <v>0.46</v>
      </c>
      <c r="S362" t="str">
        <f t="shared" si="46"/>
        <v>3.1</v>
      </c>
      <c r="T362" t="str">
        <f t="shared" si="47"/>
        <v>1.07270481405204</v>
      </c>
      <c r="U362" t="str">
        <f t="shared" si="48"/>
        <v>4.24</v>
      </c>
    </row>
    <row r="363" spans="1:21" x14ac:dyDescent="0.25">
      <c r="A363" t="s">
        <v>42</v>
      </c>
      <c r="B363" s="1" t="s">
        <v>5</v>
      </c>
      <c r="C363">
        <v>4.176703964893262</v>
      </c>
      <c r="D363" s="17">
        <v>15.73</v>
      </c>
      <c r="E363">
        <v>69.666540161989204</v>
      </c>
      <c r="F363">
        <v>16.563386161153428</v>
      </c>
      <c r="G363" s="17">
        <v>0.66</v>
      </c>
      <c r="H363" s="17">
        <v>3.22</v>
      </c>
      <c r="I363">
        <v>1.1121191728874582</v>
      </c>
      <c r="J363" s="16">
        <v>4.37</v>
      </c>
      <c r="L363" t="s">
        <v>42</v>
      </c>
      <c r="M363" s="1" t="s">
        <v>5</v>
      </c>
      <c r="N363" t="str">
        <f t="shared" si="41"/>
        <v>4.17670396489326</v>
      </c>
      <c r="O363" t="str">
        <f t="shared" si="42"/>
        <v>15.73</v>
      </c>
      <c r="P363" t="str">
        <f t="shared" si="43"/>
        <v>69.6665401619892</v>
      </c>
      <c r="Q363" t="str">
        <f t="shared" si="44"/>
        <v>16.5633861611534</v>
      </c>
      <c r="R363" t="str">
        <f t="shared" si="45"/>
        <v>0.66</v>
      </c>
      <c r="S363" t="str">
        <f t="shared" si="46"/>
        <v>3.22</v>
      </c>
      <c r="T363" t="str">
        <f t="shared" si="47"/>
        <v>1.11211917288746</v>
      </c>
      <c r="U363" t="str">
        <f t="shared" si="48"/>
        <v>4.37</v>
      </c>
    </row>
    <row r="364" spans="1:21" x14ac:dyDescent="0.25">
      <c r="A364" t="s">
        <v>42</v>
      </c>
      <c r="B364" s="1" t="s">
        <v>6</v>
      </c>
      <c r="C364">
        <v>1.6281127483481161</v>
      </c>
      <c r="D364" s="17">
        <v>15.94</v>
      </c>
      <c r="E364">
        <v>70.876841175610082</v>
      </c>
      <c r="F364">
        <v>16.562312580255828</v>
      </c>
      <c r="G364" s="17">
        <v>0.76</v>
      </c>
      <c r="H364" s="17">
        <v>3.21</v>
      </c>
      <c r="I364">
        <v>1.1142454977576106</v>
      </c>
      <c r="J364" s="16">
        <v>4.43</v>
      </c>
      <c r="L364" t="s">
        <v>42</v>
      </c>
      <c r="M364" s="1" t="s">
        <v>6</v>
      </c>
      <c r="N364" t="str">
        <f t="shared" si="41"/>
        <v>1.62811274834812</v>
      </c>
      <c r="O364" t="str">
        <f t="shared" si="42"/>
        <v>15.94</v>
      </c>
      <c r="P364" t="str">
        <f t="shared" si="43"/>
        <v>70.8768411756101</v>
      </c>
      <c r="Q364" t="str">
        <f t="shared" si="44"/>
        <v>16.5623125802558</v>
      </c>
      <c r="R364" t="str">
        <f t="shared" si="45"/>
        <v>0.76</v>
      </c>
      <c r="S364" t="str">
        <f t="shared" si="46"/>
        <v>3.21</v>
      </c>
      <c r="T364" t="str">
        <f t="shared" si="47"/>
        <v>1.11424549775761</v>
      </c>
      <c r="U364" t="str">
        <f t="shared" si="48"/>
        <v>4.43</v>
      </c>
    </row>
    <row r="365" spans="1:21" x14ac:dyDescent="0.25">
      <c r="A365" t="s">
        <v>42</v>
      </c>
      <c r="B365" s="1" t="s">
        <v>7</v>
      </c>
      <c r="C365">
        <v>4.5156341106684605</v>
      </c>
      <c r="D365" s="17">
        <v>15.69</v>
      </c>
      <c r="E365">
        <v>72.225556081844744</v>
      </c>
      <c r="F365">
        <v>16.587628857072442</v>
      </c>
      <c r="G365" s="17">
        <v>0.86</v>
      </c>
      <c r="H365" s="17">
        <v>2.54</v>
      </c>
      <c r="I365">
        <v>1.0833585699995862</v>
      </c>
      <c r="J365" s="16">
        <v>4.26</v>
      </c>
      <c r="L365" t="s">
        <v>42</v>
      </c>
      <c r="M365" s="1" t="s">
        <v>7</v>
      </c>
      <c r="N365" t="str">
        <f t="shared" si="41"/>
        <v>4.51563411066846</v>
      </c>
      <c r="O365" t="str">
        <f t="shared" si="42"/>
        <v>15.69</v>
      </c>
      <c r="P365" t="str">
        <f t="shared" si="43"/>
        <v>72.2255560818447</v>
      </c>
      <c r="Q365" t="str">
        <f t="shared" si="44"/>
        <v>16.5876288570724</v>
      </c>
      <c r="R365" t="str">
        <f t="shared" si="45"/>
        <v>0.86</v>
      </c>
      <c r="S365" t="str">
        <f t="shared" si="46"/>
        <v>2.54</v>
      </c>
      <c r="T365" t="str">
        <f t="shared" si="47"/>
        <v>1.08335856999959</v>
      </c>
      <c r="U365" t="str">
        <f t="shared" si="48"/>
        <v>4.26</v>
      </c>
    </row>
    <row r="366" spans="1:21" x14ac:dyDescent="0.25">
      <c r="A366" t="s">
        <v>42</v>
      </c>
      <c r="B366" s="1" t="s">
        <v>8</v>
      </c>
      <c r="C366">
        <v>-1.9572744538967231</v>
      </c>
      <c r="D366" s="17">
        <v>15.17</v>
      </c>
      <c r="E366">
        <v>72.781571594522376</v>
      </c>
      <c r="F366">
        <v>16.560193189606924</v>
      </c>
      <c r="G366" s="17">
        <v>0.4</v>
      </c>
      <c r="H366" s="17">
        <v>2.82</v>
      </c>
      <c r="I366">
        <v>1.1860488198410255</v>
      </c>
      <c r="J366" s="16">
        <v>4.04</v>
      </c>
      <c r="L366" t="s">
        <v>42</v>
      </c>
      <c r="M366" s="1" t="s">
        <v>8</v>
      </c>
      <c r="N366" t="str">
        <f t="shared" si="41"/>
        <v>-1.95727445389672</v>
      </c>
      <c r="O366" t="str">
        <f t="shared" si="42"/>
        <v>15.17</v>
      </c>
      <c r="P366" t="str">
        <f t="shared" si="43"/>
        <v>72.7815715945224</v>
      </c>
      <c r="Q366" t="str">
        <f t="shared" si="44"/>
        <v>16.5601931896069</v>
      </c>
      <c r="R366" t="str">
        <f t="shared" si="45"/>
        <v>0.4</v>
      </c>
      <c r="S366" t="str">
        <f t="shared" si="46"/>
        <v>2.82</v>
      </c>
      <c r="T366" t="str">
        <f t="shared" si="47"/>
        <v>1.18604881984103</v>
      </c>
      <c r="U366" t="str">
        <f t="shared" si="48"/>
        <v>4.04</v>
      </c>
    </row>
    <row r="367" spans="1:21" x14ac:dyDescent="0.25">
      <c r="A367" t="s">
        <v>42</v>
      </c>
      <c r="B367" s="1" t="s">
        <v>9</v>
      </c>
      <c r="C367">
        <v>7.2857473869220355</v>
      </c>
      <c r="D367" s="17">
        <v>17.48</v>
      </c>
      <c r="E367">
        <v>75.080664562412252</v>
      </c>
      <c r="F367">
        <v>16.599418537511092</v>
      </c>
      <c r="G367" s="17">
        <v>0.39</v>
      </c>
      <c r="H367" s="17">
        <v>2.6</v>
      </c>
      <c r="I367">
        <v>1.116393748102827</v>
      </c>
      <c r="J367" s="16">
        <v>3.99</v>
      </c>
      <c r="L367" t="s">
        <v>42</v>
      </c>
      <c r="M367" s="1" t="s">
        <v>9</v>
      </c>
      <c r="N367" t="str">
        <f t="shared" si="41"/>
        <v>7.28574738692204</v>
      </c>
      <c r="O367" t="str">
        <f t="shared" si="42"/>
        <v>17.48</v>
      </c>
      <c r="P367" t="str">
        <f t="shared" si="43"/>
        <v>75.0806645624123</v>
      </c>
      <c r="Q367" t="str">
        <f t="shared" si="44"/>
        <v>16.5994185375111</v>
      </c>
      <c r="R367" t="str">
        <f t="shared" si="45"/>
        <v>0.39</v>
      </c>
      <c r="S367" t="str">
        <f t="shared" si="46"/>
        <v>2.6</v>
      </c>
      <c r="T367" t="str">
        <f t="shared" si="47"/>
        <v>1.11639374810283</v>
      </c>
      <c r="U367" t="str">
        <f t="shared" si="48"/>
        <v>3.99</v>
      </c>
    </row>
    <row r="368" spans="1:21" x14ac:dyDescent="0.25">
      <c r="A368" t="s">
        <v>42</v>
      </c>
      <c r="B368" s="1" t="s">
        <v>10</v>
      </c>
      <c r="C368">
        <v>7.5678438961564005</v>
      </c>
      <c r="D368" s="17">
        <v>16.77</v>
      </c>
      <c r="E368">
        <v>72.210337689137333</v>
      </c>
      <c r="F368">
        <v>16.711349952168334</v>
      </c>
      <c r="G368" s="17">
        <v>0.46</v>
      </c>
      <c r="H368" s="17">
        <v>2.75</v>
      </c>
      <c r="I368">
        <v>1.0390674263299842</v>
      </c>
      <c r="J368" s="16">
        <v>3.78</v>
      </c>
      <c r="L368" t="s">
        <v>42</v>
      </c>
      <c r="M368" s="1" t="s">
        <v>10</v>
      </c>
      <c r="N368" t="str">
        <f t="shared" si="41"/>
        <v>7.5678438961564</v>
      </c>
      <c r="O368" t="str">
        <f t="shared" si="42"/>
        <v>16.77</v>
      </c>
      <c r="P368" t="str">
        <f t="shared" si="43"/>
        <v>72.2103376891373</v>
      </c>
      <c r="Q368" t="str">
        <f t="shared" si="44"/>
        <v>16.7113499521683</v>
      </c>
      <c r="R368" t="str">
        <f t="shared" si="45"/>
        <v>0.46</v>
      </c>
      <c r="S368" t="str">
        <f t="shared" si="46"/>
        <v>2.75</v>
      </c>
      <c r="T368" t="str">
        <f t="shared" si="47"/>
        <v>1.03906742632998</v>
      </c>
      <c r="U368" t="str">
        <f t="shared" si="48"/>
        <v>3.78</v>
      </c>
    </row>
    <row r="369" spans="1:21" x14ac:dyDescent="0.25">
      <c r="A369" t="s">
        <v>42</v>
      </c>
      <c r="B369" s="1" t="s">
        <v>11</v>
      </c>
      <c r="C369">
        <v>6.0393417370086731</v>
      </c>
      <c r="D369" s="17">
        <v>17.38</v>
      </c>
      <c r="E369">
        <v>73.34944312607324</v>
      </c>
      <c r="F369">
        <v>16.754338244285147</v>
      </c>
      <c r="G369" s="17">
        <v>0.71</v>
      </c>
      <c r="H369" s="17">
        <v>2.62</v>
      </c>
      <c r="I369">
        <v>1.0065294638375595</v>
      </c>
      <c r="J369" s="16">
        <v>3.83</v>
      </c>
      <c r="L369" t="s">
        <v>42</v>
      </c>
      <c r="M369" s="1" t="s">
        <v>11</v>
      </c>
      <c r="N369" t="str">
        <f t="shared" si="41"/>
        <v>6.03934173700867</v>
      </c>
      <c r="O369" t="str">
        <f t="shared" si="42"/>
        <v>17.38</v>
      </c>
      <c r="P369" t="str">
        <f t="shared" si="43"/>
        <v>73.3494431260732</v>
      </c>
      <c r="Q369" t="str">
        <f t="shared" si="44"/>
        <v>16.7543382442851</v>
      </c>
      <c r="R369" t="str">
        <f t="shared" si="45"/>
        <v>0.71</v>
      </c>
      <c r="S369" t="str">
        <f t="shared" si="46"/>
        <v>2.62</v>
      </c>
      <c r="T369" t="str">
        <f t="shared" si="47"/>
        <v>1.00652946383756</v>
      </c>
      <c r="U369" t="str">
        <f t="shared" si="48"/>
        <v>3.83</v>
      </c>
    </row>
    <row r="370" spans="1:21" x14ac:dyDescent="0.25">
      <c r="A370" t="s">
        <v>42</v>
      </c>
      <c r="B370" s="1" t="s">
        <v>12</v>
      </c>
      <c r="C370">
        <v>7.315621732129193</v>
      </c>
      <c r="D370" s="17">
        <v>16.39</v>
      </c>
      <c r="E370">
        <v>74.004753703312616</v>
      </c>
      <c r="F370">
        <v>16.816047868814234</v>
      </c>
      <c r="G370" s="17">
        <v>0.92</v>
      </c>
      <c r="H370" s="17">
        <v>2.5499999999999998</v>
      </c>
      <c r="I370">
        <v>1.1331916958580754</v>
      </c>
      <c r="J370" s="16">
        <v>3.45</v>
      </c>
      <c r="L370" t="s">
        <v>42</v>
      </c>
      <c r="M370" s="1" t="s">
        <v>12</v>
      </c>
      <c r="N370" t="str">
        <f t="shared" si="41"/>
        <v>7.31562173212919</v>
      </c>
      <c r="O370" t="str">
        <f t="shared" si="42"/>
        <v>16.39</v>
      </c>
      <c r="P370" t="str">
        <f t="shared" si="43"/>
        <v>74.0047537033126</v>
      </c>
      <c r="Q370" t="str">
        <f t="shared" si="44"/>
        <v>16.8160478688142</v>
      </c>
      <c r="R370" t="str">
        <f t="shared" si="45"/>
        <v>0.92</v>
      </c>
      <c r="S370" t="str">
        <f t="shared" si="46"/>
        <v>2.55</v>
      </c>
      <c r="T370" t="str">
        <f t="shared" si="47"/>
        <v>1.13319169585808</v>
      </c>
      <c r="U370" t="str">
        <f t="shared" si="48"/>
        <v>3.45</v>
      </c>
    </row>
    <row r="371" spans="1:21" x14ac:dyDescent="0.25">
      <c r="A371" t="s">
        <v>42</v>
      </c>
      <c r="B371" s="1" t="s">
        <v>13</v>
      </c>
      <c r="C371">
        <v>-4.4671882334343564</v>
      </c>
      <c r="D371" s="17">
        <v>16.62</v>
      </c>
      <c r="E371">
        <v>74.461843432793657</v>
      </c>
      <c r="F371">
        <v>16.764189954890547</v>
      </c>
      <c r="G371" s="17">
        <v>0.42</v>
      </c>
      <c r="H371" s="17">
        <v>3.01</v>
      </c>
      <c r="I371">
        <v>1.1902347079470745</v>
      </c>
      <c r="J371" s="16">
        <v>2.94</v>
      </c>
      <c r="L371" t="s">
        <v>42</v>
      </c>
      <c r="M371" s="1" t="s">
        <v>13</v>
      </c>
      <c r="N371" t="str">
        <f t="shared" si="41"/>
        <v>-4.46718823343436</v>
      </c>
      <c r="O371" t="str">
        <f t="shared" si="42"/>
        <v>16.62</v>
      </c>
      <c r="P371" t="str">
        <f t="shared" si="43"/>
        <v>74.4618434327937</v>
      </c>
      <c r="Q371" t="str">
        <f t="shared" si="44"/>
        <v>16.7641899548905</v>
      </c>
      <c r="R371" t="str">
        <f t="shared" si="45"/>
        <v>0.42</v>
      </c>
      <c r="S371" t="str">
        <f t="shared" si="46"/>
        <v>3.01</v>
      </c>
      <c r="T371" t="str">
        <f t="shared" si="47"/>
        <v>1.19023470794707</v>
      </c>
      <c r="U371" t="str">
        <f t="shared" si="48"/>
        <v>2.94</v>
      </c>
    </row>
    <row r="372" spans="1:21" x14ac:dyDescent="0.25">
      <c r="A372" t="s">
        <v>42</v>
      </c>
      <c r="B372" s="1" t="s">
        <v>14</v>
      </c>
      <c r="C372">
        <v>5.6615382882867031</v>
      </c>
      <c r="D372" s="17">
        <v>34.46</v>
      </c>
      <c r="E372">
        <v>59.564147164122836</v>
      </c>
      <c r="F372">
        <v>17.042493709465536</v>
      </c>
      <c r="G372" s="17">
        <v>0.32</v>
      </c>
      <c r="H372" s="17">
        <v>2.98</v>
      </c>
      <c r="I372">
        <v>1.3200016466547928</v>
      </c>
      <c r="J372" s="16">
        <v>2.84</v>
      </c>
      <c r="L372" t="s">
        <v>42</v>
      </c>
      <c r="M372" s="1" t="s">
        <v>14</v>
      </c>
      <c r="N372" t="str">
        <f t="shared" si="41"/>
        <v>5.6615382882867</v>
      </c>
      <c r="O372" t="str">
        <f t="shared" si="42"/>
        <v>34.46</v>
      </c>
      <c r="P372" t="str">
        <f t="shared" si="43"/>
        <v>59.5641471641228</v>
      </c>
      <c r="Q372" t="str">
        <f t="shared" si="44"/>
        <v>17.0424937094655</v>
      </c>
      <c r="R372" t="str">
        <f t="shared" si="45"/>
        <v>0.32</v>
      </c>
      <c r="S372" t="str">
        <f t="shared" si="46"/>
        <v>2.98</v>
      </c>
      <c r="T372" t="str">
        <f t="shared" si="47"/>
        <v>1.32000164665479</v>
      </c>
      <c r="U372" t="str">
        <f t="shared" si="48"/>
        <v>2.84</v>
      </c>
    </row>
    <row r="373" spans="1:21" x14ac:dyDescent="0.25">
      <c r="A373" t="s">
        <v>42</v>
      </c>
      <c r="B373" s="1" t="s">
        <v>15</v>
      </c>
      <c r="C373">
        <v>-1.8862790357797037</v>
      </c>
      <c r="D373" s="17">
        <v>35.28</v>
      </c>
      <c r="E373">
        <v>58.366342622773018</v>
      </c>
      <c r="F373">
        <v>17.043765184057062</v>
      </c>
      <c r="G373" s="17">
        <v>0.28999999999999998</v>
      </c>
      <c r="H373" s="17">
        <v>2.94</v>
      </c>
      <c r="I373">
        <v>1.1764481436418199</v>
      </c>
      <c r="J373" s="16">
        <v>2.84</v>
      </c>
      <c r="L373" t="s">
        <v>42</v>
      </c>
      <c r="M373" s="1" t="s">
        <v>15</v>
      </c>
      <c r="N373" t="str">
        <f t="shared" si="41"/>
        <v>-1.8862790357797</v>
      </c>
      <c r="O373" t="str">
        <f t="shared" si="42"/>
        <v>35.28</v>
      </c>
      <c r="P373" t="str">
        <f t="shared" si="43"/>
        <v>58.366342622773</v>
      </c>
      <c r="Q373" t="str">
        <f t="shared" si="44"/>
        <v>17.0437651840571</v>
      </c>
      <c r="R373" t="str">
        <f t="shared" si="45"/>
        <v>0.29</v>
      </c>
      <c r="S373" t="str">
        <f t="shared" si="46"/>
        <v>2.94</v>
      </c>
      <c r="T373" t="str">
        <f t="shared" si="47"/>
        <v>1.17644814364182</v>
      </c>
      <c r="U373" t="str">
        <f t="shared" si="48"/>
        <v>2.84</v>
      </c>
    </row>
    <row r="374" spans="1:21" x14ac:dyDescent="0.25">
      <c r="A374" t="s">
        <v>42</v>
      </c>
      <c r="B374" s="1" t="s">
        <v>16</v>
      </c>
      <c r="C374">
        <v>-3.1252730567507916</v>
      </c>
      <c r="D374" s="17">
        <v>35.24</v>
      </c>
      <c r="E374">
        <v>56.655120641647535</v>
      </c>
      <c r="F374">
        <v>17.041770691591861</v>
      </c>
      <c r="G374" s="17">
        <v>0.6</v>
      </c>
      <c r="H374" s="17">
        <v>3.04</v>
      </c>
      <c r="I374">
        <v>1.3975779389893597</v>
      </c>
      <c r="J374" s="16">
        <v>3.05</v>
      </c>
      <c r="L374" t="s">
        <v>42</v>
      </c>
      <c r="M374" s="1" t="s">
        <v>16</v>
      </c>
      <c r="N374" t="str">
        <f t="shared" si="41"/>
        <v>-3.12527305675079</v>
      </c>
      <c r="O374" t="str">
        <f t="shared" si="42"/>
        <v>35.24</v>
      </c>
      <c r="P374" t="str">
        <f t="shared" si="43"/>
        <v>56.6551206416475</v>
      </c>
      <c r="Q374" t="str">
        <f t="shared" si="44"/>
        <v>17.0417706915919</v>
      </c>
      <c r="R374" t="str">
        <f t="shared" si="45"/>
        <v>0.6</v>
      </c>
      <c r="S374" t="str">
        <f t="shared" si="46"/>
        <v>3.04</v>
      </c>
      <c r="T374" t="str">
        <f t="shared" si="47"/>
        <v>1.39757793898936</v>
      </c>
      <c r="U374" t="str">
        <f t="shared" si="48"/>
        <v>3.05</v>
      </c>
    </row>
    <row r="375" spans="1:21" x14ac:dyDescent="0.25">
      <c r="A375" t="s">
        <v>42</v>
      </c>
      <c r="B375" s="1" t="s">
        <v>17</v>
      </c>
      <c r="C375">
        <v>0.52931029661518525</v>
      </c>
      <c r="D375" s="17">
        <v>35.54</v>
      </c>
      <c r="E375">
        <v>55.460001751456019</v>
      </c>
      <c r="F375">
        <v>17.068370137796041</v>
      </c>
      <c r="G375" s="17">
        <v>0.57999999999999996</v>
      </c>
      <c r="H375" s="17">
        <v>3.04</v>
      </c>
      <c r="I375">
        <v>100</v>
      </c>
      <c r="J375" s="16">
        <v>3.18</v>
      </c>
      <c r="L375" t="s">
        <v>42</v>
      </c>
      <c r="M375" s="1" t="s">
        <v>17</v>
      </c>
      <c r="N375" t="str">
        <f t="shared" si="41"/>
        <v>0.529310296615185</v>
      </c>
      <c r="O375" t="str">
        <f t="shared" si="42"/>
        <v>35.54</v>
      </c>
      <c r="P375" t="str">
        <f t="shared" si="43"/>
        <v>55.460001751456</v>
      </c>
      <c r="Q375" t="str">
        <f t="shared" si="44"/>
        <v>17.068370137796</v>
      </c>
      <c r="R375" t="str">
        <f t="shared" si="45"/>
        <v>0.58</v>
      </c>
      <c r="S375" t="str">
        <f t="shared" si="46"/>
        <v>3.04</v>
      </c>
      <c r="T375" t="str">
        <f t="shared" si="47"/>
        <v>100</v>
      </c>
      <c r="U375" t="str">
        <f t="shared" si="48"/>
        <v>3.18</v>
      </c>
    </row>
    <row r="376" spans="1:21" x14ac:dyDescent="0.25">
      <c r="A376" t="s">
        <v>42</v>
      </c>
      <c r="B376" s="1" t="s">
        <v>18</v>
      </c>
      <c r="C376">
        <v>-2.7844333522979157</v>
      </c>
      <c r="D376" s="17">
        <v>36.64</v>
      </c>
      <c r="E376">
        <v>53.39967486603723</v>
      </c>
      <c r="F376">
        <v>17.077988215619644</v>
      </c>
      <c r="G376" s="17">
        <v>0.47</v>
      </c>
      <c r="H376" s="17">
        <v>4.82</v>
      </c>
      <c r="I376">
        <v>1.8680625055396693</v>
      </c>
      <c r="J376" s="16">
        <v>3.22</v>
      </c>
      <c r="L376" t="s">
        <v>42</v>
      </c>
      <c r="M376" s="1" t="s">
        <v>18</v>
      </c>
      <c r="N376" t="str">
        <f t="shared" si="41"/>
        <v>-2.78443335229792</v>
      </c>
      <c r="O376" t="str">
        <f t="shared" si="42"/>
        <v>36.64</v>
      </c>
      <c r="P376" t="str">
        <f t="shared" si="43"/>
        <v>53.3996748660372</v>
      </c>
      <c r="Q376" t="str">
        <f t="shared" si="44"/>
        <v>17.0779882156196</v>
      </c>
      <c r="R376" t="str">
        <f t="shared" si="45"/>
        <v>0.47</v>
      </c>
      <c r="S376" t="str">
        <f t="shared" si="46"/>
        <v>4.82</v>
      </c>
      <c r="T376" t="str">
        <f t="shared" si="47"/>
        <v>1.86806250553967</v>
      </c>
      <c r="U376" t="str">
        <f t="shared" si="48"/>
        <v>3.22</v>
      </c>
    </row>
    <row r="377" spans="1:21" x14ac:dyDescent="0.25">
      <c r="A377" t="s">
        <v>42</v>
      </c>
      <c r="B377" s="1" t="s">
        <v>19</v>
      </c>
      <c r="C377">
        <v>-1.2349554058422605</v>
      </c>
      <c r="D377" s="17">
        <v>37.96</v>
      </c>
      <c r="E377">
        <v>52.578357145158606</v>
      </c>
      <c r="F377">
        <v>17.081061855474211</v>
      </c>
      <c r="G377" s="17">
        <v>0.41</v>
      </c>
      <c r="H377" s="17">
        <v>4.3899999999999997</v>
      </c>
      <c r="I377">
        <v>2.1198587375585971</v>
      </c>
      <c r="J377" s="16">
        <v>3.12</v>
      </c>
      <c r="L377" t="s">
        <v>42</v>
      </c>
      <c r="M377" s="1" t="s">
        <v>19</v>
      </c>
      <c r="N377" t="str">
        <f t="shared" si="41"/>
        <v>-1.23495540584226</v>
      </c>
      <c r="O377" t="str">
        <f t="shared" si="42"/>
        <v>37.96</v>
      </c>
      <c r="P377" t="str">
        <f t="shared" si="43"/>
        <v>52.5783571451586</v>
      </c>
      <c r="Q377" t="str">
        <f t="shared" si="44"/>
        <v>17.0810618554742</v>
      </c>
      <c r="R377" t="str">
        <f t="shared" si="45"/>
        <v>0.41</v>
      </c>
      <c r="S377" t="str">
        <f t="shared" si="46"/>
        <v>4.39</v>
      </c>
      <c r="T377" t="str">
        <f t="shared" si="47"/>
        <v>2.1198587375586</v>
      </c>
      <c r="U377" t="str">
        <f t="shared" si="48"/>
        <v>3.12</v>
      </c>
    </row>
    <row r="378" spans="1:21" x14ac:dyDescent="0.25">
      <c r="A378" t="s">
        <v>42</v>
      </c>
      <c r="B378" s="1" t="s">
        <v>20</v>
      </c>
      <c r="C378">
        <v>-6.4420947495774792</v>
      </c>
      <c r="D378" s="17">
        <v>38.24</v>
      </c>
      <c r="E378">
        <v>48.265935879879713</v>
      </c>
      <c r="F378">
        <v>17.10005074497316</v>
      </c>
      <c r="G378" s="17">
        <v>0.56999999999999995</v>
      </c>
      <c r="H378" s="17">
        <v>4.92</v>
      </c>
      <c r="I378">
        <v>2.4385400082185944</v>
      </c>
      <c r="J378" s="16">
        <v>2.82</v>
      </c>
      <c r="L378" t="s">
        <v>42</v>
      </c>
      <c r="M378" s="1" t="s">
        <v>20</v>
      </c>
      <c r="N378" t="str">
        <f t="shared" si="41"/>
        <v>-6.44209474957748</v>
      </c>
      <c r="O378" t="str">
        <f t="shared" si="42"/>
        <v>38.24</v>
      </c>
      <c r="P378" t="str">
        <f t="shared" si="43"/>
        <v>48.2659358798797</v>
      </c>
      <c r="Q378" t="str">
        <f t="shared" si="44"/>
        <v>17.1000507449732</v>
      </c>
      <c r="R378" t="str">
        <f t="shared" si="45"/>
        <v>0.57</v>
      </c>
      <c r="S378" t="str">
        <f t="shared" si="46"/>
        <v>4.92</v>
      </c>
      <c r="T378" t="str">
        <f t="shared" si="47"/>
        <v>2.43854000821859</v>
      </c>
      <c r="U378" t="str">
        <f t="shared" si="48"/>
        <v>2.82</v>
      </c>
    </row>
    <row r="379" spans="1:21" x14ac:dyDescent="0.25">
      <c r="A379" t="s">
        <v>42</v>
      </c>
      <c r="B379" s="1" t="s">
        <v>21</v>
      </c>
      <c r="C379">
        <v>9.7293179924744368</v>
      </c>
      <c r="D379" s="17">
        <v>34.93</v>
      </c>
      <c r="E379">
        <v>55.364309556949351</v>
      </c>
      <c r="F379">
        <v>17.055688042880181</v>
      </c>
      <c r="G379" s="17">
        <v>0.59</v>
      </c>
      <c r="H379" s="17">
        <v>4.3499999999999996</v>
      </c>
      <c r="I379">
        <v>2.5081550579182035</v>
      </c>
      <c r="J379" s="16">
        <v>3</v>
      </c>
      <c r="L379" t="s">
        <v>42</v>
      </c>
      <c r="M379" s="1" t="s">
        <v>21</v>
      </c>
      <c r="N379" t="str">
        <f t="shared" si="41"/>
        <v>9.72931799247444</v>
      </c>
      <c r="O379" t="str">
        <f t="shared" si="42"/>
        <v>34.93</v>
      </c>
      <c r="P379" t="str">
        <f t="shared" si="43"/>
        <v>55.3643095569494</v>
      </c>
      <c r="Q379" t="str">
        <f t="shared" si="44"/>
        <v>17.0556880428802</v>
      </c>
      <c r="R379" t="str">
        <f t="shared" si="45"/>
        <v>0.59</v>
      </c>
      <c r="S379" t="str">
        <f t="shared" si="46"/>
        <v>4.35</v>
      </c>
      <c r="T379" t="str">
        <f t="shared" si="47"/>
        <v>2.5081550579182</v>
      </c>
      <c r="U379" t="str">
        <f t="shared" si="48"/>
        <v>3</v>
      </c>
    </row>
    <row r="380" spans="1:21" x14ac:dyDescent="0.25">
      <c r="A380" t="s">
        <v>42</v>
      </c>
      <c r="B380" s="1" t="s">
        <v>22</v>
      </c>
      <c r="C380">
        <v>6.6539204324355516</v>
      </c>
      <c r="D380" s="17">
        <v>34.21</v>
      </c>
      <c r="E380">
        <v>62.06412163346814</v>
      </c>
      <c r="F380">
        <v>17.005874144751559</v>
      </c>
      <c r="G380" s="17">
        <v>0.6</v>
      </c>
      <c r="H380" s="17">
        <v>4.07</v>
      </c>
      <c r="I380">
        <v>2.7461688855502242</v>
      </c>
      <c r="J380" s="16">
        <v>3.3</v>
      </c>
      <c r="L380" t="s">
        <v>42</v>
      </c>
      <c r="M380" s="1" t="s">
        <v>22</v>
      </c>
      <c r="N380" t="str">
        <f t="shared" si="41"/>
        <v>6.65392043243555</v>
      </c>
      <c r="O380" t="str">
        <f t="shared" si="42"/>
        <v>34.21</v>
      </c>
      <c r="P380" t="str">
        <f t="shared" si="43"/>
        <v>62.0641216334681</v>
      </c>
      <c r="Q380" t="str">
        <f t="shared" si="44"/>
        <v>17.0058741447516</v>
      </c>
      <c r="R380" t="str">
        <f t="shared" si="45"/>
        <v>0.6</v>
      </c>
      <c r="S380" t="str">
        <f t="shared" si="46"/>
        <v>4.07</v>
      </c>
      <c r="T380" t="str">
        <f t="shared" si="47"/>
        <v>2.74616888555022</v>
      </c>
      <c r="U380" t="str">
        <f t="shared" si="48"/>
        <v>3.3</v>
      </c>
    </row>
    <row r="381" spans="1:21" x14ac:dyDescent="0.25">
      <c r="A381" t="s">
        <v>42</v>
      </c>
      <c r="B381" s="1" t="s">
        <v>23</v>
      </c>
      <c r="C381">
        <v>10.659261833697494</v>
      </c>
      <c r="D381" s="17">
        <v>32.729999999999997</v>
      </c>
      <c r="E381">
        <v>66.687912493781212</v>
      </c>
      <c r="F381">
        <v>17.035304081618104</v>
      </c>
      <c r="G381" s="19">
        <v>0.69</v>
      </c>
      <c r="H381" s="19">
        <v>3.4</v>
      </c>
      <c r="I381">
        <v>2.7251047728854632</v>
      </c>
      <c r="J381" s="19">
        <v>3.54</v>
      </c>
      <c r="L381" t="s">
        <v>42</v>
      </c>
      <c r="M381" s="1" t="s">
        <v>23</v>
      </c>
      <c r="N381" t="str">
        <f t="shared" si="41"/>
        <v>10.6592618336975</v>
      </c>
      <c r="O381" t="str">
        <f t="shared" si="42"/>
        <v>32.73</v>
      </c>
      <c r="P381" t="str">
        <f t="shared" si="43"/>
        <v>66.6879124937812</v>
      </c>
      <c r="Q381" t="str">
        <f t="shared" si="44"/>
        <v>17.0353040816181</v>
      </c>
      <c r="R381" t="str">
        <f t="shared" si="45"/>
        <v>0.69</v>
      </c>
      <c r="S381" t="str">
        <f t="shared" si="46"/>
        <v>3.4</v>
      </c>
      <c r="T381" t="str">
        <f t="shared" si="47"/>
        <v>2.72510477288546</v>
      </c>
      <c r="U381" t="str">
        <f t="shared" si="48"/>
        <v>3.54</v>
      </c>
    </row>
    <row r="382" spans="1:21" x14ac:dyDescent="0.25">
      <c r="A382" t="s">
        <v>43</v>
      </c>
      <c r="B382" s="1" t="s">
        <v>4</v>
      </c>
      <c r="C382">
        <v>0.76376461344103164</v>
      </c>
      <c r="D382" s="17">
        <v>15.97</v>
      </c>
      <c r="E382">
        <v>69.866964101400384</v>
      </c>
      <c r="F382">
        <v>15.20213636415018</v>
      </c>
      <c r="G382" s="17">
        <v>-0.47</v>
      </c>
      <c r="H382" s="17">
        <v>5.49</v>
      </c>
      <c r="I382">
        <v>0.99638539779403745</v>
      </c>
      <c r="J382" s="17">
        <v>3.52</v>
      </c>
      <c r="L382" t="s">
        <v>43</v>
      </c>
      <c r="M382" s="1" t="s">
        <v>4</v>
      </c>
      <c r="N382" t="str">
        <f t="shared" si="41"/>
        <v>0.763764613441032</v>
      </c>
      <c r="O382" t="str">
        <f t="shared" si="42"/>
        <v>15.97</v>
      </c>
      <c r="P382" t="str">
        <f t="shared" si="43"/>
        <v>69.8669641014004</v>
      </c>
      <c r="Q382" t="str">
        <f t="shared" si="44"/>
        <v>15.2021363641502</v>
      </c>
      <c r="R382" t="str">
        <f t="shared" si="45"/>
        <v>-0.47</v>
      </c>
      <c r="S382" t="str">
        <f t="shared" si="46"/>
        <v>5.49</v>
      </c>
      <c r="T382" t="str">
        <f t="shared" si="47"/>
        <v>0.996385397794037</v>
      </c>
      <c r="U382" t="str">
        <f t="shared" si="48"/>
        <v>3.52</v>
      </c>
    </row>
    <row r="383" spans="1:21" x14ac:dyDescent="0.25">
      <c r="A383" t="s">
        <v>43</v>
      </c>
      <c r="B383" s="1" t="s">
        <v>5</v>
      </c>
      <c r="C383">
        <v>5.5974288213105927</v>
      </c>
      <c r="D383" s="17">
        <v>15.77</v>
      </c>
      <c r="E383">
        <v>70.19202373904173</v>
      </c>
      <c r="F383">
        <v>15.251958439175699</v>
      </c>
      <c r="G383" s="17">
        <v>-0.6</v>
      </c>
      <c r="H383" s="17">
        <v>5.29</v>
      </c>
      <c r="I383">
        <v>1.3687943478630542</v>
      </c>
      <c r="J383" s="17">
        <v>3.66</v>
      </c>
      <c r="L383" t="s">
        <v>43</v>
      </c>
      <c r="M383" s="1" t="s">
        <v>5</v>
      </c>
      <c r="N383" t="str">
        <f t="shared" si="41"/>
        <v>5.59742882131059</v>
      </c>
      <c r="O383" t="str">
        <f t="shared" si="42"/>
        <v>15.77</v>
      </c>
      <c r="P383" t="str">
        <f t="shared" si="43"/>
        <v>70.1920237390417</v>
      </c>
      <c r="Q383" t="str">
        <f t="shared" si="44"/>
        <v>15.2519584391757</v>
      </c>
      <c r="R383" t="str">
        <f t="shared" si="45"/>
        <v>-0.6</v>
      </c>
      <c r="S383" t="str">
        <f t="shared" si="46"/>
        <v>5.29</v>
      </c>
      <c r="T383" t="str">
        <f t="shared" si="47"/>
        <v>1.36879434786305</v>
      </c>
      <c r="U383" t="str">
        <f t="shared" si="48"/>
        <v>3.66</v>
      </c>
    </row>
    <row r="384" spans="1:21" x14ac:dyDescent="0.25">
      <c r="A384" t="s">
        <v>43</v>
      </c>
      <c r="B384" s="1" t="s">
        <v>6</v>
      </c>
      <c r="C384">
        <v>-3.2616586164296648</v>
      </c>
      <c r="D384" s="17">
        <v>14.4</v>
      </c>
      <c r="E384">
        <v>72.115068963601558</v>
      </c>
      <c r="F384">
        <v>15.191769734631032</v>
      </c>
      <c r="G384" s="17">
        <v>-0.31</v>
      </c>
      <c r="H384" s="17">
        <v>5.12</v>
      </c>
      <c r="I384">
        <v>1.5446109671545627</v>
      </c>
      <c r="J384" s="16">
        <v>3.7</v>
      </c>
      <c r="L384" t="s">
        <v>43</v>
      </c>
      <c r="M384" s="1" t="s">
        <v>6</v>
      </c>
      <c r="N384" t="str">
        <f t="shared" si="41"/>
        <v>-3.26165861642966</v>
      </c>
      <c r="O384" t="str">
        <f t="shared" si="42"/>
        <v>14.4</v>
      </c>
      <c r="P384" t="str">
        <f t="shared" si="43"/>
        <v>72.1150689636016</v>
      </c>
      <c r="Q384" t="str">
        <f t="shared" si="44"/>
        <v>15.191769734631</v>
      </c>
      <c r="R384" t="str">
        <f t="shared" si="45"/>
        <v>-0.31</v>
      </c>
      <c r="S384" t="str">
        <f t="shared" si="46"/>
        <v>5.12</v>
      </c>
      <c r="T384" t="str">
        <f t="shared" si="47"/>
        <v>1.54461096715456</v>
      </c>
      <c r="U384" t="str">
        <f t="shared" si="48"/>
        <v>3.7</v>
      </c>
    </row>
    <row r="385" spans="1:21" x14ac:dyDescent="0.25">
      <c r="A385" t="s">
        <v>43</v>
      </c>
      <c r="B385" s="1" t="s">
        <v>7</v>
      </c>
      <c r="C385">
        <v>4.4357798165137616</v>
      </c>
      <c r="D385" s="17">
        <v>15.5</v>
      </c>
      <c r="E385">
        <v>71.846988943548425</v>
      </c>
      <c r="F385">
        <v>15.238896203150237</v>
      </c>
      <c r="G385" s="17">
        <v>-0.77</v>
      </c>
      <c r="H385" s="17">
        <v>6.44</v>
      </c>
      <c r="I385">
        <v>2.0225805597159674</v>
      </c>
      <c r="J385" s="17">
        <v>3.42</v>
      </c>
      <c r="L385" t="s">
        <v>43</v>
      </c>
      <c r="M385" s="1" t="s">
        <v>7</v>
      </c>
      <c r="N385" t="str">
        <f t="shared" si="41"/>
        <v>4.43577981651376</v>
      </c>
      <c r="O385" t="str">
        <f t="shared" si="42"/>
        <v>15.5</v>
      </c>
      <c r="P385" t="str">
        <f t="shared" si="43"/>
        <v>71.8469889435484</v>
      </c>
      <c r="Q385" t="str">
        <f t="shared" si="44"/>
        <v>15.2388962031502</v>
      </c>
      <c r="R385" t="str">
        <f t="shared" si="45"/>
        <v>-0.77</v>
      </c>
      <c r="S385" t="str">
        <f t="shared" si="46"/>
        <v>6.44</v>
      </c>
      <c r="T385" t="str">
        <f t="shared" si="47"/>
        <v>2.02258055971597</v>
      </c>
      <c r="U385" t="str">
        <f t="shared" si="48"/>
        <v>3.42</v>
      </c>
    </row>
    <row r="386" spans="1:21" x14ac:dyDescent="0.25">
      <c r="A386" t="s">
        <v>43</v>
      </c>
      <c r="B386" s="1" t="s">
        <v>8</v>
      </c>
      <c r="C386">
        <v>2.5590138666618385</v>
      </c>
      <c r="D386" s="17">
        <v>35.81</v>
      </c>
      <c r="E386">
        <v>64.46915467775635</v>
      </c>
      <c r="F386">
        <v>15.372516211847849</v>
      </c>
      <c r="G386" s="17">
        <v>-0.83</v>
      </c>
      <c r="H386" s="17">
        <v>3.98</v>
      </c>
      <c r="I386">
        <v>1.94112133553071</v>
      </c>
      <c r="J386" s="17">
        <v>3.06</v>
      </c>
      <c r="L386" t="s">
        <v>43</v>
      </c>
      <c r="M386" s="1" t="s">
        <v>8</v>
      </c>
      <c r="N386" t="str">
        <f t="shared" si="41"/>
        <v>2.55901386666184</v>
      </c>
      <c r="O386" t="str">
        <f t="shared" si="42"/>
        <v>35.81</v>
      </c>
      <c r="P386" t="str">
        <f t="shared" si="43"/>
        <v>64.4691546777564</v>
      </c>
      <c r="Q386" t="str">
        <f t="shared" si="44"/>
        <v>15.3725162118478</v>
      </c>
      <c r="R386" t="str">
        <f t="shared" si="45"/>
        <v>-0.83</v>
      </c>
      <c r="S386" t="str">
        <f t="shared" si="46"/>
        <v>3.98</v>
      </c>
      <c r="T386" t="str">
        <f t="shared" si="47"/>
        <v>1.94112133553071</v>
      </c>
      <c r="U386" t="str">
        <f t="shared" si="48"/>
        <v>3.06</v>
      </c>
    </row>
    <row r="387" spans="1:21" x14ac:dyDescent="0.25">
      <c r="A387" t="s">
        <v>43</v>
      </c>
      <c r="B387" s="1" t="s">
        <v>9</v>
      </c>
      <c r="C387">
        <v>6.8688723907651337</v>
      </c>
      <c r="D387" s="17">
        <v>32.979999999999997</v>
      </c>
      <c r="E387">
        <v>68.154674163553508</v>
      </c>
      <c r="F387">
        <v>15.383355762288019</v>
      </c>
      <c r="G387" s="17">
        <v>-1.9</v>
      </c>
      <c r="H387" s="17">
        <v>6.66</v>
      </c>
      <c r="I387">
        <v>2.7991950818990095</v>
      </c>
      <c r="J387" s="17">
        <v>3.1</v>
      </c>
      <c r="L387" t="s">
        <v>43</v>
      </c>
      <c r="M387" s="1" t="s">
        <v>9</v>
      </c>
      <c r="N387" t="str">
        <f t="shared" ref="N387:N450" si="49">SUBSTITUTE(C387,",",".")</f>
        <v>6.86887239076513</v>
      </c>
      <c r="O387" t="str">
        <f t="shared" ref="O387:O450" si="50">SUBSTITUTE(D387,",",".")</f>
        <v>32.98</v>
      </c>
      <c r="P387" t="str">
        <f t="shared" ref="P387:P450" si="51">SUBSTITUTE(E387,",",".")</f>
        <v>68.1546741635535</v>
      </c>
      <c r="Q387" t="str">
        <f t="shared" ref="Q387:Q450" si="52">SUBSTITUTE(F387,",",".")</f>
        <v>15.383355762288</v>
      </c>
      <c r="R387" t="str">
        <f t="shared" ref="R387:R450" si="53">SUBSTITUTE(G387,",",".")</f>
        <v>-1.9</v>
      </c>
      <c r="S387" t="str">
        <f t="shared" ref="S387:S450" si="54">SUBSTITUTE(H387,",",".")</f>
        <v>6.66</v>
      </c>
      <c r="T387" t="str">
        <f t="shared" ref="T387:T450" si="55">SUBSTITUTE(I387,",",".")</f>
        <v>2.79919508189901</v>
      </c>
      <c r="U387" t="str">
        <f t="shared" ref="U387:U450" si="56">SUBSTITUTE(J387,",",".")</f>
        <v>3.1</v>
      </c>
    </row>
    <row r="388" spans="1:21" x14ac:dyDescent="0.25">
      <c r="A388" t="s">
        <v>43</v>
      </c>
      <c r="B388" s="1" t="s">
        <v>10</v>
      </c>
      <c r="C388">
        <v>20.99801646056293</v>
      </c>
      <c r="D388" s="17">
        <v>29.92</v>
      </c>
      <c r="E388">
        <v>52.59936247371899</v>
      </c>
      <c r="F388">
        <v>15.833035471672058</v>
      </c>
      <c r="G388" s="17">
        <v>-0.62</v>
      </c>
      <c r="H388" s="17">
        <v>6.14</v>
      </c>
      <c r="I388">
        <v>2.1660507434438121</v>
      </c>
      <c r="J388" s="17">
        <v>3.69</v>
      </c>
      <c r="L388" t="s">
        <v>43</v>
      </c>
      <c r="M388" s="1" t="s">
        <v>10</v>
      </c>
      <c r="N388" t="str">
        <f t="shared" si="49"/>
        <v>20.9980164605629</v>
      </c>
      <c r="O388" t="str">
        <f t="shared" si="50"/>
        <v>29.92</v>
      </c>
      <c r="P388" t="str">
        <f t="shared" si="51"/>
        <v>52.599362473719</v>
      </c>
      <c r="Q388" t="str">
        <f t="shared" si="52"/>
        <v>15.8330354716721</v>
      </c>
      <c r="R388" t="str">
        <f t="shared" si="53"/>
        <v>-0.62</v>
      </c>
      <c r="S388" t="str">
        <f t="shared" si="54"/>
        <v>6.14</v>
      </c>
      <c r="T388" t="str">
        <f t="shared" si="55"/>
        <v>2.16605074344381</v>
      </c>
      <c r="U388" t="str">
        <f t="shared" si="56"/>
        <v>3.69</v>
      </c>
    </row>
    <row r="389" spans="1:21" x14ac:dyDescent="0.25">
      <c r="A389" t="s">
        <v>43</v>
      </c>
      <c r="B389" s="1" t="s">
        <v>11</v>
      </c>
      <c r="C389">
        <v>5.0933568022119129</v>
      </c>
      <c r="D389" s="17">
        <v>26.5</v>
      </c>
      <c r="E389">
        <v>64.728557716444058</v>
      </c>
      <c r="F389">
        <v>15.675215861838577</v>
      </c>
      <c r="G389" s="17">
        <v>-3.87</v>
      </c>
      <c r="H389" s="17">
        <v>11.68</v>
      </c>
      <c r="I389">
        <v>6.8793608109379232</v>
      </c>
      <c r="J389" s="17">
        <v>2.46</v>
      </c>
      <c r="L389" t="s">
        <v>43</v>
      </c>
      <c r="M389" s="1" t="s">
        <v>11</v>
      </c>
      <c r="N389" t="str">
        <f t="shared" si="49"/>
        <v>5.09335680221191</v>
      </c>
      <c r="O389" t="str">
        <f t="shared" si="50"/>
        <v>26.5</v>
      </c>
      <c r="P389" t="str">
        <f t="shared" si="51"/>
        <v>64.7285577164441</v>
      </c>
      <c r="Q389" t="str">
        <f t="shared" si="52"/>
        <v>15.6752158618386</v>
      </c>
      <c r="R389" t="str">
        <f t="shared" si="53"/>
        <v>-3.87</v>
      </c>
      <c r="S389" t="str">
        <f t="shared" si="54"/>
        <v>11.68</v>
      </c>
      <c r="T389" t="str">
        <f t="shared" si="55"/>
        <v>6.87936081093792</v>
      </c>
      <c r="U389" t="str">
        <f t="shared" si="56"/>
        <v>2.46</v>
      </c>
    </row>
    <row r="390" spans="1:21" x14ac:dyDescent="0.25">
      <c r="A390" t="s">
        <v>43</v>
      </c>
      <c r="B390" s="1" t="s">
        <v>12</v>
      </c>
      <c r="C390">
        <v>3.3388688853621096</v>
      </c>
      <c r="D390" s="17">
        <v>23.09</v>
      </c>
      <c r="E390">
        <v>64.587970059118533</v>
      </c>
      <c r="F390">
        <v>15.710233572410422</v>
      </c>
      <c r="G390" s="17">
        <v>-10.53</v>
      </c>
      <c r="H390" s="17">
        <v>11.34</v>
      </c>
      <c r="I390">
        <v>7.0076143810021332</v>
      </c>
      <c r="J390" s="17">
        <v>3.11</v>
      </c>
      <c r="L390" t="s">
        <v>43</v>
      </c>
      <c r="M390" s="1" t="s">
        <v>12</v>
      </c>
      <c r="N390" t="str">
        <f t="shared" si="49"/>
        <v>3.33886888536211</v>
      </c>
      <c r="O390" t="str">
        <f t="shared" si="50"/>
        <v>23.09</v>
      </c>
      <c r="P390" t="str">
        <f t="shared" si="51"/>
        <v>64.5879700591185</v>
      </c>
      <c r="Q390" t="str">
        <f t="shared" si="52"/>
        <v>15.7102335724104</v>
      </c>
      <c r="R390" t="str">
        <f t="shared" si="53"/>
        <v>-10.53</v>
      </c>
      <c r="S390" t="str">
        <f t="shared" si="54"/>
        <v>11.34</v>
      </c>
      <c r="T390" t="str">
        <f t="shared" si="55"/>
        <v>7.00761438100213</v>
      </c>
      <c r="U390" t="str">
        <f t="shared" si="56"/>
        <v>3.11</v>
      </c>
    </row>
    <row r="391" spans="1:21" x14ac:dyDescent="0.25">
      <c r="A391" t="s">
        <v>43</v>
      </c>
      <c r="B391" s="1" t="s">
        <v>13</v>
      </c>
      <c r="C391">
        <v>8.5984212521033356</v>
      </c>
      <c r="D391" s="17">
        <v>20.59</v>
      </c>
      <c r="E391">
        <v>66.747413825420736</v>
      </c>
      <c r="F391">
        <v>15.759832875653737</v>
      </c>
      <c r="G391" s="17">
        <v>-1.42</v>
      </c>
      <c r="H391" s="17">
        <v>10.43</v>
      </c>
      <c r="I391">
        <v>6.3081871317449911</v>
      </c>
      <c r="J391" s="17">
        <v>2.63</v>
      </c>
      <c r="L391" t="s">
        <v>43</v>
      </c>
      <c r="M391" s="1" t="s">
        <v>13</v>
      </c>
      <c r="N391" t="str">
        <f t="shared" si="49"/>
        <v>8.59842125210334</v>
      </c>
      <c r="O391" t="str">
        <f t="shared" si="50"/>
        <v>20.59</v>
      </c>
      <c r="P391" t="str">
        <f t="shared" si="51"/>
        <v>66.7474138254207</v>
      </c>
      <c r="Q391" t="str">
        <f t="shared" si="52"/>
        <v>15.7598328756537</v>
      </c>
      <c r="R391" t="str">
        <f t="shared" si="53"/>
        <v>-1.42</v>
      </c>
      <c r="S391" t="str">
        <f t="shared" si="54"/>
        <v>10.43</v>
      </c>
      <c r="T391" t="str">
        <f t="shared" si="55"/>
        <v>6.30818713174499</v>
      </c>
      <c r="U391" t="str">
        <f t="shared" si="56"/>
        <v>2.63</v>
      </c>
    </row>
    <row r="392" spans="1:21" x14ac:dyDescent="0.25">
      <c r="A392" t="s">
        <v>43</v>
      </c>
      <c r="B392" s="1" t="s">
        <v>14</v>
      </c>
      <c r="C392">
        <v>6.2246055976261898</v>
      </c>
      <c r="D392" s="17">
        <v>35.270000000000003</v>
      </c>
      <c r="E392">
        <v>60.010126670576689</v>
      </c>
      <c r="F392">
        <v>15.926620689281325</v>
      </c>
      <c r="G392" s="17">
        <v>-1.89</v>
      </c>
      <c r="H392" s="17">
        <v>9.58</v>
      </c>
      <c r="I392">
        <v>5.8885697230306757</v>
      </c>
      <c r="J392" s="17">
        <v>2.48</v>
      </c>
      <c r="L392" t="s">
        <v>43</v>
      </c>
      <c r="M392" s="1" t="s">
        <v>14</v>
      </c>
      <c r="N392" t="str">
        <f t="shared" si="49"/>
        <v>6.22460559762619</v>
      </c>
      <c r="O392" t="str">
        <f t="shared" si="50"/>
        <v>35.27</v>
      </c>
      <c r="P392" t="str">
        <f t="shared" si="51"/>
        <v>60.0101266705767</v>
      </c>
      <c r="Q392" t="str">
        <f t="shared" si="52"/>
        <v>15.9266206892813</v>
      </c>
      <c r="R392" t="str">
        <f t="shared" si="53"/>
        <v>-1.89</v>
      </c>
      <c r="S392" t="str">
        <f t="shared" si="54"/>
        <v>9.58</v>
      </c>
      <c r="T392" t="str">
        <f t="shared" si="55"/>
        <v>5.88856972303068</v>
      </c>
      <c r="U392" t="str">
        <f t="shared" si="56"/>
        <v>2.48</v>
      </c>
    </row>
    <row r="393" spans="1:21" x14ac:dyDescent="0.25">
      <c r="A393" t="s">
        <v>43</v>
      </c>
      <c r="B393" s="1" t="s">
        <v>15</v>
      </c>
      <c r="C393">
        <v>3.0402734215920884</v>
      </c>
      <c r="D393" s="17">
        <v>30.49</v>
      </c>
      <c r="E393">
        <v>51.815647092789909</v>
      </c>
      <c r="F393">
        <v>16.10339157393685</v>
      </c>
      <c r="G393" s="17">
        <v>-1.75</v>
      </c>
      <c r="H393" s="17">
        <v>5.14</v>
      </c>
      <c r="I393">
        <v>5.3030866842723325</v>
      </c>
      <c r="J393" s="17">
        <v>2.08</v>
      </c>
      <c r="L393" t="s">
        <v>43</v>
      </c>
      <c r="M393" s="1" t="s">
        <v>15</v>
      </c>
      <c r="N393" t="str">
        <f t="shared" si="49"/>
        <v>3.04027342159209</v>
      </c>
      <c r="O393" t="str">
        <f t="shared" si="50"/>
        <v>30.49</v>
      </c>
      <c r="P393" t="str">
        <f t="shared" si="51"/>
        <v>51.8156470927899</v>
      </c>
      <c r="Q393" t="str">
        <f t="shared" si="52"/>
        <v>16.1033915739369</v>
      </c>
      <c r="R393" t="str">
        <f t="shared" si="53"/>
        <v>-1.75</v>
      </c>
      <c r="S393" t="str">
        <f t="shared" si="54"/>
        <v>5.14</v>
      </c>
      <c r="T393" t="str">
        <f t="shared" si="55"/>
        <v>5.30308668427233</v>
      </c>
      <c r="U393" t="str">
        <f t="shared" si="56"/>
        <v>2.08</v>
      </c>
    </row>
    <row r="394" spans="1:21" x14ac:dyDescent="0.25">
      <c r="A394" t="s">
        <v>43</v>
      </c>
      <c r="B394" s="1" t="s">
        <v>16</v>
      </c>
      <c r="C394">
        <v>0.52407670137400975</v>
      </c>
      <c r="D394" s="17">
        <v>29.43</v>
      </c>
      <c r="E394">
        <v>46.853219369609626</v>
      </c>
      <c r="F394">
        <v>16.209291104146931</v>
      </c>
      <c r="G394" s="17">
        <v>0.7</v>
      </c>
      <c r="H394" s="17">
        <v>5.75</v>
      </c>
      <c r="I394">
        <v>2.4930392264019012</v>
      </c>
      <c r="J394" s="17">
        <v>2.71</v>
      </c>
      <c r="L394" t="s">
        <v>43</v>
      </c>
      <c r="M394" s="1" t="s">
        <v>16</v>
      </c>
      <c r="N394" t="str">
        <f t="shared" si="49"/>
        <v>0.52407670137401</v>
      </c>
      <c r="O394" t="str">
        <f t="shared" si="50"/>
        <v>29.43</v>
      </c>
      <c r="P394" t="str">
        <f t="shared" si="51"/>
        <v>46.8532193696096</v>
      </c>
      <c r="Q394" t="str">
        <f t="shared" si="52"/>
        <v>16.2092911041469</v>
      </c>
      <c r="R394" t="str">
        <f t="shared" si="53"/>
        <v>0.7</v>
      </c>
      <c r="S394" t="str">
        <f t="shared" si="54"/>
        <v>5.75</v>
      </c>
      <c r="T394" t="str">
        <f t="shared" si="55"/>
        <v>2.4930392264019</v>
      </c>
      <c r="U394" t="str">
        <f t="shared" si="56"/>
        <v>2.71</v>
      </c>
    </row>
    <row r="395" spans="1:21" x14ac:dyDescent="0.25">
      <c r="A395" t="s">
        <v>43</v>
      </c>
      <c r="B395" s="1" t="s">
        <v>17</v>
      </c>
      <c r="C395">
        <v>4.3216121913436831</v>
      </c>
      <c r="D395" s="17">
        <v>27.8</v>
      </c>
      <c r="E395">
        <v>46.030589310375802</v>
      </c>
      <c r="F395">
        <v>16.269313032870631</v>
      </c>
      <c r="G395" s="17">
        <v>-0.27</v>
      </c>
      <c r="H395" s="17">
        <v>5.85</v>
      </c>
      <c r="I395">
        <v>5.4960438927512643</v>
      </c>
      <c r="J395" s="17">
        <v>2.84</v>
      </c>
      <c r="L395" t="s">
        <v>43</v>
      </c>
      <c r="M395" s="1" t="s">
        <v>17</v>
      </c>
      <c r="N395" t="str">
        <f t="shared" si="49"/>
        <v>4.32161219134368</v>
      </c>
      <c r="O395" t="str">
        <f t="shared" si="50"/>
        <v>27.8</v>
      </c>
      <c r="P395" t="str">
        <f t="shared" si="51"/>
        <v>46.0305893103758</v>
      </c>
      <c r="Q395" t="str">
        <f t="shared" si="52"/>
        <v>16.2693130328706</v>
      </c>
      <c r="R395" t="str">
        <f t="shared" si="53"/>
        <v>-0.27</v>
      </c>
      <c r="S395" t="str">
        <f t="shared" si="54"/>
        <v>5.85</v>
      </c>
      <c r="T395" t="str">
        <f t="shared" si="55"/>
        <v>5.49604389275126</v>
      </c>
      <c r="U395" t="str">
        <f t="shared" si="56"/>
        <v>2.84</v>
      </c>
    </row>
    <row r="396" spans="1:21" x14ac:dyDescent="0.25">
      <c r="A396" t="s">
        <v>43</v>
      </c>
      <c r="B396" s="1" t="s">
        <v>18</v>
      </c>
      <c r="C396">
        <v>5.5025244158844906</v>
      </c>
      <c r="D396" s="17">
        <v>26.79</v>
      </c>
      <c r="E396">
        <v>44.387493202374721</v>
      </c>
      <c r="F396">
        <v>16.359226142991332</v>
      </c>
      <c r="G396" s="17">
        <v>-0.02</v>
      </c>
      <c r="H396" s="17">
        <v>4.37</v>
      </c>
      <c r="I396">
        <v>4.043147106134227</v>
      </c>
      <c r="J396" s="17">
        <v>2.79</v>
      </c>
      <c r="L396" t="s">
        <v>43</v>
      </c>
      <c r="M396" s="1" t="s">
        <v>18</v>
      </c>
      <c r="N396" t="str">
        <f t="shared" si="49"/>
        <v>5.50252441588449</v>
      </c>
      <c r="O396" t="str">
        <f t="shared" si="50"/>
        <v>26.79</v>
      </c>
      <c r="P396" t="str">
        <f t="shared" si="51"/>
        <v>44.3874932023747</v>
      </c>
      <c r="Q396" t="str">
        <f t="shared" si="52"/>
        <v>16.3592261429913</v>
      </c>
      <c r="R396" t="str">
        <f t="shared" si="53"/>
        <v>-0.02</v>
      </c>
      <c r="S396" t="str">
        <f t="shared" si="54"/>
        <v>4.37</v>
      </c>
      <c r="T396" t="str">
        <f t="shared" si="55"/>
        <v>4.04314710613423</v>
      </c>
      <c r="U396" t="str">
        <f t="shared" si="56"/>
        <v>2.79</v>
      </c>
    </row>
    <row r="397" spans="1:21" x14ac:dyDescent="0.25">
      <c r="A397" t="s">
        <v>43</v>
      </c>
      <c r="B397" s="1" t="s">
        <v>19</v>
      </c>
      <c r="C397">
        <v>7.563453474945474</v>
      </c>
      <c r="D397" s="17">
        <v>39.67</v>
      </c>
      <c r="E397">
        <v>42.531303129928027</v>
      </c>
      <c r="F397">
        <v>16.474854291394404</v>
      </c>
      <c r="G397" s="17">
        <v>0.08</v>
      </c>
      <c r="H397" s="17">
        <v>2.0699999999999998</v>
      </c>
      <c r="I397">
        <v>3.2582237304960877</v>
      </c>
      <c r="J397" s="17">
        <v>2.62</v>
      </c>
      <c r="L397" t="s">
        <v>43</v>
      </c>
      <c r="M397" s="1" t="s">
        <v>19</v>
      </c>
      <c r="N397" t="str">
        <f t="shared" si="49"/>
        <v>7.56345347494547</v>
      </c>
      <c r="O397" t="str">
        <f t="shared" si="50"/>
        <v>39.67</v>
      </c>
      <c r="P397" t="str">
        <f t="shared" si="51"/>
        <v>42.531303129928</v>
      </c>
      <c r="Q397" t="str">
        <f t="shared" si="52"/>
        <v>16.4748542913944</v>
      </c>
      <c r="R397" t="str">
        <f t="shared" si="53"/>
        <v>0.08</v>
      </c>
      <c r="S397" t="str">
        <f t="shared" si="54"/>
        <v>2.07</v>
      </c>
      <c r="T397" t="str">
        <f t="shared" si="55"/>
        <v>3.25822373049609</v>
      </c>
      <c r="U397" t="str">
        <f t="shared" si="56"/>
        <v>2.62</v>
      </c>
    </row>
    <row r="398" spans="1:21" x14ac:dyDescent="0.25">
      <c r="A398" t="s">
        <v>43</v>
      </c>
      <c r="B398" s="1" t="s">
        <v>20</v>
      </c>
      <c r="C398">
        <v>5.5338605416455673</v>
      </c>
      <c r="D398" s="17">
        <v>37.31</v>
      </c>
      <c r="E398">
        <v>43.647982124435778</v>
      </c>
      <c r="F398">
        <v>16.502799256196024</v>
      </c>
      <c r="G398" s="17">
        <v>0.87</v>
      </c>
      <c r="H398" s="17">
        <v>2.16</v>
      </c>
      <c r="I398">
        <v>3.1774133360072074</v>
      </c>
      <c r="J398" s="17">
        <v>2.67</v>
      </c>
      <c r="L398" t="s">
        <v>43</v>
      </c>
      <c r="M398" s="1" t="s">
        <v>20</v>
      </c>
      <c r="N398" t="str">
        <f t="shared" si="49"/>
        <v>5.53386054164557</v>
      </c>
      <c r="O398" t="str">
        <f t="shared" si="50"/>
        <v>37.31</v>
      </c>
      <c r="P398" t="str">
        <f t="shared" si="51"/>
        <v>43.6479821244358</v>
      </c>
      <c r="Q398" t="str">
        <f t="shared" si="52"/>
        <v>16.502799256196</v>
      </c>
      <c r="R398" t="str">
        <f t="shared" si="53"/>
        <v>0.87</v>
      </c>
      <c r="S398" t="str">
        <f t="shared" si="54"/>
        <v>2.16</v>
      </c>
      <c r="T398" t="str">
        <f t="shared" si="55"/>
        <v>3.17741333600721</v>
      </c>
      <c r="U398" t="str">
        <f t="shared" si="56"/>
        <v>2.67</v>
      </c>
    </row>
    <row r="399" spans="1:21" x14ac:dyDescent="0.25">
      <c r="A399" t="s">
        <v>43</v>
      </c>
      <c r="B399" s="1" t="s">
        <v>21</v>
      </c>
      <c r="C399">
        <v>6.8294340468843782</v>
      </c>
      <c r="D399" s="17">
        <v>34.78</v>
      </c>
      <c r="E399">
        <v>43.62132035619549</v>
      </c>
      <c r="F399">
        <v>16.569473581305864</v>
      </c>
      <c r="G399" s="17">
        <v>0.54</v>
      </c>
      <c r="H399" s="17">
        <v>2.0099999999999998</v>
      </c>
      <c r="I399">
        <v>3.1525039054870669</v>
      </c>
      <c r="J399" s="17">
        <v>2.65</v>
      </c>
      <c r="L399" t="s">
        <v>43</v>
      </c>
      <c r="M399" s="1" t="s">
        <v>21</v>
      </c>
      <c r="N399" t="str">
        <f t="shared" si="49"/>
        <v>6.82943404688438</v>
      </c>
      <c r="O399" t="str">
        <f t="shared" si="50"/>
        <v>34.78</v>
      </c>
      <c r="P399" t="str">
        <f t="shared" si="51"/>
        <v>43.6213203561955</v>
      </c>
      <c r="Q399" t="str">
        <f t="shared" si="52"/>
        <v>16.5694735813059</v>
      </c>
      <c r="R399" t="str">
        <f t="shared" si="53"/>
        <v>0.54</v>
      </c>
      <c r="S399" t="str">
        <f t="shared" si="54"/>
        <v>2.01</v>
      </c>
      <c r="T399" t="str">
        <f t="shared" si="55"/>
        <v>3.15250390548707</v>
      </c>
      <c r="U399" t="str">
        <f t="shared" si="56"/>
        <v>2.65</v>
      </c>
    </row>
    <row r="400" spans="1:21" x14ac:dyDescent="0.25">
      <c r="A400" t="s">
        <v>43</v>
      </c>
      <c r="B400" s="1" t="s">
        <v>22</v>
      </c>
      <c r="C400">
        <v>5.4890522285726631</v>
      </c>
      <c r="D400" s="17">
        <v>33.590000000000003</v>
      </c>
      <c r="E400">
        <v>43.453146809921236</v>
      </c>
      <c r="F400">
        <v>16.626773329540818</v>
      </c>
      <c r="G400" s="17">
        <v>0.61</v>
      </c>
      <c r="H400" s="17">
        <v>2.21</v>
      </c>
      <c r="I400">
        <v>3.2981939631242794</v>
      </c>
      <c r="J400" s="17">
        <v>2.72</v>
      </c>
      <c r="L400" t="s">
        <v>43</v>
      </c>
      <c r="M400" s="1" t="s">
        <v>22</v>
      </c>
      <c r="N400" t="str">
        <f t="shared" si="49"/>
        <v>5.48905222857266</v>
      </c>
      <c r="O400" t="str">
        <f t="shared" si="50"/>
        <v>33.59</v>
      </c>
      <c r="P400" t="str">
        <f t="shared" si="51"/>
        <v>43.4531468099212</v>
      </c>
      <c r="Q400" t="str">
        <f t="shared" si="52"/>
        <v>16.6267733295408</v>
      </c>
      <c r="R400" t="str">
        <f t="shared" si="53"/>
        <v>0.61</v>
      </c>
      <c r="S400" t="str">
        <f t="shared" si="54"/>
        <v>2.21</v>
      </c>
      <c r="T400" t="str">
        <f t="shared" si="55"/>
        <v>3.29819396312428</v>
      </c>
      <c r="U400" t="str">
        <f t="shared" si="56"/>
        <v>2.72</v>
      </c>
    </row>
    <row r="401" spans="1:21" x14ac:dyDescent="0.25">
      <c r="A401" t="s">
        <v>43</v>
      </c>
      <c r="B401" s="1" t="s">
        <v>23</v>
      </c>
      <c r="C401">
        <v>11.588533666765745</v>
      </c>
      <c r="D401" s="19">
        <v>43.45</v>
      </c>
      <c r="E401">
        <v>44.055159507286348</v>
      </c>
      <c r="F401">
        <v>16.722662242140455</v>
      </c>
      <c r="G401" s="19">
        <v>0.66</v>
      </c>
      <c r="H401" s="19">
        <v>1.99</v>
      </c>
      <c r="I401">
        <v>2.6660830109689657</v>
      </c>
      <c r="J401" s="19">
        <v>2.65</v>
      </c>
      <c r="L401" t="s">
        <v>43</v>
      </c>
      <c r="M401" s="1" t="s">
        <v>23</v>
      </c>
      <c r="N401" t="str">
        <f t="shared" si="49"/>
        <v>11.5885336667657</v>
      </c>
      <c r="O401" t="str">
        <f t="shared" si="50"/>
        <v>43.45</v>
      </c>
      <c r="P401" t="str">
        <f t="shared" si="51"/>
        <v>44.0551595072863</v>
      </c>
      <c r="Q401" t="str">
        <f t="shared" si="52"/>
        <v>16.7226622421405</v>
      </c>
      <c r="R401" t="str">
        <f t="shared" si="53"/>
        <v>0.66</v>
      </c>
      <c r="S401" t="str">
        <f t="shared" si="54"/>
        <v>1.99</v>
      </c>
      <c r="T401" t="str">
        <f t="shared" si="55"/>
        <v>2.66608301096897</v>
      </c>
      <c r="U401" t="str">
        <f t="shared" si="56"/>
        <v>2.65</v>
      </c>
    </row>
    <row r="402" spans="1:21" x14ac:dyDescent="0.25">
      <c r="A402" t="s">
        <v>44</v>
      </c>
      <c r="B402" s="1" t="s">
        <v>4</v>
      </c>
      <c r="C402">
        <v>-0.41607415653438079</v>
      </c>
      <c r="D402" s="17">
        <v>25.44</v>
      </c>
      <c r="E402">
        <v>67.845738734893175</v>
      </c>
      <c r="F402">
        <v>18.281859832169001</v>
      </c>
      <c r="G402" s="17">
        <v>2.37</v>
      </c>
      <c r="H402" s="17">
        <v>0.94</v>
      </c>
      <c r="I402">
        <v>1.1895345238873005</v>
      </c>
      <c r="J402" s="17">
        <v>8.83</v>
      </c>
      <c r="L402" t="s">
        <v>44</v>
      </c>
      <c r="M402" s="1" t="s">
        <v>4</v>
      </c>
      <c r="N402" t="str">
        <f t="shared" si="49"/>
        <v>-0.416074156534381</v>
      </c>
      <c r="O402" t="str">
        <f t="shared" si="50"/>
        <v>25.44</v>
      </c>
      <c r="P402" t="str">
        <f t="shared" si="51"/>
        <v>67.8457387348932</v>
      </c>
      <c r="Q402" t="str">
        <f t="shared" si="52"/>
        <v>18.281859832169</v>
      </c>
      <c r="R402" t="str">
        <f t="shared" si="53"/>
        <v>2.37</v>
      </c>
      <c r="S402" t="str">
        <f t="shared" si="54"/>
        <v>0.94</v>
      </c>
      <c r="T402" t="str">
        <f t="shared" si="55"/>
        <v>1.1895345238873</v>
      </c>
      <c r="U402" t="str">
        <f t="shared" si="56"/>
        <v>8.83</v>
      </c>
    </row>
    <row r="403" spans="1:21" x14ac:dyDescent="0.25">
      <c r="A403" t="s">
        <v>44</v>
      </c>
      <c r="B403" s="1" t="s">
        <v>5</v>
      </c>
      <c r="C403">
        <v>3.1212576313035334</v>
      </c>
      <c r="D403" s="17">
        <v>23.62</v>
      </c>
      <c r="E403">
        <v>67.345105450583119</v>
      </c>
      <c r="F403">
        <v>18.320001553772006</v>
      </c>
      <c r="G403" s="17">
        <v>2.41</v>
      </c>
      <c r="H403" s="17">
        <v>1.07</v>
      </c>
      <c r="I403">
        <v>1.3323475271318672</v>
      </c>
      <c r="J403" s="17">
        <v>8.91</v>
      </c>
      <c r="L403" t="s">
        <v>44</v>
      </c>
      <c r="M403" s="1" t="s">
        <v>5</v>
      </c>
      <c r="N403" t="str">
        <f t="shared" si="49"/>
        <v>3.12125763130353</v>
      </c>
      <c r="O403" t="str">
        <f t="shared" si="50"/>
        <v>23.62</v>
      </c>
      <c r="P403" t="str">
        <f t="shared" si="51"/>
        <v>67.3451054505831</v>
      </c>
      <c r="Q403" t="str">
        <f t="shared" si="52"/>
        <v>18.320001553772</v>
      </c>
      <c r="R403" t="str">
        <f t="shared" si="53"/>
        <v>2.41</v>
      </c>
      <c r="S403" t="str">
        <f t="shared" si="54"/>
        <v>1.07</v>
      </c>
      <c r="T403" t="str">
        <f t="shared" si="55"/>
        <v>1.33234752713187</v>
      </c>
      <c r="U403" t="str">
        <f t="shared" si="56"/>
        <v>8.91</v>
      </c>
    </row>
    <row r="404" spans="1:21" x14ac:dyDescent="0.25">
      <c r="A404" t="s">
        <v>44</v>
      </c>
      <c r="B404" s="1" t="s">
        <v>6</v>
      </c>
      <c r="C404">
        <v>-6.0711062015307071E-2</v>
      </c>
      <c r="D404" s="17">
        <v>24.3</v>
      </c>
      <c r="E404">
        <v>69.148920661836371</v>
      </c>
      <c r="F404">
        <v>18.292962036322873</v>
      </c>
      <c r="G404" s="17">
        <v>2.34</v>
      </c>
      <c r="H404" s="17">
        <v>1.19</v>
      </c>
      <c r="I404">
        <v>1.4222527880791667</v>
      </c>
      <c r="J404" s="17">
        <v>8.86</v>
      </c>
      <c r="L404" t="s">
        <v>44</v>
      </c>
      <c r="M404" s="1" t="s">
        <v>6</v>
      </c>
      <c r="N404" t="str">
        <f t="shared" si="49"/>
        <v>-0.0607110620153071</v>
      </c>
      <c r="O404" t="str">
        <f t="shared" si="50"/>
        <v>24.3</v>
      </c>
      <c r="P404" t="str">
        <f t="shared" si="51"/>
        <v>69.1489206618364</v>
      </c>
      <c r="Q404" t="str">
        <f t="shared" si="52"/>
        <v>18.2929620363229</v>
      </c>
      <c r="R404" t="str">
        <f t="shared" si="53"/>
        <v>2.34</v>
      </c>
      <c r="S404" t="str">
        <f t="shared" si="54"/>
        <v>1.19</v>
      </c>
      <c r="T404" t="str">
        <f t="shared" si="55"/>
        <v>1.42225278807917</v>
      </c>
      <c r="U404" t="str">
        <f t="shared" si="56"/>
        <v>8.86</v>
      </c>
    </row>
    <row r="405" spans="1:21" x14ac:dyDescent="0.25">
      <c r="A405" t="s">
        <v>44</v>
      </c>
      <c r="B405" s="1" t="s">
        <v>7</v>
      </c>
      <c r="C405">
        <v>2.6126380565600973E-3</v>
      </c>
      <c r="D405" s="17">
        <v>24.46</v>
      </c>
      <c r="E405">
        <v>66.783611510511903</v>
      </c>
      <c r="F405">
        <v>18.327792897927214</v>
      </c>
      <c r="G405" s="17">
        <v>1.99</v>
      </c>
      <c r="H405" s="17">
        <v>1.22</v>
      </c>
      <c r="I405">
        <v>1.508579958553141</v>
      </c>
      <c r="J405" s="17">
        <v>8.61</v>
      </c>
      <c r="L405" t="s">
        <v>44</v>
      </c>
      <c r="M405" s="1" t="s">
        <v>7</v>
      </c>
      <c r="N405" t="str">
        <f t="shared" si="49"/>
        <v>0.0026126380565601</v>
      </c>
      <c r="O405" t="str">
        <f t="shared" si="50"/>
        <v>24.46</v>
      </c>
      <c r="P405" t="str">
        <f t="shared" si="51"/>
        <v>66.7836115105119</v>
      </c>
      <c r="Q405" t="str">
        <f t="shared" si="52"/>
        <v>18.3277928979272</v>
      </c>
      <c r="R405" t="str">
        <f t="shared" si="53"/>
        <v>1.99</v>
      </c>
      <c r="S405" t="str">
        <f t="shared" si="54"/>
        <v>1.22</v>
      </c>
      <c r="T405" t="str">
        <f t="shared" si="55"/>
        <v>1.50857995855314</v>
      </c>
      <c r="U405" t="str">
        <f t="shared" si="56"/>
        <v>8.61</v>
      </c>
    </row>
    <row r="406" spans="1:21" x14ac:dyDescent="0.25">
      <c r="A406" t="s">
        <v>44</v>
      </c>
      <c r="B406" s="1" t="s">
        <v>8</v>
      </c>
      <c r="C406">
        <v>117.44673783525886</v>
      </c>
      <c r="D406" s="17">
        <v>22.68</v>
      </c>
      <c r="E406">
        <v>73.17018303485851</v>
      </c>
      <c r="F406">
        <v>19.013246360342375</v>
      </c>
      <c r="G406" s="17">
        <v>1.0900000000000001</v>
      </c>
      <c r="H406" s="17">
        <v>0.73</v>
      </c>
      <c r="I406">
        <v>0.82597905499837565</v>
      </c>
      <c r="J406" s="17">
        <v>4.8899999999999997</v>
      </c>
      <c r="L406" t="s">
        <v>44</v>
      </c>
      <c r="M406" s="1" t="s">
        <v>8</v>
      </c>
      <c r="N406" t="str">
        <f t="shared" si="49"/>
        <v>117.446737835259</v>
      </c>
      <c r="O406" t="str">
        <f t="shared" si="50"/>
        <v>22.68</v>
      </c>
      <c r="P406" t="str">
        <f t="shared" si="51"/>
        <v>73.1701830348585</v>
      </c>
      <c r="Q406" t="str">
        <f t="shared" si="52"/>
        <v>19.0132463603424</v>
      </c>
      <c r="R406" t="str">
        <f t="shared" si="53"/>
        <v>1.09</v>
      </c>
      <c r="S406" t="str">
        <f t="shared" si="54"/>
        <v>0.73</v>
      </c>
      <c r="T406" t="str">
        <f t="shared" si="55"/>
        <v>0.825979054998376</v>
      </c>
      <c r="U406" t="str">
        <f t="shared" si="56"/>
        <v>4.89</v>
      </c>
    </row>
    <row r="407" spans="1:21" x14ac:dyDescent="0.25">
      <c r="A407" t="s">
        <v>44</v>
      </c>
      <c r="B407" s="1" t="s">
        <v>9</v>
      </c>
      <c r="C407">
        <v>1.8694947380425468</v>
      </c>
      <c r="D407" s="17">
        <v>23.34</v>
      </c>
      <c r="E407">
        <v>77.317298854602882</v>
      </c>
      <c r="F407">
        <v>18.97663898836576</v>
      </c>
      <c r="G407" s="17">
        <v>2.1800000000000002</v>
      </c>
      <c r="H407" s="17">
        <v>0.81</v>
      </c>
      <c r="I407">
        <v>0.83834075264259023</v>
      </c>
      <c r="J407" s="17">
        <v>6.72</v>
      </c>
      <c r="L407" t="s">
        <v>44</v>
      </c>
      <c r="M407" s="1" t="s">
        <v>9</v>
      </c>
      <c r="N407" t="str">
        <f t="shared" si="49"/>
        <v>1.86949473804255</v>
      </c>
      <c r="O407" t="str">
        <f t="shared" si="50"/>
        <v>23.34</v>
      </c>
      <c r="P407" t="str">
        <f t="shared" si="51"/>
        <v>77.3172988546029</v>
      </c>
      <c r="Q407" t="str">
        <f t="shared" si="52"/>
        <v>18.9766389883658</v>
      </c>
      <c r="R407" t="str">
        <f t="shared" si="53"/>
        <v>2.18</v>
      </c>
      <c r="S407" t="str">
        <f t="shared" si="54"/>
        <v>0.81</v>
      </c>
      <c r="T407" t="str">
        <f t="shared" si="55"/>
        <v>0.83834075264259</v>
      </c>
      <c r="U407" t="str">
        <f t="shared" si="56"/>
        <v>6.72</v>
      </c>
    </row>
    <row r="408" spans="1:21" x14ac:dyDescent="0.25">
      <c r="A408" t="s">
        <v>44</v>
      </c>
      <c r="B408" s="1" t="s">
        <v>10</v>
      </c>
      <c r="C408">
        <v>-2.317558087048079</v>
      </c>
      <c r="D408" s="17">
        <v>23.91</v>
      </c>
      <c r="E408">
        <v>77.958794999532117</v>
      </c>
      <c r="F408">
        <v>18.944927932209438</v>
      </c>
      <c r="G408" s="17">
        <v>1.37</v>
      </c>
      <c r="H408" s="17">
        <v>0.81</v>
      </c>
      <c r="I408">
        <v>0.88969172210078018</v>
      </c>
      <c r="J408" s="17">
        <v>4.78</v>
      </c>
      <c r="L408" t="s">
        <v>44</v>
      </c>
      <c r="M408" s="1" t="s">
        <v>10</v>
      </c>
      <c r="N408" t="str">
        <f t="shared" si="49"/>
        <v>-2.31755808704808</v>
      </c>
      <c r="O408" t="str">
        <f t="shared" si="50"/>
        <v>23.91</v>
      </c>
      <c r="P408" t="str">
        <f t="shared" si="51"/>
        <v>77.9587949995321</v>
      </c>
      <c r="Q408" t="str">
        <f t="shared" si="52"/>
        <v>18.9449279322094</v>
      </c>
      <c r="R408" t="str">
        <f t="shared" si="53"/>
        <v>1.37</v>
      </c>
      <c r="S408" t="str">
        <f t="shared" si="54"/>
        <v>0.81</v>
      </c>
      <c r="T408" t="str">
        <f t="shared" si="55"/>
        <v>0.88969172210078</v>
      </c>
      <c r="U408" t="str">
        <f t="shared" si="56"/>
        <v>4.78</v>
      </c>
    </row>
    <row r="409" spans="1:21" x14ac:dyDescent="0.25">
      <c r="A409" t="s">
        <v>44</v>
      </c>
      <c r="B409" s="1" t="s">
        <v>11</v>
      </c>
      <c r="C409">
        <v>0.81530242910456074</v>
      </c>
      <c r="D409" s="17">
        <v>23.51</v>
      </c>
      <c r="E409">
        <v>79.26350345442448</v>
      </c>
      <c r="F409">
        <v>18.936450529184018</v>
      </c>
      <c r="G409" s="17">
        <v>1.29</v>
      </c>
      <c r="H409" s="17">
        <v>0.78</v>
      </c>
      <c r="I409">
        <v>0.88511193858714521</v>
      </c>
      <c r="J409" s="17">
        <v>4.83</v>
      </c>
      <c r="L409" t="s">
        <v>44</v>
      </c>
      <c r="M409" s="1" t="s">
        <v>11</v>
      </c>
      <c r="N409" t="str">
        <f t="shared" si="49"/>
        <v>0.815302429104561</v>
      </c>
      <c r="O409" t="str">
        <f t="shared" si="50"/>
        <v>23.51</v>
      </c>
      <c r="P409" t="str">
        <f t="shared" si="51"/>
        <v>79.2635034544245</v>
      </c>
      <c r="Q409" t="str">
        <f t="shared" si="52"/>
        <v>18.936450529184</v>
      </c>
      <c r="R409" t="str">
        <f t="shared" si="53"/>
        <v>1.29</v>
      </c>
      <c r="S409" t="str">
        <f t="shared" si="54"/>
        <v>0.78</v>
      </c>
      <c r="T409" t="str">
        <f t="shared" si="55"/>
        <v>0.885111938587145</v>
      </c>
      <c r="U409" t="str">
        <f t="shared" si="56"/>
        <v>4.83</v>
      </c>
    </row>
    <row r="410" spans="1:21" x14ac:dyDescent="0.25">
      <c r="A410" t="s">
        <v>44</v>
      </c>
      <c r="B410" s="1" t="s">
        <v>12</v>
      </c>
      <c r="C410">
        <v>11.36225203667151</v>
      </c>
      <c r="D410" s="17">
        <v>21.95</v>
      </c>
      <c r="E410">
        <v>79.935965240844126</v>
      </c>
      <c r="F410">
        <v>19.035620671776979</v>
      </c>
      <c r="G410" s="17">
        <v>1.47</v>
      </c>
      <c r="H410" s="17">
        <v>0.94</v>
      </c>
      <c r="I410">
        <v>1.1714867666589983</v>
      </c>
      <c r="J410" s="17">
        <v>4.82</v>
      </c>
      <c r="L410" t="s">
        <v>44</v>
      </c>
      <c r="M410" s="1" t="s">
        <v>12</v>
      </c>
      <c r="N410" t="str">
        <f t="shared" si="49"/>
        <v>11.3622520366715</v>
      </c>
      <c r="O410" t="str">
        <f t="shared" si="50"/>
        <v>21.95</v>
      </c>
      <c r="P410" t="str">
        <f t="shared" si="51"/>
        <v>79.9359652408441</v>
      </c>
      <c r="Q410" t="str">
        <f t="shared" si="52"/>
        <v>19.035620671777</v>
      </c>
      <c r="R410" t="str">
        <f t="shared" si="53"/>
        <v>1.47</v>
      </c>
      <c r="S410" t="str">
        <f t="shared" si="54"/>
        <v>0.94</v>
      </c>
      <c r="T410" t="str">
        <f t="shared" si="55"/>
        <v>1.171486766659</v>
      </c>
      <c r="U410" t="str">
        <f t="shared" si="56"/>
        <v>4.82</v>
      </c>
    </row>
    <row r="411" spans="1:21" x14ac:dyDescent="0.25">
      <c r="A411" t="s">
        <v>44</v>
      </c>
      <c r="B411" s="1" t="s">
        <v>13</v>
      </c>
      <c r="C411">
        <v>-4.133581499201016</v>
      </c>
      <c r="D411" s="17">
        <v>22.52</v>
      </c>
      <c r="E411">
        <v>82.804207611547227</v>
      </c>
      <c r="F411">
        <v>18.958153237308863</v>
      </c>
      <c r="G411" s="17">
        <v>1.51</v>
      </c>
      <c r="H411" s="17">
        <v>1.08</v>
      </c>
      <c r="I411">
        <v>1.4042660026392273</v>
      </c>
      <c r="J411" s="17">
        <v>4.66</v>
      </c>
      <c r="L411" t="s">
        <v>44</v>
      </c>
      <c r="M411" s="1" t="s">
        <v>13</v>
      </c>
      <c r="N411" t="str">
        <f t="shared" si="49"/>
        <v>-4.13358149920102</v>
      </c>
      <c r="O411" t="str">
        <f t="shared" si="50"/>
        <v>22.52</v>
      </c>
      <c r="P411" t="str">
        <f t="shared" si="51"/>
        <v>82.8042076115472</v>
      </c>
      <c r="Q411" t="str">
        <f t="shared" si="52"/>
        <v>18.9581532373089</v>
      </c>
      <c r="R411" t="str">
        <f t="shared" si="53"/>
        <v>1.51</v>
      </c>
      <c r="S411" t="str">
        <f t="shared" si="54"/>
        <v>1.08</v>
      </c>
      <c r="T411" t="str">
        <f t="shared" si="55"/>
        <v>1.40426600263923</v>
      </c>
      <c r="U411" t="str">
        <f t="shared" si="56"/>
        <v>4.66</v>
      </c>
    </row>
    <row r="412" spans="1:21" x14ac:dyDescent="0.25">
      <c r="A412" t="s">
        <v>44</v>
      </c>
      <c r="B412" s="1" t="s">
        <v>14</v>
      </c>
      <c r="C412">
        <v>-1.4291810014515793</v>
      </c>
      <c r="D412" s="17">
        <v>24.34</v>
      </c>
      <c r="E412">
        <v>80.815478373056365</v>
      </c>
      <c r="F412">
        <v>18.968068681225642</v>
      </c>
      <c r="G412" s="17">
        <v>1.37</v>
      </c>
      <c r="H412" s="17">
        <v>1.05</v>
      </c>
      <c r="I412">
        <v>1.4733136624383605</v>
      </c>
      <c r="J412" s="17">
        <v>4.49</v>
      </c>
      <c r="L412" t="s">
        <v>44</v>
      </c>
      <c r="M412" s="1" t="s">
        <v>14</v>
      </c>
      <c r="N412" t="str">
        <f t="shared" si="49"/>
        <v>-1.42918100145158</v>
      </c>
      <c r="O412" t="str">
        <f t="shared" si="50"/>
        <v>24.34</v>
      </c>
      <c r="P412" t="str">
        <f t="shared" si="51"/>
        <v>80.8154783730564</v>
      </c>
      <c r="Q412" t="str">
        <f t="shared" si="52"/>
        <v>18.9680686812256</v>
      </c>
      <c r="R412" t="str">
        <f t="shared" si="53"/>
        <v>1.37</v>
      </c>
      <c r="S412" t="str">
        <f t="shared" si="54"/>
        <v>1.05</v>
      </c>
      <c r="T412" t="str">
        <f t="shared" si="55"/>
        <v>1.47331366243836</v>
      </c>
      <c r="U412" t="str">
        <f t="shared" si="56"/>
        <v>4.49</v>
      </c>
    </row>
    <row r="413" spans="1:21" x14ac:dyDescent="0.25">
      <c r="A413" t="s">
        <v>44</v>
      </c>
      <c r="B413" s="1" t="s">
        <v>15</v>
      </c>
      <c r="C413">
        <v>-9.3183568777761963</v>
      </c>
      <c r="D413" s="17">
        <v>25.19</v>
      </c>
      <c r="E413">
        <v>75.330732827407601</v>
      </c>
      <c r="F413">
        <v>18.940533761905389</v>
      </c>
      <c r="G413" s="17">
        <v>1.01</v>
      </c>
      <c r="H413" s="17">
        <v>1.1499999999999999</v>
      </c>
      <c r="I413">
        <v>2.0308153888341707</v>
      </c>
      <c r="J413" s="17">
        <v>4.4400000000000004</v>
      </c>
      <c r="L413" t="s">
        <v>44</v>
      </c>
      <c r="M413" s="1" t="s">
        <v>15</v>
      </c>
      <c r="N413" t="str">
        <f t="shared" si="49"/>
        <v>-9.3183568777762</v>
      </c>
      <c r="O413" t="str">
        <f t="shared" si="50"/>
        <v>25.19</v>
      </c>
      <c r="P413" t="str">
        <f t="shared" si="51"/>
        <v>75.3307328274076</v>
      </c>
      <c r="Q413" t="str">
        <f t="shared" si="52"/>
        <v>18.9405337619054</v>
      </c>
      <c r="R413" t="str">
        <f t="shared" si="53"/>
        <v>1.01</v>
      </c>
      <c r="S413" t="str">
        <f t="shared" si="54"/>
        <v>1.15</v>
      </c>
      <c r="T413" t="str">
        <f t="shared" si="55"/>
        <v>2.03081538883417</v>
      </c>
      <c r="U413" t="str">
        <f t="shared" si="56"/>
        <v>4.44</v>
      </c>
    </row>
    <row r="414" spans="1:21" x14ac:dyDescent="0.25">
      <c r="A414" t="s">
        <v>44</v>
      </c>
      <c r="B414" s="1" t="s">
        <v>16</v>
      </c>
      <c r="C414">
        <v>-2.925911458679693</v>
      </c>
      <c r="D414" s="17">
        <v>26.81</v>
      </c>
      <c r="E414">
        <v>77.497072062838456</v>
      </c>
      <c r="F414">
        <v>18.882486096476324</v>
      </c>
      <c r="G414" s="17">
        <v>2.27</v>
      </c>
      <c r="H414" s="17">
        <v>1.36</v>
      </c>
      <c r="I414">
        <v>2.0472704165601918</v>
      </c>
      <c r="J414" s="17">
        <v>4.76</v>
      </c>
      <c r="L414" t="s">
        <v>44</v>
      </c>
      <c r="M414" s="1" t="s">
        <v>16</v>
      </c>
      <c r="N414" t="str">
        <f t="shared" si="49"/>
        <v>-2.92591145867969</v>
      </c>
      <c r="O414" t="str">
        <f t="shared" si="50"/>
        <v>26.81</v>
      </c>
      <c r="P414" t="str">
        <f t="shared" si="51"/>
        <v>77.4970720628385</v>
      </c>
      <c r="Q414" t="str">
        <f t="shared" si="52"/>
        <v>18.8824860964763</v>
      </c>
      <c r="R414" t="str">
        <f t="shared" si="53"/>
        <v>2.27</v>
      </c>
      <c r="S414" t="str">
        <f t="shared" si="54"/>
        <v>1.36</v>
      </c>
      <c r="T414" t="str">
        <f t="shared" si="55"/>
        <v>2.04727041656019</v>
      </c>
      <c r="U414" t="str">
        <f t="shared" si="56"/>
        <v>4.76</v>
      </c>
    </row>
    <row r="415" spans="1:21" x14ac:dyDescent="0.25">
      <c r="A415" t="s">
        <v>44</v>
      </c>
      <c r="B415" s="1" t="s">
        <v>17</v>
      </c>
      <c r="C415">
        <v>2.0605535615704955</v>
      </c>
      <c r="D415" s="17">
        <v>26.46</v>
      </c>
      <c r="E415">
        <v>78.567370226074345</v>
      </c>
      <c r="F415">
        <v>18.889165889635265</v>
      </c>
      <c r="G415" s="17">
        <v>1.99</v>
      </c>
      <c r="H415" s="17">
        <v>1.39</v>
      </c>
      <c r="I415">
        <v>2.171135281284331</v>
      </c>
      <c r="J415" s="17">
        <v>4.6900000000000004</v>
      </c>
      <c r="L415" t="s">
        <v>44</v>
      </c>
      <c r="M415" s="1" t="s">
        <v>17</v>
      </c>
      <c r="N415" t="str">
        <f t="shared" si="49"/>
        <v>2.0605535615705</v>
      </c>
      <c r="O415" t="str">
        <f t="shared" si="50"/>
        <v>26.46</v>
      </c>
      <c r="P415" t="str">
        <f t="shared" si="51"/>
        <v>78.5673702260743</v>
      </c>
      <c r="Q415" t="str">
        <f t="shared" si="52"/>
        <v>18.8891658896353</v>
      </c>
      <c r="R415" t="str">
        <f t="shared" si="53"/>
        <v>1.99</v>
      </c>
      <c r="S415" t="str">
        <f t="shared" si="54"/>
        <v>1.39</v>
      </c>
      <c r="T415" t="str">
        <f t="shared" si="55"/>
        <v>2.17113528128433</v>
      </c>
      <c r="U415" t="str">
        <f t="shared" si="56"/>
        <v>4.69</v>
      </c>
    </row>
    <row r="416" spans="1:21" x14ac:dyDescent="0.25">
      <c r="A416" t="s">
        <v>44</v>
      </c>
      <c r="B416" s="1" t="s">
        <v>18</v>
      </c>
      <c r="C416">
        <v>1.5350288819721483</v>
      </c>
      <c r="D416" s="17">
        <v>24.52</v>
      </c>
      <c r="E416">
        <v>76.563973492924518</v>
      </c>
      <c r="F416">
        <v>18.930229384722519</v>
      </c>
      <c r="G416" s="17">
        <v>1.51</v>
      </c>
      <c r="H416" s="17">
        <v>1.49</v>
      </c>
      <c r="I416">
        <v>2.4954714343638988</v>
      </c>
      <c r="J416" s="17">
        <v>4.57</v>
      </c>
      <c r="L416" t="s">
        <v>44</v>
      </c>
      <c r="M416" s="1" t="s">
        <v>18</v>
      </c>
      <c r="N416" t="str">
        <f t="shared" si="49"/>
        <v>1.53502888197215</v>
      </c>
      <c r="O416" t="str">
        <f t="shared" si="50"/>
        <v>24.52</v>
      </c>
      <c r="P416" t="str">
        <f t="shared" si="51"/>
        <v>76.5639734929245</v>
      </c>
      <c r="Q416" t="str">
        <f t="shared" si="52"/>
        <v>18.9302293847225</v>
      </c>
      <c r="R416" t="str">
        <f t="shared" si="53"/>
        <v>1.51</v>
      </c>
      <c r="S416" t="str">
        <f t="shared" si="54"/>
        <v>1.49</v>
      </c>
      <c r="T416" t="str">
        <f t="shared" si="55"/>
        <v>2.4954714343639</v>
      </c>
      <c r="U416" t="str">
        <f t="shared" si="56"/>
        <v>4.57</v>
      </c>
    </row>
    <row r="417" spans="1:21" x14ac:dyDescent="0.25">
      <c r="A417" t="s">
        <v>44</v>
      </c>
      <c r="B417" s="1" t="s">
        <v>19</v>
      </c>
      <c r="C417">
        <v>-1.7956702867597887</v>
      </c>
      <c r="D417" s="17">
        <v>24.96</v>
      </c>
      <c r="E417">
        <v>71.680619931184367</v>
      </c>
      <c r="F417">
        <v>18.978015732841985</v>
      </c>
      <c r="G417" s="17">
        <v>1.41</v>
      </c>
      <c r="H417" s="17">
        <v>1.63</v>
      </c>
      <c r="I417">
        <v>2.6003164628139412</v>
      </c>
      <c r="J417" s="17">
        <v>4.46</v>
      </c>
      <c r="L417" t="s">
        <v>44</v>
      </c>
      <c r="M417" s="1" t="s">
        <v>19</v>
      </c>
      <c r="N417" t="str">
        <f t="shared" si="49"/>
        <v>-1.79567028675979</v>
      </c>
      <c r="O417" t="str">
        <f t="shared" si="50"/>
        <v>24.96</v>
      </c>
      <c r="P417" t="str">
        <f t="shared" si="51"/>
        <v>71.6806199311844</v>
      </c>
      <c r="Q417" t="str">
        <f t="shared" si="52"/>
        <v>18.978015732842</v>
      </c>
      <c r="R417" t="str">
        <f t="shared" si="53"/>
        <v>1.41</v>
      </c>
      <c r="S417" t="str">
        <f t="shared" si="54"/>
        <v>1.63</v>
      </c>
      <c r="T417" t="str">
        <f t="shared" si="55"/>
        <v>2.60031646281394</v>
      </c>
      <c r="U417" t="str">
        <f t="shared" si="56"/>
        <v>4.46</v>
      </c>
    </row>
    <row r="418" spans="1:21" x14ac:dyDescent="0.25">
      <c r="A418" t="s">
        <v>44</v>
      </c>
      <c r="B418" s="1" t="s">
        <v>20</v>
      </c>
      <c r="C418">
        <v>5.2443330308691269</v>
      </c>
      <c r="D418" s="17">
        <v>24.41</v>
      </c>
      <c r="E418">
        <v>75.506381642564449</v>
      </c>
      <c r="F418">
        <v>18.977133414502486</v>
      </c>
      <c r="G418" s="17">
        <v>1.41</v>
      </c>
      <c r="H418" s="17">
        <v>1.32</v>
      </c>
      <c r="I418">
        <v>2.4054268733227633</v>
      </c>
      <c r="J418" s="17">
        <v>4.16</v>
      </c>
      <c r="L418" t="s">
        <v>44</v>
      </c>
      <c r="M418" s="1" t="s">
        <v>20</v>
      </c>
      <c r="N418" t="str">
        <f t="shared" si="49"/>
        <v>5.24433303086913</v>
      </c>
      <c r="O418" t="str">
        <f t="shared" si="50"/>
        <v>24.41</v>
      </c>
      <c r="P418" t="str">
        <f t="shared" si="51"/>
        <v>75.5063816425644</v>
      </c>
      <c r="Q418" t="str">
        <f t="shared" si="52"/>
        <v>18.9771334145025</v>
      </c>
      <c r="R418" t="str">
        <f t="shared" si="53"/>
        <v>1.41</v>
      </c>
      <c r="S418" t="str">
        <f t="shared" si="54"/>
        <v>1.32</v>
      </c>
      <c r="T418" t="str">
        <f t="shared" si="55"/>
        <v>2.40542687332276</v>
      </c>
      <c r="U418" t="str">
        <f t="shared" si="56"/>
        <v>4.16</v>
      </c>
    </row>
    <row r="419" spans="1:21" x14ac:dyDescent="0.25">
      <c r="A419" t="s">
        <v>44</v>
      </c>
      <c r="B419" s="1" t="s">
        <v>21</v>
      </c>
      <c r="C419">
        <v>4.8516444106040213</v>
      </c>
      <c r="D419" s="17">
        <v>24.09</v>
      </c>
      <c r="E419">
        <v>78.162672722094001</v>
      </c>
      <c r="F419">
        <v>18.989934644274584</v>
      </c>
      <c r="G419" s="17">
        <v>0.37</v>
      </c>
      <c r="H419" s="17">
        <v>1.25</v>
      </c>
      <c r="I419">
        <v>2.2658298913577908</v>
      </c>
      <c r="J419" s="17">
        <v>4.08</v>
      </c>
      <c r="L419" t="s">
        <v>44</v>
      </c>
      <c r="M419" s="1" t="s">
        <v>21</v>
      </c>
      <c r="N419" t="str">
        <f t="shared" si="49"/>
        <v>4.85164441060402</v>
      </c>
      <c r="O419" t="str">
        <f t="shared" si="50"/>
        <v>24.09</v>
      </c>
      <c r="P419" t="str">
        <f t="shared" si="51"/>
        <v>78.162672722094</v>
      </c>
      <c r="Q419" t="str">
        <f t="shared" si="52"/>
        <v>18.9899346442746</v>
      </c>
      <c r="R419" t="str">
        <f t="shared" si="53"/>
        <v>0.37</v>
      </c>
      <c r="S419" t="str">
        <f t="shared" si="54"/>
        <v>1.25</v>
      </c>
      <c r="T419" t="str">
        <f t="shared" si="55"/>
        <v>2.26582989135779</v>
      </c>
      <c r="U419" t="str">
        <f t="shared" si="56"/>
        <v>4.08</v>
      </c>
    </row>
    <row r="420" spans="1:21" x14ac:dyDescent="0.25">
      <c r="A420" t="s">
        <v>44</v>
      </c>
      <c r="B420" s="1" t="s">
        <v>22</v>
      </c>
      <c r="C420">
        <v>4.3210434116948608</v>
      </c>
      <c r="D420" s="17">
        <v>23.81</v>
      </c>
      <c r="E420">
        <v>79.783200721699984</v>
      </c>
      <c r="F420">
        <v>19.011716796095222</v>
      </c>
      <c r="G420" s="17">
        <v>1.71</v>
      </c>
      <c r="H420" s="17">
        <v>1.34</v>
      </c>
      <c r="I420">
        <v>2.2673613980908178</v>
      </c>
      <c r="J420" s="17">
        <v>4.03</v>
      </c>
      <c r="L420" t="s">
        <v>44</v>
      </c>
      <c r="M420" s="1" t="s">
        <v>22</v>
      </c>
      <c r="N420" t="str">
        <f t="shared" si="49"/>
        <v>4.32104341169486</v>
      </c>
      <c r="O420" t="str">
        <f t="shared" si="50"/>
        <v>23.81</v>
      </c>
      <c r="P420" t="str">
        <f t="shared" si="51"/>
        <v>79.7832007217</v>
      </c>
      <c r="Q420" t="str">
        <f t="shared" si="52"/>
        <v>19.0117167960952</v>
      </c>
      <c r="R420" t="str">
        <f t="shared" si="53"/>
        <v>1.71</v>
      </c>
      <c r="S420" t="str">
        <f t="shared" si="54"/>
        <v>1.34</v>
      </c>
      <c r="T420" t="str">
        <f t="shared" si="55"/>
        <v>2.26736139809082</v>
      </c>
      <c r="U420" t="str">
        <f t="shared" si="56"/>
        <v>4.03</v>
      </c>
    </row>
    <row r="421" spans="1:21" x14ac:dyDescent="0.25">
      <c r="A421" t="s">
        <v>44</v>
      </c>
      <c r="B421" s="1" t="s">
        <v>23</v>
      </c>
      <c r="C421">
        <v>-6.580578584958821</v>
      </c>
      <c r="D421" s="16">
        <v>25.94</v>
      </c>
      <c r="E421">
        <v>71.123941191859572</v>
      </c>
      <c r="F421">
        <v>19.058534831056555</v>
      </c>
      <c r="G421" s="17">
        <v>1.52</v>
      </c>
      <c r="H421" s="17">
        <v>1.32</v>
      </c>
      <c r="I421">
        <v>2.0878725173315447</v>
      </c>
      <c r="J421" s="17">
        <v>3.99</v>
      </c>
      <c r="L421" t="s">
        <v>44</v>
      </c>
      <c r="M421" s="1" t="s">
        <v>23</v>
      </c>
      <c r="N421" t="str">
        <f t="shared" si="49"/>
        <v>-6.58057858495882</v>
      </c>
      <c r="O421" t="str">
        <f t="shared" si="50"/>
        <v>25.94</v>
      </c>
      <c r="P421" t="str">
        <f t="shared" si="51"/>
        <v>71.1239411918596</v>
      </c>
      <c r="Q421" t="str">
        <f t="shared" si="52"/>
        <v>19.0585348310566</v>
      </c>
      <c r="R421" t="str">
        <f t="shared" si="53"/>
        <v>1.52</v>
      </c>
      <c r="S421" t="str">
        <f t="shared" si="54"/>
        <v>1.32</v>
      </c>
      <c r="T421" t="str">
        <f t="shared" si="55"/>
        <v>2.08787251733154</v>
      </c>
      <c r="U421" t="str">
        <f t="shared" si="56"/>
        <v>3.99</v>
      </c>
    </row>
    <row r="422" spans="1:21" x14ac:dyDescent="0.25">
      <c r="A422" t="s">
        <v>45</v>
      </c>
      <c r="B422" s="1" t="s">
        <v>4</v>
      </c>
      <c r="C422">
        <v>14.649720231605553</v>
      </c>
      <c r="D422" s="17">
        <v>25.61</v>
      </c>
      <c r="E422">
        <v>53.326394868797081</v>
      </c>
      <c r="F422">
        <v>16.167701577541195</v>
      </c>
      <c r="G422" s="17">
        <v>0.64</v>
      </c>
      <c r="H422" s="17">
        <v>0</v>
      </c>
      <c r="I422">
        <v>0.48407868817120259</v>
      </c>
      <c r="J422" s="17">
        <v>4.6100000000000003</v>
      </c>
      <c r="L422" t="s">
        <v>45</v>
      </c>
      <c r="M422" s="1" t="s">
        <v>4</v>
      </c>
      <c r="N422" t="str">
        <f t="shared" si="49"/>
        <v>14.6497202316056</v>
      </c>
      <c r="O422" t="str">
        <f t="shared" si="50"/>
        <v>25.61</v>
      </c>
      <c r="P422" t="str">
        <f t="shared" si="51"/>
        <v>53.3263948687971</v>
      </c>
      <c r="Q422" t="str">
        <f t="shared" si="52"/>
        <v>16.1677015775412</v>
      </c>
      <c r="R422" t="str">
        <f t="shared" si="53"/>
        <v>0.64</v>
      </c>
      <c r="S422" t="str">
        <f t="shared" si="54"/>
        <v>0</v>
      </c>
      <c r="T422" t="str">
        <f t="shared" si="55"/>
        <v>0.484078688171203</v>
      </c>
      <c r="U422" t="str">
        <f t="shared" si="56"/>
        <v>4.61</v>
      </c>
    </row>
    <row r="423" spans="1:21" x14ac:dyDescent="0.25">
      <c r="A423" t="s">
        <v>45</v>
      </c>
      <c r="B423" s="1" t="s">
        <v>5</v>
      </c>
      <c r="C423">
        <v>6.696710345636145</v>
      </c>
      <c r="D423" s="17">
        <v>24.57</v>
      </c>
      <c r="E423">
        <v>59.541049728824028</v>
      </c>
      <c r="F423">
        <v>16.122287154322013</v>
      </c>
      <c r="G423" s="17">
        <v>0.59</v>
      </c>
      <c r="H423" s="17">
        <v>0.72</v>
      </c>
      <c r="I423">
        <v>0.76002899426236059</v>
      </c>
      <c r="J423" s="17">
        <v>4.71</v>
      </c>
      <c r="L423" t="s">
        <v>45</v>
      </c>
      <c r="M423" s="1" t="s">
        <v>5</v>
      </c>
      <c r="N423" t="str">
        <f t="shared" si="49"/>
        <v>6.69671034563614</v>
      </c>
      <c r="O423" t="str">
        <f t="shared" si="50"/>
        <v>24.57</v>
      </c>
      <c r="P423" t="str">
        <f t="shared" si="51"/>
        <v>59.541049728824</v>
      </c>
      <c r="Q423" t="str">
        <f t="shared" si="52"/>
        <v>16.122287154322</v>
      </c>
      <c r="R423" t="str">
        <f t="shared" si="53"/>
        <v>0.59</v>
      </c>
      <c r="S423" t="str">
        <f t="shared" si="54"/>
        <v>0.72</v>
      </c>
      <c r="T423" t="str">
        <f t="shared" si="55"/>
        <v>0.760028994262361</v>
      </c>
      <c r="U423" t="str">
        <f t="shared" si="56"/>
        <v>4.71</v>
      </c>
    </row>
    <row r="424" spans="1:21" x14ac:dyDescent="0.25">
      <c r="A424" t="s">
        <v>45</v>
      </c>
      <c r="B424" s="1" t="s">
        <v>6</v>
      </c>
      <c r="C424">
        <v>3.6552740088247186</v>
      </c>
      <c r="D424" s="17">
        <v>24.13</v>
      </c>
      <c r="E424">
        <v>59.552564976847911</v>
      </c>
      <c r="F424">
        <v>16.157994307333077</v>
      </c>
      <c r="G424" s="17">
        <v>0.63</v>
      </c>
      <c r="H424" s="17">
        <v>0.71</v>
      </c>
      <c r="I424">
        <v>0.77722794722594801</v>
      </c>
      <c r="J424" s="17">
        <v>4.7</v>
      </c>
      <c r="L424" t="s">
        <v>45</v>
      </c>
      <c r="M424" s="1" t="s">
        <v>6</v>
      </c>
      <c r="N424" t="str">
        <f t="shared" si="49"/>
        <v>3.65527400882472</v>
      </c>
      <c r="O424" t="str">
        <f t="shared" si="50"/>
        <v>24.13</v>
      </c>
      <c r="P424" t="str">
        <f t="shared" si="51"/>
        <v>59.5525649768479</v>
      </c>
      <c r="Q424" t="str">
        <f t="shared" si="52"/>
        <v>16.1579943073331</v>
      </c>
      <c r="R424" t="str">
        <f t="shared" si="53"/>
        <v>0.63</v>
      </c>
      <c r="S424" t="str">
        <f t="shared" si="54"/>
        <v>0.71</v>
      </c>
      <c r="T424" t="str">
        <f t="shared" si="55"/>
        <v>0.777227947225948</v>
      </c>
      <c r="U424" t="str">
        <f t="shared" si="56"/>
        <v>4.7</v>
      </c>
    </row>
    <row r="425" spans="1:21" x14ac:dyDescent="0.25">
      <c r="A425" t="s">
        <v>45</v>
      </c>
      <c r="B425" s="1" t="s">
        <v>7</v>
      </c>
      <c r="C425">
        <v>5.6681328635436525</v>
      </c>
      <c r="D425" s="17">
        <v>23.27</v>
      </c>
      <c r="E425">
        <v>55.527976516156841</v>
      </c>
      <c r="F425">
        <v>16.283099874552651</v>
      </c>
      <c r="G425" s="17">
        <v>0.42</v>
      </c>
      <c r="H425" s="17">
        <v>0.97</v>
      </c>
      <c r="I425">
        <v>0.98537798144712774</v>
      </c>
      <c r="J425" s="17">
        <v>4.62</v>
      </c>
      <c r="L425" t="s">
        <v>45</v>
      </c>
      <c r="M425" s="1" t="s">
        <v>7</v>
      </c>
      <c r="N425" t="str">
        <f t="shared" si="49"/>
        <v>5.66813286354365</v>
      </c>
      <c r="O425" t="str">
        <f t="shared" si="50"/>
        <v>23.27</v>
      </c>
      <c r="P425" t="str">
        <f t="shared" si="51"/>
        <v>55.5279765161568</v>
      </c>
      <c r="Q425" t="str">
        <f t="shared" si="52"/>
        <v>16.2830998745527</v>
      </c>
      <c r="R425" t="str">
        <f t="shared" si="53"/>
        <v>0.42</v>
      </c>
      <c r="S425" t="str">
        <f t="shared" si="54"/>
        <v>0.97</v>
      </c>
      <c r="T425" t="str">
        <f t="shared" si="55"/>
        <v>0.985377981447128</v>
      </c>
      <c r="U425" t="str">
        <f t="shared" si="56"/>
        <v>4.62</v>
      </c>
    </row>
    <row r="426" spans="1:21" x14ac:dyDescent="0.25">
      <c r="A426" t="s">
        <v>45</v>
      </c>
      <c r="B426" s="1" t="s">
        <v>8</v>
      </c>
      <c r="C426">
        <v>2.0583424022046866</v>
      </c>
      <c r="D426" s="17">
        <v>22.32</v>
      </c>
      <c r="E426">
        <v>55.745528666236801</v>
      </c>
      <c r="F426">
        <v>16.29956409395416</v>
      </c>
      <c r="G426" s="17">
        <v>0.39</v>
      </c>
      <c r="H426" s="17">
        <v>0.56000000000000005</v>
      </c>
      <c r="I426">
        <v>0.96082159754712881</v>
      </c>
      <c r="J426" s="17">
        <v>3.87</v>
      </c>
      <c r="L426" t="s">
        <v>45</v>
      </c>
      <c r="M426" s="1" t="s">
        <v>8</v>
      </c>
      <c r="N426" t="str">
        <f t="shared" si="49"/>
        <v>2.05834240220469</v>
      </c>
      <c r="O426" t="str">
        <f t="shared" si="50"/>
        <v>22.32</v>
      </c>
      <c r="P426" t="str">
        <f t="shared" si="51"/>
        <v>55.7455286662368</v>
      </c>
      <c r="Q426" t="str">
        <f t="shared" si="52"/>
        <v>16.2995640939542</v>
      </c>
      <c r="R426" t="str">
        <f t="shared" si="53"/>
        <v>0.39</v>
      </c>
      <c r="S426" t="str">
        <f t="shared" si="54"/>
        <v>0.56</v>
      </c>
      <c r="T426" t="str">
        <f t="shared" si="55"/>
        <v>0.960821597547129</v>
      </c>
      <c r="U426" t="str">
        <f t="shared" si="56"/>
        <v>3.87</v>
      </c>
    </row>
    <row r="427" spans="1:21" x14ac:dyDescent="0.25">
      <c r="A427" t="s">
        <v>45</v>
      </c>
      <c r="B427" s="1" t="s">
        <v>9</v>
      </c>
      <c r="C427">
        <v>1.849947013349823</v>
      </c>
      <c r="D427" s="17">
        <v>22.24</v>
      </c>
      <c r="E427">
        <v>56.331570721539912</v>
      </c>
      <c r="F427">
        <v>16.307436597425585</v>
      </c>
      <c r="G427" s="17">
        <v>0.44</v>
      </c>
      <c r="H427" s="17">
        <v>0.62</v>
      </c>
      <c r="I427">
        <v>0.94896660327981075</v>
      </c>
      <c r="J427" s="17">
        <v>4.05</v>
      </c>
      <c r="L427" t="s">
        <v>45</v>
      </c>
      <c r="M427" s="1" t="s">
        <v>9</v>
      </c>
      <c r="N427" t="str">
        <f t="shared" si="49"/>
        <v>1.84994701334982</v>
      </c>
      <c r="O427" t="str">
        <f t="shared" si="50"/>
        <v>22.24</v>
      </c>
      <c r="P427" t="str">
        <f t="shared" si="51"/>
        <v>56.3315707215399</v>
      </c>
      <c r="Q427" t="str">
        <f t="shared" si="52"/>
        <v>16.3074365974256</v>
      </c>
      <c r="R427" t="str">
        <f t="shared" si="53"/>
        <v>0.44</v>
      </c>
      <c r="S427" t="str">
        <f t="shared" si="54"/>
        <v>0.62</v>
      </c>
      <c r="T427" t="str">
        <f t="shared" si="55"/>
        <v>0.948966603279811</v>
      </c>
      <c r="U427" t="str">
        <f t="shared" si="56"/>
        <v>4.05</v>
      </c>
    </row>
    <row r="428" spans="1:21" x14ac:dyDescent="0.25">
      <c r="A428" t="s">
        <v>45</v>
      </c>
      <c r="B428" s="1" t="s">
        <v>10</v>
      </c>
      <c r="C428">
        <v>0.11793040079149102</v>
      </c>
      <c r="D428" s="17">
        <v>21.94</v>
      </c>
      <c r="E428">
        <v>56.423682731451343</v>
      </c>
      <c r="F428">
        <v>16.30698136644553</v>
      </c>
      <c r="G428" s="17">
        <v>0.49</v>
      </c>
      <c r="H428" s="17">
        <v>0.62</v>
      </c>
      <c r="I428">
        <v>0.95354176323059736</v>
      </c>
      <c r="J428" s="17">
        <v>3.97</v>
      </c>
      <c r="L428" t="s">
        <v>45</v>
      </c>
      <c r="M428" s="1" t="s">
        <v>10</v>
      </c>
      <c r="N428" t="str">
        <f t="shared" si="49"/>
        <v>0.117930400791491</v>
      </c>
      <c r="O428" t="str">
        <f t="shared" si="50"/>
        <v>21.94</v>
      </c>
      <c r="P428" t="str">
        <f t="shared" si="51"/>
        <v>56.4236827314513</v>
      </c>
      <c r="Q428" t="str">
        <f t="shared" si="52"/>
        <v>16.3069813664455</v>
      </c>
      <c r="R428" t="str">
        <f t="shared" si="53"/>
        <v>0.49</v>
      </c>
      <c r="S428" t="str">
        <f t="shared" si="54"/>
        <v>0.62</v>
      </c>
      <c r="T428" t="str">
        <f t="shared" si="55"/>
        <v>0.953541763230597</v>
      </c>
      <c r="U428" t="str">
        <f t="shared" si="56"/>
        <v>3.97</v>
      </c>
    </row>
    <row r="429" spans="1:21" x14ac:dyDescent="0.25">
      <c r="A429" t="s">
        <v>45</v>
      </c>
      <c r="B429" s="1" t="s">
        <v>11</v>
      </c>
      <c r="C429">
        <v>4.7622799607889919</v>
      </c>
      <c r="D429" s="17">
        <v>21.56</v>
      </c>
      <c r="E429">
        <v>54.306912879198435</v>
      </c>
      <c r="F429">
        <v>16.391742412625874</v>
      </c>
      <c r="G429" s="17">
        <v>0.52</v>
      </c>
      <c r="H429" s="17">
        <v>2.09</v>
      </c>
      <c r="I429">
        <v>0.46422949682234027</v>
      </c>
      <c r="J429" s="17">
        <v>3.92</v>
      </c>
      <c r="L429" t="s">
        <v>45</v>
      </c>
      <c r="M429" s="1" t="s">
        <v>11</v>
      </c>
      <c r="N429" t="str">
        <f t="shared" si="49"/>
        <v>4.76227996078899</v>
      </c>
      <c r="O429" t="str">
        <f t="shared" si="50"/>
        <v>21.56</v>
      </c>
      <c r="P429" t="str">
        <f t="shared" si="51"/>
        <v>54.3069128791984</v>
      </c>
      <c r="Q429" t="str">
        <f t="shared" si="52"/>
        <v>16.3917424126259</v>
      </c>
      <c r="R429" t="str">
        <f t="shared" si="53"/>
        <v>0.52</v>
      </c>
      <c r="S429" t="str">
        <f t="shared" si="54"/>
        <v>2.09</v>
      </c>
      <c r="T429" t="str">
        <f t="shared" si="55"/>
        <v>0.46422949682234</v>
      </c>
      <c r="U429" t="str">
        <f t="shared" si="56"/>
        <v>3.92</v>
      </c>
    </row>
    <row r="430" spans="1:21" x14ac:dyDescent="0.25">
      <c r="A430" t="s">
        <v>45</v>
      </c>
      <c r="B430" s="1" t="s">
        <v>12</v>
      </c>
      <c r="C430">
        <v>-5.6585410398286946</v>
      </c>
      <c r="D430" s="17">
        <v>22.89</v>
      </c>
      <c r="E430">
        <v>52.578347672859763</v>
      </c>
      <c r="F430">
        <v>16.365840103340453</v>
      </c>
      <c r="G430" s="17">
        <v>0.68</v>
      </c>
      <c r="H430" s="17">
        <v>2.2799999999999998</v>
      </c>
      <c r="I430">
        <v>0.41882528504006022</v>
      </c>
      <c r="J430" s="17">
        <v>3.68</v>
      </c>
      <c r="L430" t="s">
        <v>45</v>
      </c>
      <c r="M430" s="1" t="s">
        <v>12</v>
      </c>
      <c r="N430" t="str">
        <f t="shared" si="49"/>
        <v>-5.65854103982869</v>
      </c>
      <c r="O430" t="str">
        <f t="shared" si="50"/>
        <v>22.89</v>
      </c>
      <c r="P430" t="str">
        <f t="shared" si="51"/>
        <v>52.5783476728598</v>
      </c>
      <c r="Q430" t="str">
        <f t="shared" si="52"/>
        <v>16.3658401033405</v>
      </c>
      <c r="R430" t="str">
        <f t="shared" si="53"/>
        <v>0.68</v>
      </c>
      <c r="S430" t="str">
        <f t="shared" si="54"/>
        <v>2.28</v>
      </c>
      <c r="T430" t="str">
        <f t="shared" si="55"/>
        <v>0.41882528504006</v>
      </c>
      <c r="U430" t="str">
        <f t="shared" si="56"/>
        <v>3.68</v>
      </c>
    </row>
    <row r="431" spans="1:21" x14ac:dyDescent="0.25">
      <c r="A431" t="s">
        <v>45</v>
      </c>
      <c r="B431" s="1" t="s">
        <v>13</v>
      </c>
      <c r="C431">
        <v>-5.769313847733879</v>
      </c>
      <c r="D431" s="17">
        <v>25.16</v>
      </c>
      <c r="E431">
        <v>50.075001704046286</v>
      </c>
      <c r="F431">
        <v>16.355198279433864</v>
      </c>
      <c r="G431" s="17">
        <v>0.7</v>
      </c>
      <c r="H431" s="17">
        <v>2.4500000000000002</v>
      </c>
      <c r="I431">
        <v>0.31239744756995935</v>
      </c>
      <c r="J431" s="17">
        <v>4.7300000000000004</v>
      </c>
      <c r="L431" t="s">
        <v>45</v>
      </c>
      <c r="M431" s="1" t="s">
        <v>13</v>
      </c>
      <c r="N431" t="str">
        <f t="shared" si="49"/>
        <v>-5.76931384773388</v>
      </c>
      <c r="O431" t="str">
        <f t="shared" si="50"/>
        <v>25.16</v>
      </c>
      <c r="P431" t="str">
        <f t="shared" si="51"/>
        <v>50.0750017040463</v>
      </c>
      <c r="Q431" t="str">
        <f t="shared" si="52"/>
        <v>16.3551982794339</v>
      </c>
      <c r="R431" t="str">
        <f t="shared" si="53"/>
        <v>0.7</v>
      </c>
      <c r="S431" t="str">
        <f t="shared" si="54"/>
        <v>2.45</v>
      </c>
      <c r="T431" t="str">
        <f t="shared" si="55"/>
        <v>0.312397447569959</v>
      </c>
      <c r="U431" t="str">
        <f t="shared" si="56"/>
        <v>4.73</v>
      </c>
    </row>
    <row r="432" spans="1:21" x14ac:dyDescent="0.25">
      <c r="A432" t="s">
        <v>45</v>
      </c>
      <c r="B432" s="1" t="s">
        <v>14</v>
      </c>
      <c r="C432">
        <v>7.3484059443268013</v>
      </c>
      <c r="D432" s="17">
        <v>23.23</v>
      </c>
      <c r="E432">
        <v>55.512228703643352</v>
      </c>
      <c r="F432">
        <v>16.323026350613134</v>
      </c>
      <c r="G432" s="17">
        <v>0.69</v>
      </c>
      <c r="H432" s="17">
        <v>1.68</v>
      </c>
      <c r="I432">
        <v>0.3611204508267275</v>
      </c>
      <c r="J432" s="17">
        <v>3.64</v>
      </c>
      <c r="L432" t="s">
        <v>45</v>
      </c>
      <c r="M432" s="1" t="s">
        <v>14</v>
      </c>
      <c r="N432" t="str">
        <f t="shared" si="49"/>
        <v>7.3484059443268</v>
      </c>
      <c r="O432" t="str">
        <f t="shared" si="50"/>
        <v>23.23</v>
      </c>
      <c r="P432" t="str">
        <f t="shared" si="51"/>
        <v>55.5122287036434</v>
      </c>
      <c r="Q432" t="str">
        <f t="shared" si="52"/>
        <v>16.3230263506131</v>
      </c>
      <c r="R432" t="str">
        <f t="shared" si="53"/>
        <v>0.69</v>
      </c>
      <c r="S432" t="str">
        <f t="shared" si="54"/>
        <v>1.68</v>
      </c>
      <c r="T432" t="str">
        <f t="shared" si="55"/>
        <v>0.361120450826728</v>
      </c>
      <c r="U432" t="str">
        <f t="shared" si="56"/>
        <v>3.64</v>
      </c>
    </row>
    <row r="433" spans="1:21" x14ac:dyDescent="0.25">
      <c r="A433" t="s">
        <v>45</v>
      </c>
      <c r="B433" s="1" t="s">
        <v>15</v>
      </c>
      <c r="C433">
        <v>9.0226251369831765</v>
      </c>
      <c r="D433" s="17">
        <v>22.02</v>
      </c>
      <c r="E433">
        <v>54.073458207034619</v>
      </c>
      <c r="F433">
        <v>16.435671469551675</v>
      </c>
      <c r="G433" s="17">
        <v>0.56999999999999995</v>
      </c>
      <c r="H433" s="17">
        <v>0.21</v>
      </c>
      <c r="I433">
        <v>0.41963628022382754</v>
      </c>
      <c r="J433" s="17">
        <v>3.62</v>
      </c>
      <c r="L433" t="s">
        <v>45</v>
      </c>
      <c r="M433" s="1" t="s">
        <v>15</v>
      </c>
      <c r="N433" t="str">
        <f t="shared" si="49"/>
        <v>9.02262513698318</v>
      </c>
      <c r="O433" t="str">
        <f t="shared" si="50"/>
        <v>22.02</v>
      </c>
      <c r="P433" t="str">
        <f t="shared" si="51"/>
        <v>54.0734582070346</v>
      </c>
      <c r="Q433" t="str">
        <f t="shared" si="52"/>
        <v>16.4356714695517</v>
      </c>
      <c r="R433" t="str">
        <f t="shared" si="53"/>
        <v>0.57</v>
      </c>
      <c r="S433" t="str">
        <f t="shared" si="54"/>
        <v>0.21</v>
      </c>
      <c r="T433" t="str">
        <f t="shared" si="55"/>
        <v>0.419636280223828</v>
      </c>
      <c r="U433" t="str">
        <f t="shared" si="56"/>
        <v>3.62</v>
      </c>
    </row>
    <row r="434" spans="1:21" x14ac:dyDescent="0.25">
      <c r="A434" t="s">
        <v>45</v>
      </c>
      <c r="B434" s="1" t="s">
        <v>16</v>
      </c>
      <c r="C434">
        <v>3.7043573357801005</v>
      </c>
      <c r="D434" s="17">
        <v>21.06</v>
      </c>
      <c r="E434">
        <v>53.250667313289149</v>
      </c>
      <c r="F434">
        <v>16.48737853967868</v>
      </c>
      <c r="G434" s="17">
        <v>0.45</v>
      </c>
      <c r="H434" s="17">
        <v>0.71</v>
      </c>
      <c r="I434">
        <v>0.42837540176825412</v>
      </c>
      <c r="J434" s="17">
        <v>3.46</v>
      </c>
      <c r="L434" t="s">
        <v>45</v>
      </c>
      <c r="M434" s="1" t="s">
        <v>16</v>
      </c>
      <c r="N434" t="str">
        <f t="shared" si="49"/>
        <v>3.7043573357801</v>
      </c>
      <c r="O434" t="str">
        <f t="shared" si="50"/>
        <v>21.06</v>
      </c>
      <c r="P434" t="str">
        <f t="shared" si="51"/>
        <v>53.2506673132891</v>
      </c>
      <c r="Q434" t="str">
        <f t="shared" si="52"/>
        <v>16.4873785396787</v>
      </c>
      <c r="R434" t="str">
        <f t="shared" si="53"/>
        <v>0.45</v>
      </c>
      <c r="S434" t="str">
        <f t="shared" si="54"/>
        <v>0.71</v>
      </c>
      <c r="T434" t="str">
        <f t="shared" si="55"/>
        <v>0.428375401768254</v>
      </c>
      <c r="U434" t="str">
        <f t="shared" si="56"/>
        <v>3.46</v>
      </c>
    </row>
    <row r="435" spans="1:21" x14ac:dyDescent="0.25">
      <c r="A435" t="s">
        <v>45</v>
      </c>
      <c r="B435" s="1" t="s">
        <v>17</v>
      </c>
      <c r="C435">
        <v>13.362324382765447</v>
      </c>
      <c r="D435" s="17">
        <v>19.399999999999999</v>
      </c>
      <c r="E435">
        <v>55.738309255921394</v>
      </c>
      <c r="F435">
        <v>16.567140100609027</v>
      </c>
      <c r="G435" s="17">
        <v>0.47</v>
      </c>
      <c r="H435" s="17">
        <v>0.57999999999999996</v>
      </c>
      <c r="I435">
        <v>0.41542818760407174</v>
      </c>
      <c r="J435" s="17">
        <v>3.49</v>
      </c>
      <c r="L435" t="s">
        <v>45</v>
      </c>
      <c r="M435" s="1" t="s">
        <v>17</v>
      </c>
      <c r="N435" t="str">
        <f t="shared" si="49"/>
        <v>13.3623243827654</v>
      </c>
      <c r="O435" t="str">
        <f t="shared" si="50"/>
        <v>19.4</v>
      </c>
      <c r="P435" t="str">
        <f t="shared" si="51"/>
        <v>55.7383092559214</v>
      </c>
      <c r="Q435" t="str">
        <f t="shared" si="52"/>
        <v>16.567140100609</v>
      </c>
      <c r="R435" t="str">
        <f t="shared" si="53"/>
        <v>0.47</v>
      </c>
      <c r="S435" t="str">
        <f t="shared" si="54"/>
        <v>0.58</v>
      </c>
      <c r="T435" t="str">
        <f t="shared" si="55"/>
        <v>0.415428187604072</v>
      </c>
      <c r="U435" t="str">
        <f t="shared" si="56"/>
        <v>3.49</v>
      </c>
    </row>
    <row r="436" spans="1:21" x14ac:dyDescent="0.25">
      <c r="A436" t="s">
        <v>45</v>
      </c>
      <c r="B436" s="1" t="s">
        <v>18</v>
      </c>
      <c r="C436">
        <v>4.4519405236914302</v>
      </c>
      <c r="D436" s="17">
        <v>19.72</v>
      </c>
      <c r="E436">
        <v>55.769157051756459</v>
      </c>
      <c r="F436">
        <v>16.610143694288045</v>
      </c>
      <c r="G436" s="17">
        <v>0.52</v>
      </c>
      <c r="H436" s="17">
        <v>0.59</v>
      </c>
      <c r="I436">
        <v>0.57655416553889283</v>
      </c>
      <c r="J436" s="17">
        <v>3.59</v>
      </c>
      <c r="L436" t="s">
        <v>45</v>
      </c>
      <c r="M436" s="1" t="s">
        <v>18</v>
      </c>
      <c r="N436" t="str">
        <f t="shared" si="49"/>
        <v>4.45194052369143</v>
      </c>
      <c r="O436" t="str">
        <f t="shared" si="50"/>
        <v>19.72</v>
      </c>
      <c r="P436" t="str">
        <f t="shared" si="51"/>
        <v>55.7691570517565</v>
      </c>
      <c r="Q436" t="str">
        <f t="shared" si="52"/>
        <v>16.610143694288</v>
      </c>
      <c r="R436" t="str">
        <f t="shared" si="53"/>
        <v>0.52</v>
      </c>
      <c r="S436" t="str">
        <f t="shared" si="54"/>
        <v>0.59</v>
      </c>
      <c r="T436" t="str">
        <f t="shared" si="55"/>
        <v>0.576554165538893</v>
      </c>
      <c r="U436" t="str">
        <f t="shared" si="56"/>
        <v>3.59</v>
      </c>
    </row>
    <row r="437" spans="1:21" x14ac:dyDescent="0.25">
      <c r="A437" t="s">
        <v>45</v>
      </c>
      <c r="B437" s="1" t="s">
        <v>19</v>
      </c>
      <c r="C437">
        <v>7.5656605553657208</v>
      </c>
      <c r="D437" s="17">
        <v>20.91</v>
      </c>
      <c r="E437">
        <v>47.303947717752266</v>
      </c>
      <c r="F437">
        <v>16.847702187554908</v>
      </c>
      <c r="G437" s="17">
        <v>0.54</v>
      </c>
      <c r="H437" s="17">
        <v>0.57999999999999996</v>
      </c>
      <c r="I437">
        <v>0.59686576426283944</v>
      </c>
      <c r="J437" s="17">
        <v>3.46</v>
      </c>
      <c r="L437" t="s">
        <v>45</v>
      </c>
      <c r="M437" s="1" t="s">
        <v>19</v>
      </c>
      <c r="N437" t="str">
        <f t="shared" si="49"/>
        <v>7.56566055536572</v>
      </c>
      <c r="O437" t="str">
        <f t="shared" si="50"/>
        <v>20.91</v>
      </c>
      <c r="P437" t="str">
        <f t="shared" si="51"/>
        <v>47.3039477177523</v>
      </c>
      <c r="Q437" t="str">
        <f t="shared" si="52"/>
        <v>16.8477021875549</v>
      </c>
      <c r="R437" t="str">
        <f t="shared" si="53"/>
        <v>0.54</v>
      </c>
      <c r="S437" t="str">
        <f t="shared" si="54"/>
        <v>0.58</v>
      </c>
      <c r="T437" t="str">
        <f t="shared" si="55"/>
        <v>0.596865764262839</v>
      </c>
      <c r="U437" t="str">
        <f t="shared" si="56"/>
        <v>3.46</v>
      </c>
    </row>
    <row r="438" spans="1:21" x14ac:dyDescent="0.25">
      <c r="A438" t="s">
        <v>45</v>
      </c>
      <c r="B438" s="1" t="s">
        <v>20</v>
      </c>
      <c r="C438">
        <v>4.8489470488904045</v>
      </c>
      <c r="D438" s="17">
        <v>19.670000000000002</v>
      </c>
      <c r="E438">
        <v>50.077729020721428</v>
      </c>
      <c r="F438">
        <v>16.838070090957292</v>
      </c>
      <c r="G438" s="17">
        <v>0.57999999999999996</v>
      </c>
      <c r="H438" s="17">
        <v>0.23</v>
      </c>
      <c r="I438">
        <v>0.67342400838579641</v>
      </c>
      <c r="J438" s="17">
        <v>3.03</v>
      </c>
      <c r="L438" t="s">
        <v>45</v>
      </c>
      <c r="M438" s="1" t="s">
        <v>20</v>
      </c>
      <c r="N438" t="str">
        <f t="shared" si="49"/>
        <v>4.8489470488904</v>
      </c>
      <c r="O438" t="str">
        <f t="shared" si="50"/>
        <v>19.67</v>
      </c>
      <c r="P438" t="str">
        <f t="shared" si="51"/>
        <v>50.0777290207214</v>
      </c>
      <c r="Q438" t="str">
        <f t="shared" si="52"/>
        <v>16.8380700909573</v>
      </c>
      <c r="R438" t="str">
        <f t="shared" si="53"/>
        <v>0.58</v>
      </c>
      <c r="S438" t="str">
        <f t="shared" si="54"/>
        <v>0.23</v>
      </c>
      <c r="T438" t="str">
        <f t="shared" si="55"/>
        <v>0.673424008385796</v>
      </c>
      <c r="U438" t="str">
        <f t="shared" si="56"/>
        <v>3.03</v>
      </c>
    </row>
    <row r="439" spans="1:21" x14ac:dyDescent="0.25">
      <c r="A439" t="s">
        <v>45</v>
      </c>
      <c r="B439" s="1" t="s">
        <v>21</v>
      </c>
      <c r="C439">
        <v>8.1193467414835645</v>
      </c>
      <c r="D439" s="17">
        <v>18.850000000000001</v>
      </c>
      <c r="E439">
        <v>51.897118555119512</v>
      </c>
      <c r="F439">
        <v>16.880448693654429</v>
      </c>
      <c r="G439" s="17">
        <v>0.62</v>
      </c>
      <c r="H439" s="17">
        <v>0.27</v>
      </c>
      <c r="I439">
        <v>0.61461740257732056</v>
      </c>
      <c r="J439" s="17">
        <v>3.17</v>
      </c>
      <c r="L439" t="s">
        <v>45</v>
      </c>
      <c r="M439" s="1" t="s">
        <v>21</v>
      </c>
      <c r="N439" t="str">
        <f t="shared" si="49"/>
        <v>8.11934674148356</v>
      </c>
      <c r="O439" t="str">
        <f t="shared" si="50"/>
        <v>18.85</v>
      </c>
      <c r="P439" t="str">
        <f t="shared" si="51"/>
        <v>51.8971185551195</v>
      </c>
      <c r="Q439" t="str">
        <f t="shared" si="52"/>
        <v>16.8804486936544</v>
      </c>
      <c r="R439" t="str">
        <f t="shared" si="53"/>
        <v>0.62</v>
      </c>
      <c r="S439" t="str">
        <f t="shared" si="54"/>
        <v>0.27</v>
      </c>
      <c r="T439" t="str">
        <f t="shared" si="55"/>
        <v>0.614617402577321</v>
      </c>
      <c r="U439" t="str">
        <f t="shared" si="56"/>
        <v>3.17</v>
      </c>
    </row>
    <row r="440" spans="1:21" x14ac:dyDescent="0.25">
      <c r="A440" t="s">
        <v>45</v>
      </c>
      <c r="B440" s="1" t="s">
        <v>22</v>
      </c>
      <c r="C440">
        <v>7.9679102558800636</v>
      </c>
      <c r="D440" s="17">
        <v>17.7</v>
      </c>
      <c r="E440">
        <v>56.494777998796195</v>
      </c>
      <c r="F440">
        <v>16.872227623759663</v>
      </c>
      <c r="G440" s="17">
        <v>0.63</v>
      </c>
      <c r="H440" s="17">
        <v>0.47</v>
      </c>
      <c r="I440">
        <v>0.59014285815396439</v>
      </c>
      <c r="J440" s="17">
        <v>3.25</v>
      </c>
      <c r="L440" t="s">
        <v>45</v>
      </c>
      <c r="M440" s="1" t="s">
        <v>22</v>
      </c>
      <c r="N440" t="str">
        <f t="shared" si="49"/>
        <v>7.96791025588006</v>
      </c>
      <c r="O440" t="str">
        <f t="shared" si="50"/>
        <v>17.7</v>
      </c>
      <c r="P440" t="str">
        <f t="shared" si="51"/>
        <v>56.4947779987962</v>
      </c>
      <c r="Q440" t="str">
        <f t="shared" si="52"/>
        <v>16.8722276237597</v>
      </c>
      <c r="R440" t="str">
        <f t="shared" si="53"/>
        <v>0.63</v>
      </c>
      <c r="S440" t="str">
        <f t="shared" si="54"/>
        <v>0.47</v>
      </c>
      <c r="T440" t="str">
        <f t="shared" si="55"/>
        <v>0.590142858153964</v>
      </c>
      <c r="U440" t="str">
        <f t="shared" si="56"/>
        <v>3.25</v>
      </c>
    </row>
    <row r="441" spans="1:21" x14ac:dyDescent="0.25">
      <c r="A441" t="s">
        <v>45</v>
      </c>
      <c r="B441" s="1" t="s">
        <v>23</v>
      </c>
      <c r="C441">
        <v>3.3286495276850383</v>
      </c>
      <c r="D441" s="17">
        <v>18.54</v>
      </c>
      <c r="E441">
        <v>56.10875674602238</v>
      </c>
      <c r="F441">
        <v>16.911828435407745</v>
      </c>
      <c r="G441" s="17">
        <v>0.64</v>
      </c>
      <c r="H441" s="17">
        <v>0.41</v>
      </c>
      <c r="I441">
        <v>0.6409267691163133</v>
      </c>
      <c r="J441" s="17">
        <v>3.35</v>
      </c>
      <c r="L441" t="s">
        <v>45</v>
      </c>
      <c r="M441" s="1" t="s">
        <v>23</v>
      </c>
      <c r="N441" t="str">
        <f t="shared" si="49"/>
        <v>3.32864952768504</v>
      </c>
      <c r="O441" t="str">
        <f t="shared" si="50"/>
        <v>18.54</v>
      </c>
      <c r="P441" t="str">
        <f t="shared" si="51"/>
        <v>56.1087567460224</v>
      </c>
      <c r="Q441" t="str">
        <f t="shared" si="52"/>
        <v>16.9118284354077</v>
      </c>
      <c r="R441" t="str">
        <f t="shared" si="53"/>
        <v>0.64</v>
      </c>
      <c r="S441" t="str">
        <f t="shared" si="54"/>
        <v>0.41</v>
      </c>
      <c r="T441" t="str">
        <f t="shared" si="55"/>
        <v>0.640926769116313</v>
      </c>
      <c r="U441" t="str">
        <f t="shared" si="56"/>
        <v>3.35</v>
      </c>
    </row>
    <row r="442" spans="1:21" x14ac:dyDescent="0.25">
      <c r="A442" t="s">
        <v>46</v>
      </c>
      <c r="B442" s="1" t="s">
        <v>4</v>
      </c>
      <c r="C442">
        <v>-5.0093323637120681</v>
      </c>
      <c r="D442" s="17">
        <v>25.99</v>
      </c>
      <c r="E442">
        <v>53.163635657468923</v>
      </c>
      <c r="F442">
        <v>14.720428463718433</v>
      </c>
      <c r="G442" s="17">
        <v>0.34</v>
      </c>
      <c r="H442" s="17">
        <v>2.54</v>
      </c>
      <c r="I442">
        <v>0.35668054983748854</v>
      </c>
      <c r="J442" s="17">
        <v>3.84</v>
      </c>
      <c r="L442" t="s">
        <v>46</v>
      </c>
      <c r="M442" s="1" t="s">
        <v>4</v>
      </c>
      <c r="N442" t="str">
        <f t="shared" si="49"/>
        <v>-5.00933236371207</v>
      </c>
      <c r="O442" t="str">
        <f t="shared" si="50"/>
        <v>25.99</v>
      </c>
      <c r="P442" t="str">
        <f t="shared" si="51"/>
        <v>53.1636356574689</v>
      </c>
      <c r="Q442" t="str">
        <f t="shared" si="52"/>
        <v>14.7204284637184</v>
      </c>
      <c r="R442" t="str">
        <f t="shared" si="53"/>
        <v>0.34</v>
      </c>
      <c r="S442" t="str">
        <f t="shared" si="54"/>
        <v>2.54</v>
      </c>
      <c r="T442" t="str">
        <f t="shared" si="55"/>
        <v>0.356680549837489</v>
      </c>
      <c r="U442" t="str">
        <f t="shared" si="56"/>
        <v>3.84</v>
      </c>
    </row>
    <row r="443" spans="1:21" x14ac:dyDescent="0.25">
      <c r="A443" t="s">
        <v>46</v>
      </c>
      <c r="B443" s="1" t="s">
        <v>5</v>
      </c>
      <c r="C443">
        <v>2.9104432747033813</v>
      </c>
      <c r="D443" s="17">
        <v>25.39</v>
      </c>
      <c r="E443">
        <v>54.965778132391222</v>
      </c>
      <c r="F443">
        <v>14.715781251523811</v>
      </c>
      <c r="G443" s="17">
        <v>0.53</v>
      </c>
      <c r="H443" s="17">
        <v>2.63</v>
      </c>
      <c r="I443">
        <v>0.3477763168986901</v>
      </c>
      <c r="J443" s="17">
        <v>4.26</v>
      </c>
      <c r="L443" t="s">
        <v>46</v>
      </c>
      <c r="M443" s="1" t="s">
        <v>5</v>
      </c>
      <c r="N443" t="str">
        <f t="shared" si="49"/>
        <v>2.91044327470338</v>
      </c>
      <c r="O443" t="str">
        <f t="shared" si="50"/>
        <v>25.39</v>
      </c>
      <c r="P443" t="str">
        <f t="shared" si="51"/>
        <v>54.9657781323912</v>
      </c>
      <c r="Q443" t="str">
        <f t="shared" si="52"/>
        <v>14.7157812515238</v>
      </c>
      <c r="R443" t="str">
        <f t="shared" si="53"/>
        <v>0.53</v>
      </c>
      <c r="S443" t="str">
        <f t="shared" si="54"/>
        <v>2.63</v>
      </c>
      <c r="T443" t="str">
        <f t="shared" si="55"/>
        <v>0.34777631689869</v>
      </c>
      <c r="U443" t="str">
        <f t="shared" si="56"/>
        <v>4.26</v>
      </c>
    </row>
    <row r="444" spans="1:21" x14ac:dyDescent="0.25">
      <c r="A444" t="s">
        <v>46</v>
      </c>
      <c r="B444" s="1" t="s">
        <v>6</v>
      </c>
      <c r="C444">
        <v>-8.2312730994316379</v>
      </c>
      <c r="D444" s="17">
        <v>27.55</v>
      </c>
      <c r="E444">
        <v>52.743257670547273</v>
      </c>
      <c r="F444">
        <v>14.671157467837672</v>
      </c>
      <c r="G444" s="17">
        <v>0.53</v>
      </c>
      <c r="H444" s="17">
        <v>3.32</v>
      </c>
      <c r="I444">
        <v>0.30394989822674406</v>
      </c>
      <c r="J444" s="17">
        <v>4.28</v>
      </c>
      <c r="L444" t="s">
        <v>46</v>
      </c>
      <c r="M444" s="1" t="s">
        <v>6</v>
      </c>
      <c r="N444" t="str">
        <f t="shared" si="49"/>
        <v>-8.23127309943164</v>
      </c>
      <c r="O444" t="str">
        <f t="shared" si="50"/>
        <v>27.55</v>
      </c>
      <c r="P444" t="str">
        <f t="shared" si="51"/>
        <v>52.7432576705473</v>
      </c>
      <c r="Q444" t="str">
        <f t="shared" si="52"/>
        <v>14.6711574678377</v>
      </c>
      <c r="R444" t="str">
        <f t="shared" si="53"/>
        <v>0.53</v>
      </c>
      <c r="S444" t="str">
        <f t="shared" si="54"/>
        <v>3.32</v>
      </c>
      <c r="T444" t="str">
        <f t="shared" si="55"/>
        <v>0.303949898226744</v>
      </c>
      <c r="U444" t="str">
        <f t="shared" si="56"/>
        <v>4.28</v>
      </c>
    </row>
    <row r="445" spans="1:21" x14ac:dyDescent="0.25">
      <c r="A445" t="s">
        <v>46</v>
      </c>
      <c r="B445" s="1" t="s">
        <v>7</v>
      </c>
      <c r="C445">
        <v>0.45995387568352464</v>
      </c>
      <c r="D445" s="17">
        <v>28.1</v>
      </c>
      <c r="E445">
        <v>49.193809963121474</v>
      </c>
      <c r="F445">
        <v>14.745414606729698</v>
      </c>
      <c r="G445" s="17">
        <v>0.81</v>
      </c>
      <c r="H445" s="17">
        <v>2.58</v>
      </c>
      <c r="I445">
        <v>0.64289621737993519</v>
      </c>
      <c r="J445" s="17">
        <v>4.2</v>
      </c>
      <c r="L445" t="s">
        <v>46</v>
      </c>
      <c r="M445" s="1" t="s">
        <v>7</v>
      </c>
      <c r="N445" t="str">
        <f t="shared" si="49"/>
        <v>0.459953875683525</v>
      </c>
      <c r="O445" t="str">
        <f t="shared" si="50"/>
        <v>28.1</v>
      </c>
      <c r="P445" t="str">
        <f t="shared" si="51"/>
        <v>49.1938099631215</v>
      </c>
      <c r="Q445" t="str">
        <f t="shared" si="52"/>
        <v>14.7454146067297</v>
      </c>
      <c r="R445" t="str">
        <f t="shared" si="53"/>
        <v>0.81</v>
      </c>
      <c r="S445" t="str">
        <f t="shared" si="54"/>
        <v>2.58</v>
      </c>
      <c r="T445" t="str">
        <f t="shared" si="55"/>
        <v>0.642896217379935</v>
      </c>
      <c r="U445" t="str">
        <f t="shared" si="56"/>
        <v>4.2</v>
      </c>
    </row>
    <row r="446" spans="1:21" x14ac:dyDescent="0.25">
      <c r="A446" t="s">
        <v>46</v>
      </c>
      <c r="B446" s="1" t="s">
        <v>8</v>
      </c>
      <c r="C446">
        <v>4.4705952184242905</v>
      </c>
      <c r="D446" s="17">
        <v>28.15</v>
      </c>
      <c r="E446">
        <v>55.386390320924903</v>
      </c>
      <c r="F446">
        <v>14.670583967409684</v>
      </c>
      <c r="G446" s="17">
        <v>0.26</v>
      </c>
      <c r="H446" s="17">
        <v>2.95</v>
      </c>
      <c r="I446">
        <v>0.55042969448810197</v>
      </c>
      <c r="J446" s="17">
        <v>3.78</v>
      </c>
      <c r="L446" t="s">
        <v>46</v>
      </c>
      <c r="M446" s="1" t="s">
        <v>8</v>
      </c>
      <c r="N446" t="str">
        <f t="shared" si="49"/>
        <v>4.47059521842429</v>
      </c>
      <c r="O446" t="str">
        <f t="shared" si="50"/>
        <v>28.15</v>
      </c>
      <c r="P446" t="str">
        <f t="shared" si="51"/>
        <v>55.3863903209249</v>
      </c>
      <c r="Q446" t="str">
        <f t="shared" si="52"/>
        <v>14.6705839674097</v>
      </c>
      <c r="R446" t="str">
        <f t="shared" si="53"/>
        <v>0.26</v>
      </c>
      <c r="S446" t="str">
        <f t="shared" si="54"/>
        <v>2.95</v>
      </c>
      <c r="T446" t="str">
        <f t="shared" si="55"/>
        <v>0.550429694488102</v>
      </c>
      <c r="U446" t="str">
        <f t="shared" si="56"/>
        <v>3.78</v>
      </c>
    </row>
    <row r="447" spans="1:21" x14ac:dyDescent="0.25">
      <c r="A447" t="s">
        <v>46</v>
      </c>
      <c r="B447" s="1" t="s">
        <v>9</v>
      </c>
      <c r="C447">
        <v>10.493559381375068</v>
      </c>
      <c r="D447" s="17">
        <v>26.82</v>
      </c>
      <c r="E447">
        <v>59.460041251152752</v>
      </c>
      <c r="F447">
        <v>14.699400404702702</v>
      </c>
      <c r="G447" s="17">
        <v>0.15</v>
      </c>
      <c r="H447" s="17">
        <v>3.87</v>
      </c>
      <c r="I447">
        <v>0.56979700634211861</v>
      </c>
      <c r="J447" s="17">
        <v>3.6</v>
      </c>
      <c r="L447" t="s">
        <v>46</v>
      </c>
      <c r="M447" s="1" t="s">
        <v>9</v>
      </c>
      <c r="N447" t="str">
        <f t="shared" si="49"/>
        <v>10.4935593813751</v>
      </c>
      <c r="O447" t="str">
        <f t="shared" si="50"/>
        <v>26.82</v>
      </c>
      <c r="P447" t="str">
        <f t="shared" si="51"/>
        <v>59.4600412511528</v>
      </c>
      <c r="Q447" t="str">
        <f t="shared" si="52"/>
        <v>14.6994004047027</v>
      </c>
      <c r="R447" t="str">
        <f t="shared" si="53"/>
        <v>0.15</v>
      </c>
      <c r="S447" t="str">
        <f t="shared" si="54"/>
        <v>3.87</v>
      </c>
      <c r="T447" t="str">
        <f t="shared" si="55"/>
        <v>0.569797006342119</v>
      </c>
      <c r="U447" t="str">
        <f t="shared" si="56"/>
        <v>3.6</v>
      </c>
    </row>
    <row r="448" spans="1:21" x14ac:dyDescent="0.25">
      <c r="A448" t="s">
        <v>46</v>
      </c>
      <c r="B448" s="1" t="s">
        <v>10</v>
      </c>
      <c r="C448">
        <v>130.08597680926184</v>
      </c>
      <c r="D448" s="17">
        <v>44.58</v>
      </c>
      <c r="E448">
        <v>73.208947832023853</v>
      </c>
      <c r="F448">
        <v>15.324670129695205</v>
      </c>
      <c r="G448" s="17">
        <v>0.18</v>
      </c>
      <c r="H448" s="17">
        <v>3.5</v>
      </c>
      <c r="I448">
        <v>0.61612327660042254</v>
      </c>
      <c r="J448" s="17">
        <v>5.7</v>
      </c>
      <c r="L448" t="s">
        <v>46</v>
      </c>
      <c r="M448" s="1" t="s">
        <v>10</v>
      </c>
      <c r="N448" t="str">
        <f t="shared" si="49"/>
        <v>130.085976809262</v>
      </c>
      <c r="O448" t="str">
        <f t="shared" si="50"/>
        <v>44.58</v>
      </c>
      <c r="P448" t="str">
        <f t="shared" si="51"/>
        <v>73.2089478320239</v>
      </c>
      <c r="Q448" t="str">
        <f t="shared" si="52"/>
        <v>15.3246701296952</v>
      </c>
      <c r="R448" t="str">
        <f t="shared" si="53"/>
        <v>0.18</v>
      </c>
      <c r="S448" t="str">
        <f t="shared" si="54"/>
        <v>3.5</v>
      </c>
      <c r="T448" t="str">
        <f t="shared" si="55"/>
        <v>0.616123276600423</v>
      </c>
      <c r="U448" t="str">
        <f t="shared" si="56"/>
        <v>5.7</v>
      </c>
    </row>
    <row r="449" spans="1:21" x14ac:dyDescent="0.25">
      <c r="A449" t="s">
        <v>46</v>
      </c>
      <c r="B449" s="1" t="s">
        <v>11</v>
      </c>
      <c r="C449">
        <v>-1.0406536868338494</v>
      </c>
      <c r="D449" s="17">
        <v>41.27</v>
      </c>
      <c r="E449">
        <v>64.138334121508407</v>
      </c>
      <c r="F449">
        <v>15.446484496451289</v>
      </c>
      <c r="G449" s="17">
        <v>-0.27</v>
      </c>
      <c r="H449" s="17">
        <v>2.95</v>
      </c>
      <c r="I449">
        <v>0.60310126253917784</v>
      </c>
      <c r="J449" s="17">
        <v>5.47</v>
      </c>
      <c r="L449" t="s">
        <v>46</v>
      </c>
      <c r="M449" s="1" t="s">
        <v>11</v>
      </c>
      <c r="N449" t="str">
        <f t="shared" si="49"/>
        <v>-1.04065368683385</v>
      </c>
      <c r="O449" t="str">
        <f t="shared" si="50"/>
        <v>41.27</v>
      </c>
      <c r="P449" t="str">
        <f t="shared" si="51"/>
        <v>64.1383341215084</v>
      </c>
      <c r="Q449" t="str">
        <f t="shared" si="52"/>
        <v>15.4464844964513</v>
      </c>
      <c r="R449" t="str">
        <f t="shared" si="53"/>
        <v>-0.27</v>
      </c>
      <c r="S449" t="str">
        <f t="shared" si="54"/>
        <v>2.95</v>
      </c>
      <c r="T449" t="str">
        <f t="shared" si="55"/>
        <v>0.603101262539178</v>
      </c>
      <c r="U449" t="str">
        <f t="shared" si="56"/>
        <v>5.47</v>
      </c>
    </row>
    <row r="450" spans="1:21" x14ac:dyDescent="0.25">
      <c r="A450" t="s">
        <v>46</v>
      </c>
      <c r="B450" s="1" t="s">
        <v>12</v>
      </c>
      <c r="C450">
        <v>5.4615424523839318</v>
      </c>
      <c r="D450" s="17">
        <v>51.84</v>
      </c>
      <c r="E450">
        <v>71.413323292689256</v>
      </c>
      <c r="F450">
        <v>15.392218439121168</v>
      </c>
      <c r="G450" s="17">
        <v>0.28000000000000003</v>
      </c>
      <c r="H450" s="17">
        <v>3.76</v>
      </c>
      <c r="I450">
        <v>0.99968457818843703</v>
      </c>
      <c r="J450" s="17">
        <v>5.81</v>
      </c>
      <c r="L450" t="s">
        <v>46</v>
      </c>
      <c r="M450" s="1" t="s">
        <v>12</v>
      </c>
      <c r="N450" t="str">
        <f t="shared" si="49"/>
        <v>5.46154245238393</v>
      </c>
      <c r="O450" t="str">
        <f t="shared" si="50"/>
        <v>51.84</v>
      </c>
      <c r="P450" t="str">
        <f t="shared" si="51"/>
        <v>71.4133232926893</v>
      </c>
      <c r="Q450" t="str">
        <f t="shared" si="52"/>
        <v>15.3922184391212</v>
      </c>
      <c r="R450" t="str">
        <f t="shared" si="53"/>
        <v>0.28</v>
      </c>
      <c r="S450" t="str">
        <f t="shared" si="54"/>
        <v>3.76</v>
      </c>
      <c r="T450" t="str">
        <f t="shared" si="55"/>
        <v>0.999684578188437</v>
      </c>
      <c r="U450" t="str">
        <f t="shared" si="56"/>
        <v>5.81</v>
      </c>
    </row>
    <row r="451" spans="1:21" x14ac:dyDescent="0.25">
      <c r="A451" t="s">
        <v>46</v>
      </c>
      <c r="B451" s="1" t="s">
        <v>13</v>
      </c>
      <c r="C451">
        <v>9.5511171430307691</v>
      </c>
      <c r="D451" s="17">
        <v>44.99</v>
      </c>
      <c r="E451">
        <v>75.398747811179035</v>
      </c>
      <c r="F451">
        <v>15.429133301764109</v>
      </c>
      <c r="G451" s="17">
        <v>0.4</v>
      </c>
      <c r="H451" s="17">
        <v>3.51</v>
      </c>
      <c r="I451">
        <v>0.94454278112087264</v>
      </c>
      <c r="J451" s="17">
        <v>5.66</v>
      </c>
      <c r="L451" t="s">
        <v>46</v>
      </c>
      <c r="M451" s="1" t="s">
        <v>13</v>
      </c>
      <c r="N451" t="str">
        <f t="shared" ref="N451:N481" si="57">SUBSTITUTE(C451,",",".")</f>
        <v>9.55111714303077</v>
      </c>
      <c r="O451" t="str">
        <f t="shared" ref="O451:O481" si="58">SUBSTITUTE(D451,",",".")</f>
        <v>44.99</v>
      </c>
      <c r="P451" t="str">
        <f t="shared" ref="P451:P481" si="59">SUBSTITUTE(E451,",",".")</f>
        <v>75.398747811179</v>
      </c>
      <c r="Q451" t="str">
        <f t="shared" ref="Q451:Q481" si="60">SUBSTITUTE(F451,",",".")</f>
        <v>15.4291333017641</v>
      </c>
      <c r="R451" t="str">
        <f t="shared" ref="R451:R481" si="61">SUBSTITUTE(G451,",",".")</f>
        <v>0.4</v>
      </c>
      <c r="S451" t="str">
        <f t="shared" ref="S451:S481" si="62">SUBSTITUTE(H451,",",".")</f>
        <v>3.51</v>
      </c>
      <c r="T451" t="str">
        <f t="shared" ref="T451:T481" si="63">SUBSTITUTE(I451,",",".")</f>
        <v>0.944542781120873</v>
      </c>
      <c r="U451" t="str">
        <f t="shared" ref="U451:U481" si="64">SUBSTITUTE(J451,",",".")</f>
        <v>5.66</v>
      </c>
    </row>
    <row r="452" spans="1:21" x14ac:dyDescent="0.25">
      <c r="A452" t="s">
        <v>46</v>
      </c>
      <c r="B452" s="1" t="s">
        <v>14</v>
      </c>
      <c r="C452">
        <v>7.6195794383512689</v>
      </c>
      <c r="D452" s="17">
        <v>43.04</v>
      </c>
      <c r="E452">
        <v>76.640035876416732</v>
      </c>
      <c r="F452">
        <v>15.486236777809147</v>
      </c>
      <c r="G452" s="17">
        <v>0.35</v>
      </c>
      <c r="H452" s="17">
        <v>3.42</v>
      </c>
      <c r="I452">
        <v>1.0057422245566927</v>
      </c>
      <c r="J452" s="17">
        <v>5.26</v>
      </c>
      <c r="L452" t="s">
        <v>46</v>
      </c>
      <c r="M452" s="1" t="s">
        <v>14</v>
      </c>
      <c r="N452" t="str">
        <f t="shared" si="57"/>
        <v>7.61957943835127</v>
      </c>
      <c r="O452" t="str">
        <f t="shared" si="58"/>
        <v>43.04</v>
      </c>
      <c r="P452" t="str">
        <f t="shared" si="59"/>
        <v>76.6400358764167</v>
      </c>
      <c r="Q452" t="str">
        <f t="shared" si="60"/>
        <v>15.4862367778091</v>
      </c>
      <c r="R452" t="str">
        <f t="shared" si="61"/>
        <v>0.35</v>
      </c>
      <c r="S452" t="str">
        <f t="shared" si="62"/>
        <v>3.42</v>
      </c>
      <c r="T452" t="str">
        <f t="shared" si="63"/>
        <v>1.00574222455669</v>
      </c>
      <c r="U452" t="str">
        <f t="shared" si="64"/>
        <v>5.26</v>
      </c>
    </row>
    <row r="453" spans="1:21" x14ac:dyDescent="0.25">
      <c r="A453" t="s">
        <v>46</v>
      </c>
      <c r="B453" s="1" t="s">
        <v>15</v>
      </c>
      <c r="C453">
        <v>5.5384547414771719</v>
      </c>
      <c r="D453" s="17">
        <v>53.98</v>
      </c>
      <c r="E453">
        <v>68.521566386441052</v>
      </c>
      <c r="F453">
        <v>15.652113046545578</v>
      </c>
      <c r="G453" s="17">
        <v>0.35</v>
      </c>
      <c r="H453" s="17">
        <v>3.52</v>
      </c>
      <c r="I453">
        <v>1.0003597797413075</v>
      </c>
      <c r="J453" s="17">
        <v>5.25</v>
      </c>
      <c r="L453" t="s">
        <v>46</v>
      </c>
      <c r="M453" s="1" t="s">
        <v>15</v>
      </c>
      <c r="N453" t="str">
        <f t="shared" si="57"/>
        <v>5.53845474147717</v>
      </c>
      <c r="O453" t="str">
        <f t="shared" si="58"/>
        <v>53.98</v>
      </c>
      <c r="P453" t="str">
        <f t="shared" si="59"/>
        <v>68.5215663864411</v>
      </c>
      <c r="Q453" t="str">
        <f t="shared" si="60"/>
        <v>15.6521130465456</v>
      </c>
      <c r="R453" t="str">
        <f t="shared" si="61"/>
        <v>0.35</v>
      </c>
      <c r="S453" t="str">
        <f t="shared" si="62"/>
        <v>3.52</v>
      </c>
      <c r="T453" t="str">
        <f t="shared" si="63"/>
        <v>1.00035977974131</v>
      </c>
      <c r="U453" t="str">
        <f t="shared" si="64"/>
        <v>5.25</v>
      </c>
    </row>
    <row r="454" spans="1:21" x14ac:dyDescent="0.25">
      <c r="A454" t="s">
        <v>46</v>
      </c>
      <c r="B454" s="1" t="s">
        <v>16</v>
      </c>
      <c r="C454">
        <v>2.3402427943466906</v>
      </c>
      <c r="D454" s="17">
        <v>50.95</v>
      </c>
      <c r="E454">
        <v>68.047835503023549</v>
      </c>
      <c r="F454">
        <v>15.682183448694142</v>
      </c>
      <c r="G454" s="17">
        <v>0.49</v>
      </c>
      <c r="H454" s="17">
        <v>3.09</v>
      </c>
      <c r="I454">
        <v>1.2087317747154855</v>
      </c>
      <c r="J454" s="17">
        <v>4.47</v>
      </c>
      <c r="L454" t="s">
        <v>46</v>
      </c>
      <c r="M454" s="1" t="s">
        <v>16</v>
      </c>
      <c r="N454" t="str">
        <f t="shared" si="57"/>
        <v>2.34024279434669</v>
      </c>
      <c r="O454" t="str">
        <f t="shared" si="58"/>
        <v>50.95</v>
      </c>
      <c r="P454" t="str">
        <f t="shared" si="59"/>
        <v>68.0478355030235</v>
      </c>
      <c r="Q454" t="str">
        <f t="shared" si="60"/>
        <v>15.6821834486941</v>
      </c>
      <c r="R454" t="str">
        <f t="shared" si="61"/>
        <v>0.49</v>
      </c>
      <c r="S454" t="str">
        <f t="shared" si="62"/>
        <v>3.09</v>
      </c>
      <c r="T454" t="str">
        <f t="shared" si="63"/>
        <v>1.20873177471549</v>
      </c>
      <c r="U454" t="str">
        <f t="shared" si="64"/>
        <v>4.47</v>
      </c>
    </row>
    <row r="455" spans="1:21" x14ac:dyDescent="0.25">
      <c r="A455" t="s">
        <v>46</v>
      </c>
      <c r="B455" s="1" t="s">
        <v>17</v>
      </c>
      <c r="C455">
        <v>13.325319056102972</v>
      </c>
      <c r="D455" s="17">
        <v>46.37</v>
      </c>
      <c r="E455">
        <v>73.304507539760408</v>
      </c>
      <c r="F455">
        <v>15.732864694673291</v>
      </c>
      <c r="G455" s="17">
        <v>0.3</v>
      </c>
      <c r="H455" s="17">
        <v>2.89</v>
      </c>
      <c r="I455">
        <v>1.31064489905267</v>
      </c>
      <c r="J455" s="17">
        <v>4.6900000000000004</v>
      </c>
      <c r="L455" t="s">
        <v>46</v>
      </c>
      <c r="M455" s="1" t="s">
        <v>17</v>
      </c>
      <c r="N455" t="str">
        <f t="shared" si="57"/>
        <v>13.325319056103</v>
      </c>
      <c r="O455" t="str">
        <f t="shared" si="58"/>
        <v>46.37</v>
      </c>
      <c r="P455" t="str">
        <f t="shared" si="59"/>
        <v>73.3045075397604</v>
      </c>
      <c r="Q455" t="str">
        <f t="shared" si="60"/>
        <v>15.7328646946733</v>
      </c>
      <c r="R455" t="str">
        <f t="shared" si="61"/>
        <v>0.3</v>
      </c>
      <c r="S455" t="str">
        <f t="shared" si="62"/>
        <v>2.89</v>
      </c>
      <c r="T455" t="str">
        <f t="shared" si="63"/>
        <v>1.31064489905267</v>
      </c>
      <c r="U455" t="str">
        <f t="shared" si="64"/>
        <v>4.69</v>
      </c>
    </row>
    <row r="456" spans="1:21" x14ac:dyDescent="0.25">
      <c r="A456" t="s">
        <v>46</v>
      </c>
      <c r="B456" s="1" t="s">
        <v>18</v>
      </c>
      <c r="C456">
        <v>1.4037897209024199</v>
      </c>
      <c r="D456" s="17">
        <v>45.26</v>
      </c>
      <c r="E456">
        <v>74.892545464724009</v>
      </c>
      <c r="F456">
        <v>15.725372715458077</v>
      </c>
      <c r="G456" s="17">
        <v>0.38</v>
      </c>
      <c r="H456" s="17">
        <v>3.43</v>
      </c>
      <c r="I456">
        <v>1.3956676303075641</v>
      </c>
      <c r="J456" s="17">
        <v>4.7699999999999996</v>
      </c>
      <c r="L456" t="s">
        <v>46</v>
      </c>
      <c r="M456" s="1" t="s">
        <v>18</v>
      </c>
      <c r="N456" t="str">
        <f t="shared" si="57"/>
        <v>1.40378972090242</v>
      </c>
      <c r="O456" t="str">
        <f t="shared" si="58"/>
        <v>45.26</v>
      </c>
      <c r="P456" t="str">
        <f t="shared" si="59"/>
        <v>74.892545464724</v>
      </c>
      <c r="Q456" t="str">
        <f t="shared" si="60"/>
        <v>15.7253727154581</v>
      </c>
      <c r="R456" t="str">
        <f t="shared" si="61"/>
        <v>0.38</v>
      </c>
      <c r="S456" t="str">
        <f t="shared" si="62"/>
        <v>3.43</v>
      </c>
      <c r="T456" t="str">
        <f t="shared" si="63"/>
        <v>1.39566763030756</v>
      </c>
      <c r="U456" t="str">
        <f t="shared" si="64"/>
        <v>4.77</v>
      </c>
    </row>
    <row r="457" spans="1:21" x14ac:dyDescent="0.25">
      <c r="A457" t="s">
        <v>46</v>
      </c>
      <c r="B457" s="1" t="s">
        <v>19</v>
      </c>
      <c r="C457">
        <v>9.1425257120867229</v>
      </c>
      <c r="D457" s="17">
        <v>50.88</v>
      </c>
      <c r="E457">
        <v>71.479619159615325</v>
      </c>
      <c r="F457">
        <v>15.859499129623858</v>
      </c>
      <c r="G457" s="17">
        <v>0.38</v>
      </c>
      <c r="H457" s="17">
        <v>3.58</v>
      </c>
      <c r="I457">
        <v>1.571825420695943</v>
      </c>
      <c r="J457" s="17">
        <v>5.09</v>
      </c>
      <c r="L457" t="s">
        <v>46</v>
      </c>
      <c r="M457" s="1" t="s">
        <v>19</v>
      </c>
      <c r="N457" t="str">
        <f t="shared" si="57"/>
        <v>9.14252571208672</v>
      </c>
      <c r="O457" t="str">
        <f t="shared" si="58"/>
        <v>50.88</v>
      </c>
      <c r="P457" t="str">
        <f t="shared" si="59"/>
        <v>71.4796191596153</v>
      </c>
      <c r="Q457" t="str">
        <f t="shared" si="60"/>
        <v>15.8594991296239</v>
      </c>
      <c r="R457" t="str">
        <f t="shared" si="61"/>
        <v>0.38</v>
      </c>
      <c r="S457" t="str">
        <f t="shared" si="62"/>
        <v>3.58</v>
      </c>
      <c r="T457" t="str">
        <f t="shared" si="63"/>
        <v>1.57182542069594</v>
      </c>
      <c r="U457" t="str">
        <f t="shared" si="64"/>
        <v>5.09</v>
      </c>
    </row>
    <row r="458" spans="1:21" x14ac:dyDescent="0.25">
      <c r="A458" t="s">
        <v>46</v>
      </c>
      <c r="B458" s="1" t="s">
        <v>20</v>
      </c>
      <c r="C458">
        <v>-1.630276047853416</v>
      </c>
      <c r="D458" s="17">
        <v>52.17</v>
      </c>
      <c r="E458">
        <v>76.663053706400191</v>
      </c>
      <c r="F458">
        <v>15.773054485708386</v>
      </c>
      <c r="G458" s="17">
        <v>0.16</v>
      </c>
      <c r="H458" s="17">
        <v>4.13</v>
      </c>
      <c r="I458">
        <v>2.1343252517401243</v>
      </c>
      <c r="J458" s="17">
        <v>5.87</v>
      </c>
      <c r="L458" t="s">
        <v>46</v>
      </c>
      <c r="M458" s="1" t="s">
        <v>20</v>
      </c>
      <c r="N458" t="str">
        <f t="shared" si="57"/>
        <v>-1.63027604785342</v>
      </c>
      <c r="O458" t="str">
        <f t="shared" si="58"/>
        <v>52.17</v>
      </c>
      <c r="P458" t="str">
        <f t="shared" si="59"/>
        <v>76.6630537064002</v>
      </c>
      <c r="Q458" t="str">
        <f t="shared" si="60"/>
        <v>15.7730544857084</v>
      </c>
      <c r="R458" t="str">
        <f t="shared" si="61"/>
        <v>0.16</v>
      </c>
      <c r="S458" t="str">
        <f t="shared" si="62"/>
        <v>4.13</v>
      </c>
      <c r="T458" t="str">
        <f t="shared" si="63"/>
        <v>2.13432525174012</v>
      </c>
      <c r="U458" t="str">
        <f t="shared" si="64"/>
        <v>5.87</v>
      </c>
    </row>
    <row r="459" spans="1:21" x14ac:dyDescent="0.25">
      <c r="A459" t="s">
        <v>46</v>
      </c>
      <c r="B459" s="1" t="s">
        <v>21</v>
      </c>
      <c r="C459">
        <v>23.631338629377019</v>
      </c>
      <c r="D459" s="17">
        <v>45.24</v>
      </c>
      <c r="E459">
        <v>78.868633919949843</v>
      </c>
      <c r="F459">
        <v>15.956824648358122</v>
      </c>
      <c r="G459" s="17">
        <v>0.21</v>
      </c>
      <c r="H459" s="17">
        <v>3.23</v>
      </c>
      <c r="I459">
        <v>1.7068161654776635</v>
      </c>
      <c r="J459" s="17">
        <v>5.81</v>
      </c>
      <c r="L459" t="s">
        <v>46</v>
      </c>
      <c r="M459" s="1" t="s">
        <v>21</v>
      </c>
      <c r="N459" t="str">
        <f t="shared" si="57"/>
        <v>23.631338629377</v>
      </c>
      <c r="O459" t="str">
        <f t="shared" si="58"/>
        <v>45.24</v>
      </c>
      <c r="P459" t="str">
        <f t="shared" si="59"/>
        <v>78.8686339199498</v>
      </c>
      <c r="Q459" t="str">
        <f t="shared" si="60"/>
        <v>15.9568246483581</v>
      </c>
      <c r="R459" t="str">
        <f t="shared" si="61"/>
        <v>0.21</v>
      </c>
      <c r="S459" t="str">
        <f t="shared" si="62"/>
        <v>3.23</v>
      </c>
      <c r="T459" t="str">
        <f t="shared" si="63"/>
        <v>1.70681616547766</v>
      </c>
      <c r="U459" t="str">
        <f t="shared" si="64"/>
        <v>5.81</v>
      </c>
    </row>
    <row r="460" spans="1:21" x14ac:dyDescent="0.25">
      <c r="A460" t="s">
        <v>46</v>
      </c>
      <c r="B460" s="1" t="s">
        <v>22</v>
      </c>
      <c r="C460">
        <v>11.21921931764599</v>
      </c>
      <c r="D460" s="17">
        <v>45.9</v>
      </c>
      <c r="E460">
        <v>79.000566265497568</v>
      </c>
      <c r="F460">
        <v>16.0614862510885</v>
      </c>
      <c r="G460" s="17">
        <v>0.21</v>
      </c>
      <c r="H460" s="17">
        <v>2.67</v>
      </c>
      <c r="I460">
        <v>1.6995652664300329</v>
      </c>
      <c r="J460" s="17">
        <v>5.51</v>
      </c>
      <c r="L460" t="s">
        <v>46</v>
      </c>
      <c r="M460" s="1" t="s">
        <v>22</v>
      </c>
      <c r="N460" t="str">
        <f t="shared" si="57"/>
        <v>11.219219317646</v>
      </c>
      <c r="O460" t="str">
        <f t="shared" si="58"/>
        <v>45.9</v>
      </c>
      <c r="P460" t="str">
        <f t="shared" si="59"/>
        <v>79.0005662654976</v>
      </c>
      <c r="Q460" t="str">
        <f t="shared" si="60"/>
        <v>16.0614862510885</v>
      </c>
      <c r="R460" t="str">
        <f t="shared" si="61"/>
        <v>0.21</v>
      </c>
      <c r="S460" t="str">
        <f t="shared" si="62"/>
        <v>2.67</v>
      </c>
      <c r="T460" t="str">
        <f t="shared" si="63"/>
        <v>1.69956526643003</v>
      </c>
      <c r="U460" t="str">
        <f t="shared" si="64"/>
        <v>5.51</v>
      </c>
    </row>
    <row r="461" spans="1:21" x14ac:dyDescent="0.25">
      <c r="A461" t="s">
        <v>46</v>
      </c>
      <c r="B461" s="1" t="s">
        <v>23</v>
      </c>
      <c r="C461">
        <v>8.0219689543381065</v>
      </c>
      <c r="D461" s="19">
        <v>47.67</v>
      </c>
      <c r="E461">
        <v>79.188819934695758</v>
      </c>
      <c r="F461">
        <v>16.136270581725928</v>
      </c>
      <c r="G461" s="16">
        <v>0.22</v>
      </c>
      <c r="H461" s="19">
        <v>2.75</v>
      </c>
      <c r="I461">
        <v>1.6674968871382541</v>
      </c>
      <c r="J461" s="16">
        <v>5.68</v>
      </c>
      <c r="L461" t="s">
        <v>46</v>
      </c>
      <c r="M461" s="1" t="s">
        <v>23</v>
      </c>
      <c r="N461" t="str">
        <f t="shared" si="57"/>
        <v>8.02196895433811</v>
      </c>
      <c r="O461" t="str">
        <f t="shared" si="58"/>
        <v>47.67</v>
      </c>
      <c r="P461" t="str">
        <f t="shared" si="59"/>
        <v>79.1888199346958</v>
      </c>
      <c r="Q461" t="str">
        <f t="shared" si="60"/>
        <v>16.1362705817259</v>
      </c>
      <c r="R461" t="str">
        <f t="shared" si="61"/>
        <v>0.22</v>
      </c>
      <c r="S461" t="str">
        <f t="shared" si="62"/>
        <v>2.75</v>
      </c>
      <c r="T461" t="str">
        <f t="shared" si="63"/>
        <v>1.66749688713825</v>
      </c>
      <c r="U461" t="str">
        <f t="shared" si="64"/>
        <v>5.68</v>
      </c>
    </row>
    <row r="462" spans="1:21" x14ac:dyDescent="0.25">
      <c r="A462" t="s">
        <v>47</v>
      </c>
      <c r="B462" s="1" t="s">
        <v>4</v>
      </c>
      <c r="C462">
        <v>-3.5020994964488987</v>
      </c>
      <c r="D462" s="17">
        <v>20.45</v>
      </c>
      <c r="E462">
        <v>62.743793676228663</v>
      </c>
      <c r="F462">
        <v>13.527991138950371</v>
      </c>
      <c r="G462" s="17">
        <v>-1.94</v>
      </c>
      <c r="H462" s="17">
        <v>8.5</v>
      </c>
      <c r="I462">
        <v>4.5901987655501371</v>
      </c>
      <c r="J462" s="17">
        <v>4.66</v>
      </c>
      <c r="L462" t="s">
        <v>47</v>
      </c>
      <c r="M462" s="1" t="s">
        <v>4</v>
      </c>
      <c r="N462" t="str">
        <f t="shared" si="57"/>
        <v>-3.5020994964489</v>
      </c>
      <c r="O462" t="str">
        <f t="shared" si="58"/>
        <v>20.45</v>
      </c>
      <c r="P462" t="str">
        <f t="shared" si="59"/>
        <v>62.7437936762287</v>
      </c>
      <c r="Q462" t="str">
        <f t="shared" si="60"/>
        <v>13.5279911389504</v>
      </c>
      <c r="R462" t="str">
        <f t="shared" si="61"/>
        <v>-1.94</v>
      </c>
      <c r="S462" t="str">
        <f t="shared" si="62"/>
        <v>8.5</v>
      </c>
      <c r="T462" t="str">
        <f t="shared" si="63"/>
        <v>4.59019876555014</v>
      </c>
      <c r="U462" t="str">
        <f t="shared" si="64"/>
        <v>4.66</v>
      </c>
    </row>
    <row r="463" spans="1:21" x14ac:dyDescent="0.25">
      <c r="A463" t="s">
        <v>47</v>
      </c>
      <c r="B463" s="1" t="s">
        <v>5</v>
      </c>
      <c r="C463">
        <v>-1.7528763106734231</v>
      </c>
      <c r="D463" s="17">
        <v>20.72</v>
      </c>
      <c r="E463">
        <v>60.939866023360914</v>
      </c>
      <c r="F463">
        <v>13.539479020364382</v>
      </c>
      <c r="G463" s="17">
        <v>-1.78</v>
      </c>
      <c r="H463" s="17">
        <v>8.3000000000000007</v>
      </c>
      <c r="I463">
        <v>4.4973562137087617</v>
      </c>
      <c r="J463" s="17">
        <v>4.9000000000000004</v>
      </c>
      <c r="L463" t="s">
        <v>47</v>
      </c>
      <c r="M463" s="1" t="s">
        <v>5</v>
      </c>
      <c r="N463" t="str">
        <f t="shared" si="57"/>
        <v>-1.75287631067342</v>
      </c>
      <c r="O463" t="str">
        <f t="shared" si="58"/>
        <v>20.72</v>
      </c>
      <c r="P463" t="str">
        <f t="shared" si="59"/>
        <v>60.9398660233609</v>
      </c>
      <c r="Q463" t="str">
        <f t="shared" si="60"/>
        <v>13.5394790203644</v>
      </c>
      <c r="R463" t="str">
        <f t="shared" si="61"/>
        <v>-1.78</v>
      </c>
      <c r="S463" t="str">
        <f t="shared" si="62"/>
        <v>8.3</v>
      </c>
      <c r="T463" t="str">
        <f t="shared" si="63"/>
        <v>4.49735621370876</v>
      </c>
      <c r="U463" t="str">
        <f t="shared" si="64"/>
        <v>4.9</v>
      </c>
    </row>
    <row r="464" spans="1:21" x14ac:dyDescent="0.25">
      <c r="A464" t="s">
        <v>47</v>
      </c>
      <c r="B464" s="1" t="s">
        <v>6</v>
      </c>
      <c r="C464">
        <v>-7.4298504557692935</v>
      </c>
      <c r="D464" s="17">
        <v>20.87</v>
      </c>
      <c r="E464">
        <v>58.372732690306741</v>
      </c>
      <c r="F464">
        <v>13.505314265168572</v>
      </c>
      <c r="G464" s="17">
        <v>-1.8</v>
      </c>
      <c r="H464" s="17">
        <v>8.8699999999999992</v>
      </c>
      <c r="I464">
        <v>4.7022653948496549</v>
      </c>
      <c r="J464" s="17">
        <v>4.87</v>
      </c>
      <c r="L464" t="s">
        <v>47</v>
      </c>
      <c r="M464" s="1" t="s">
        <v>6</v>
      </c>
      <c r="N464" t="str">
        <f t="shared" si="57"/>
        <v>-7.42985045576929</v>
      </c>
      <c r="O464" t="str">
        <f t="shared" si="58"/>
        <v>20.87</v>
      </c>
      <c r="P464" t="str">
        <f t="shared" si="59"/>
        <v>58.3727326903067</v>
      </c>
      <c r="Q464" t="str">
        <f t="shared" si="60"/>
        <v>13.5053142651686</v>
      </c>
      <c r="R464" t="str">
        <f t="shared" si="61"/>
        <v>-1.8</v>
      </c>
      <c r="S464" t="str">
        <f t="shared" si="62"/>
        <v>8.87</v>
      </c>
      <c r="T464" t="str">
        <f t="shared" si="63"/>
        <v>4.70226539484965</v>
      </c>
      <c r="U464" t="str">
        <f t="shared" si="64"/>
        <v>4.87</v>
      </c>
    </row>
    <row r="465" spans="1:21" x14ac:dyDescent="0.25">
      <c r="A465" t="s">
        <v>47</v>
      </c>
      <c r="B465" s="1" t="s">
        <v>7</v>
      </c>
      <c r="C465">
        <v>-8.2219558975724727</v>
      </c>
      <c r="D465" s="17">
        <v>18.63</v>
      </c>
      <c r="E465">
        <v>59.105003513005641</v>
      </c>
      <c r="F465">
        <v>13.407050469376172</v>
      </c>
      <c r="G465" s="17">
        <v>-2.76</v>
      </c>
      <c r="H465" s="17">
        <v>6.17</v>
      </c>
      <c r="I465">
        <v>2.3148489900854003</v>
      </c>
      <c r="J465" s="17">
        <v>4.84</v>
      </c>
      <c r="L465" t="s">
        <v>47</v>
      </c>
      <c r="M465" s="1" t="s">
        <v>7</v>
      </c>
      <c r="N465" t="str">
        <f t="shared" si="57"/>
        <v>-8.22195589757247</v>
      </c>
      <c r="O465" t="str">
        <f t="shared" si="58"/>
        <v>18.63</v>
      </c>
      <c r="P465" t="str">
        <f t="shared" si="59"/>
        <v>59.1050035130056</v>
      </c>
      <c r="Q465" t="str">
        <f t="shared" si="60"/>
        <v>13.4070504693762</v>
      </c>
      <c r="R465" t="str">
        <f t="shared" si="61"/>
        <v>-2.76</v>
      </c>
      <c r="S465" t="str">
        <f t="shared" si="62"/>
        <v>6.17</v>
      </c>
      <c r="T465" t="str">
        <f t="shared" si="63"/>
        <v>2.3148489900854</v>
      </c>
      <c r="U465" t="str">
        <f t="shared" si="64"/>
        <v>4.84</v>
      </c>
    </row>
    <row r="466" spans="1:21" x14ac:dyDescent="0.25">
      <c r="A466" t="s">
        <v>47</v>
      </c>
      <c r="B466" s="1" t="s">
        <v>8</v>
      </c>
      <c r="C466">
        <v>-7.0089473215308455</v>
      </c>
      <c r="D466" s="17">
        <v>17.79</v>
      </c>
      <c r="E466">
        <v>53.807643419050663</v>
      </c>
      <c r="F466">
        <v>13.428283618731022</v>
      </c>
      <c r="G466" s="17">
        <v>-3.59</v>
      </c>
      <c r="H466" s="17">
        <v>6.64</v>
      </c>
      <c r="I466">
        <v>2.6075769188656519</v>
      </c>
      <c r="J466" s="17">
        <v>3.45</v>
      </c>
      <c r="L466" t="s">
        <v>47</v>
      </c>
      <c r="M466" s="1" t="s">
        <v>8</v>
      </c>
      <c r="N466" t="str">
        <f t="shared" si="57"/>
        <v>-7.00894732153085</v>
      </c>
      <c r="O466" t="str">
        <f t="shared" si="58"/>
        <v>17.79</v>
      </c>
      <c r="P466" t="str">
        <f t="shared" si="59"/>
        <v>53.8076434190507</v>
      </c>
      <c r="Q466" t="str">
        <f t="shared" si="60"/>
        <v>13.428283618731</v>
      </c>
      <c r="R466" t="str">
        <f t="shared" si="61"/>
        <v>-3.59</v>
      </c>
      <c r="S466" t="str">
        <f t="shared" si="62"/>
        <v>6.64</v>
      </c>
      <c r="T466" t="str">
        <f t="shared" si="63"/>
        <v>2.60757691886565</v>
      </c>
      <c r="U466" t="str">
        <f t="shared" si="64"/>
        <v>3.45</v>
      </c>
    </row>
    <row r="467" spans="1:21" x14ac:dyDescent="0.25">
      <c r="A467" t="s">
        <v>47</v>
      </c>
      <c r="B467" s="1" t="s">
        <v>9</v>
      </c>
      <c r="C467">
        <v>2.6647870360232124</v>
      </c>
      <c r="D467" s="17">
        <v>16.02</v>
      </c>
      <c r="E467">
        <v>54.033086450345117</v>
      </c>
      <c r="F467">
        <v>13.450401575876485</v>
      </c>
      <c r="G467" s="17">
        <v>-4.16</v>
      </c>
      <c r="H467" s="17">
        <v>6.41</v>
      </c>
      <c r="I467">
        <v>3.1286078041887189</v>
      </c>
      <c r="J467" s="17">
        <v>3.16</v>
      </c>
      <c r="L467" t="s">
        <v>47</v>
      </c>
      <c r="M467" s="1" t="s">
        <v>9</v>
      </c>
      <c r="N467" t="str">
        <f t="shared" si="57"/>
        <v>2.66478703602321</v>
      </c>
      <c r="O467" t="str">
        <f t="shared" si="58"/>
        <v>16.02</v>
      </c>
      <c r="P467" t="str">
        <f t="shared" si="59"/>
        <v>54.0330864503451</v>
      </c>
      <c r="Q467" t="str">
        <f t="shared" si="60"/>
        <v>13.4504015758765</v>
      </c>
      <c r="R467" t="str">
        <f t="shared" si="61"/>
        <v>-4.16</v>
      </c>
      <c r="S467" t="str">
        <f t="shared" si="62"/>
        <v>6.41</v>
      </c>
      <c r="T467" t="str">
        <f t="shared" si="63"/>
        <v>3.12860780418872</v>
      </c>
      <c r="U467" t="str">
        <f t="shared" si="64"/>
        <v>3.16</v>
      </c>
    </row>
    <row r="468" spans="1:21" x14ac:dyDescent="0.25">
      <c r="A468" t="s">
        <v>47</v>
      </c>
      <c r="B468" s="1" t="s">
        <v>10</v>
      </c>
      <c r="C468">
        <v>-3.1686019383823707</v>
      </c>
      <c r="D468" s="17">
        <v>15.47</v>
      </c>
      <c r="E468">
        <v>50.514153298773621</v>
      </c>
      <c r="F468">
        <v>13.48554570233761</v>
      </c>
      <c r="G468" s="17">
        <v>-3.66</v>
      </c>
      <c r="H468" s="17">
        <v>8.18</v>
      </c>
      <c r="I468">
        <v>3.863469274804431</v>
      </c>
      <c r="J468" s="17">
        <v>2.62</v>
      </c>
      <c r="L468" t="s">
        <v>47</v>
      </c>
      <c r="M468" s="1" t="s">
        <v>10</v>
      </c>
      <c r="N468" t="str">
        <f t="shared" si="57"/>
        <v>-3.16860193838237</v>
      </c>
      <c r="O468" t="str">
        <f t="shared" si="58"/>
        <v>15.47</v>
      </c>
      <c r="P468" t="str">
        <f t="shared" si="59"/>
        <v>50.5141532987736</v>
      </c>
      <c r="Q468" t="str">
        <f t="shared" si="60"/>
        <v>13.4855457023376</v>
      </c>
      <c r="R468" t="str">
        <f t="shared" si="61"/>
        <v>-3.66</v>
      </c>
      <c r="S468" t="str">
        <f t="shared" si="62"/>
        <v>8.18</v>
      </c>
      <c r="T468" t="str">
        <f t="shared" si="63"/>
        <v>3.86346927480443</v>
      </c>
      <c r="U468" t="str">
        <f t="shared" si="64"/>
        <v>2.62</v>
      </c>
    </row>
    <row r="469" spans="1:21" x14ac:dyDescent="0.25">
      <c r="A469" t="s">
        <v>47</v>
      </c>
      <c r="B469" s="1" t="s">
        <v>11</v>
      </c>
      <c r="C469">
        <v>-21.581018308179896</v>
      </c>
      <c r="D469" s="17">
        <v>148.28</v>
      </c>
      <c r="E469">
        <v>21.558115963202194</v>
      </c>
      <c r="F469">
        <v>14.093942731703013</v>
      </c>
      <c r="G469" s="17">
        <v>-15.89</v>
      </c>
      <c r="H469" s="17">
        <v>2.0499999999999998</v>
      </c>
      <c r="I469">
        <v>11.630822170333047</v>
      </c>
      <c r="J469" s="17">
        <v>2.0499999999999998</v>
      </c>
      <c r="L469" t="s">
        <v>47</v>
      </c>
      <c r="M469" s="1" t="s">
        <v>11</v>
      </c>
      <c r="N469" t="str">
        <f t="shared" si="57"/>
        <v>-21.5810183081799</v>
      </c>
      <c r="O469" t="str">
        <f t="shared" si="58"/>
        <v>148.28</v>
      </c>
      <c r="P469" t="str">
        <f t="shared" si="59"/>
        <v>21.5581159632022</v>
      </c>
      <c r="Q469" t="str">
        <f t="shared" si="60"/>
        <v>14.093942731703</v>
      </c>
      <c r="R469" t="str">
        <f t="shared" si="61"/>
        <v>-15.89</v>
      </c>
      <c r="S469" t="str">
        <f t="shared" si="62"/>
        <v>2.05</v>
      </c>
      <c r="T469" t="str">
        <f t="shared" si="63"/>
        <v>11.630822170333</v>
      </c>
      <c r="U469" t="str">
        <f t="shared" si="64"/>
        <v>2.05</v>
      </c>
    </row>
    <row r="470" spans="1:21" x14ac:dyDescent="0.25">
      <c r="A470" t="s">
        <v>47</v>
      </c>
      <c r="B470" s="1" t="s">
        <v>12</v>
      </c>
      <c r="C470">
        <v>8.8193261819905544</v>
      </c>
      <c r="D470" s="17">
        <v>116.15</v>
      </c>
      <c r="E470">
        <v>25.554799688307835</v>
      </c>
      <c r="F470">
        <v>14.008388697447174</v>
      </c>
      <c r="G470" s="17">
        <v>-8.15</v>
      </c>
      <c r="H470" s="17">
        <v>2.04</v>
      </c>
      <c r="I470">
        <v>12.112147964583494</v>
      </c>
      <c r="J470" s="17">
        <v>3.79</v>
      </c>
      <c r="L470" t="s">
        <v>47</v>
      </c>
      <c r="M470" s="1" t="s">
        <v>12</v>
      </c>
      <c r="N470" t="str">
        <f t="shared" si="57"/>
        <v>8.81932618199055</v>
      </c>
      <c r="O470" t="str">
        <f t="shared" si="58"/>
        <v>116.15</v>
      </c>
      <c r="P470" t="str">
        <f t="shared" si="59"/>
        <v>25.5547996883078</v>
      </c>
      <c r="Q470" t="str">
        <f t="shared" si="60"/>
        <v>14.0083886974472</v>
      </c>
      <c r="R470" t="str">
        <f t="shared" si="61"/>
        <v>-8.15</v>
      </c>
      <c r="S470" t="str">
        <f t="shared" si="62"/>
        <v>2.04</v>
      </c>
      <c r="T470" t="str">
        <f t="shared" si="63"/>
        <v>12.1121479645835</v>
      </c>
      <c r="U470" t="str">
        <f t="shared" si="64"/>
        <v>3.79</v>
      </c>
    </row>
    <row r="471" spans="1:21" x14ac:dyDescent="0.25">
      <c r="A471" t="s">
        <v>47</v>
      </c>
      <c r="B471" s="1" t="s">
        <v>13</v>
      </c>
      <c r="C471">
        <v>-11.90402436820775</v>
      </c>
      <c r="D471" s="17">
        <v>215.5</v>
      </c>
      <c r="E471">
        <v>15.998228018404232</v>
      </c>
      <c r="F471">
        <v>14.349992550288121</v>
      </c>
      <c r="G471" s="17">
        <v>-6.81</v>
      </c>
      <c r="H471" s="17">
        <v>0.92</v>
      </c>
      <c r="I471">
        <v>6.724415793714746</v>
      </c>
      <c r="J471" s="17">
        <v>4.1399999999999997</v>
      </c>
      <c r="L471" t="s">
        <v>47</v>
      </c>
      <c r="M471" s="1" t="s">
        <v>13</v>
      </c>
      <c r="N471" t="str">
        <f t="shared" si="57"/>
        <v>-11.9040243682078</v>
      </c>
      <c r="O471" t="str">
        <f t="shared" si="58"/>
        <v>215.5</v>
      </c>
      <c r="P471" t="str">
        <f t="shared" si="59"/>
        <v>15.9982280184042</v>
      </c>
      <c r="Q471" t="str">
        <f t="shared" si="60"/>
        <v>14.3499925502881</v>
      </c>
      <c r="R471" t="str">
        <f t="shared" si="61"/>
        <v>-6.81</v>
      </c>
      <c r="S471" t="str">
        <f t="shared" si="62"/>
        <v>0.92</v>
      </c>
      <c r="T471" t="str">
        <f t="shared" si="63"/>
        <v>6.72441579371475</v>
      </c>
      <c r="U471" t="str">
        <f t="shared" si="64"/>
        <v>4.14</v>
      </c>
    </row>
    <row r="472" spans="1:21" x14ac:dyDescent="0.25">
      <c r="A472" t="s">
        <v>47</v>
      </c>
      <c r="B472" s="1" t="s">
        <v>14</v>
      </c>
      <c r="C472">
        <v>126.68595707274193</v>
      </c>
      <c r="D472" s="17">
        <v>133</v>
      </c>
      <c r="E472">
        <v>35.834790025053749</v>
      </c>
      <c r="F472">
        <v>14.361946732235186</v>
      </c>
      <c r="G472" s="17">
        <v>-8.9499999999999993</v>
      </c>
      <c r="H472" s="17">
        <v>0.37</v>
      </c>
      <c r="I472">
        <v>7.0207045425902166</v>
      </c>
      <c r="J472" s="17">
        <v>4.37</v>
      </c>
      <c r="L472" t="s">
        <v>47</v>
      </c>
      <c r="M472" s="1" t="s">
        <v>14</v>
      </c>
      <c r="N472" t="str">
        <f t="shared" si="57"/>
        <v>126.685957072742</v>
      </c>
      <c r="O472" t="str">
        <f t="shared" si="58"/>
        <v>133</v>
      </c>
      <c r="P472" t="str">
        <f t="shared" si="59"/>
        <v>35.8347900250537</v>
      </c>
      <c r="Q472" t="str">
        <f t="shared" si="60"/>
        <v>14.3619467322352</v>
      </c>
      <c r="R472" t="str">
        <f t="shared" si="61"/>
        <v>-8.95</v>
      </c>
      <c r="S472" t="str">
        <f t="shared" si="62"/>
        <v>0.37</v>
      </c>
      <c r="T472" t="str">
        <f t="shared" si="63"/>
        <v>7.02070454259022</v>
      </c>
      <c r="U472" t="str">
        <f t="shared" si="64"/>
        <v>4.37</v>
      </c>
    </row>
    <row r="473" spans="1:21" x14ac:dyDescent="0.25">
      <c r="A473" t="s">
        <v>47</v>
      </c>
      <c r="B473" s="1" t="s">
        <v>15</v>
      </c>
      <c r="C473">
        <v>46.705272920578189</v>
      </c>
      <c r="D473" s="17">
        <v>91.38</v>
      </c>
      <c r="E473">
        <v>41.651784301195526</v>
      </c>
      <c r="F473">
        <v>14.59477717618754</v>
      </c>
      <c r="G473" s="17">
        <v>-11.27</v>
      </c>
      <c r="H473" s="17">
        <v>0</v>
      </c>
      <c r="I473">
        <v>9.0040706818392078</v>
      </c>
      <c r="J473" s="17">
        <v>4.74</v>
      </c>
      <c r="L473" t="s">
        <v>47</v>
      </c>
      <c r="M473" s="1" t="s">
        <v>15</v>
      </c>
      <c r="N473" t="str">
        <f t="shared" si="57"/>
        <v>46.7052729205782</v>
      </c>
      <c r="O473" t="str">
        <f t="shared" si="58"/>
        <v>91.38</v>
      </c>
      <c r="P473" t="str">
        <f t="shared" si="59"/>
        <v>41.6517843011955</v>
      </c>
      <c r="Q473" t="str">
        <f t="shared" si="60"/>
        <v>14.5947771761875</v>
      </c>
      <c r="R473" t="str">
        <f t="shared" si="61"/>
        <v>-11.27</v>
      </c>
      <c r="S473" t="str">
        <f t="shared" si="62"/>
        <v>0</v>
      </c>
      <c r="T473" t="str">
        <f t="shared" si="63"/>
        <v>9.00407068183921</v>
      </c>
      <c r="U473" t="str">
        <f t="shared" si="64"/>
        <v>4.74</v>
      </c>
    </row>
    <row r="474" spans="1:21" x14ac:dyDescent="0.25">
      <c r="A474" t="s">
        <v>47</v>
      </c>
      <c r="B474" s="1" t="s">
        <v>16</v>
      </c>
      <c r="C474">
        <v>42.300728229121241</v>
      </c>
      <c r="D474" s="17">
        <v>538.01</v>
      </c>
      <c r="E474">
        <v>13.977433857176441</v>
      </c>
      <c r="F474">
        <v>16.039449659089648</v>
      </c>
      <c r="G474" s="17">
        <v>-3.33</v>
      </c>
      <c r="H474" s="17">
        <v>0</v>
      </c>
      <c r="I474">
        <v>9.7315228462541068</v>
      </c>
      <c r="J474" s="17">
        <v>7.72</v>
      </c>
      <c r="L474" t="s">
        <v>47</v>
      </c>
      <c r="M474" s="1" t="s">
        <v>16</v>
      </c>
      <c r="N474" t="str">
        <f t="shared" si="57"/>
        <v>42.3007282291212</v>
      </c>
      <c r="O474" t="str">
        <f t="shared" si="58"/>
        <v>538.01</v>
      </c>
      <c r="P474" t="str">
        <f t="shared" si="59"/>
        <v>13.9774338571764</v>
      </c>
      <c r="Q474" t="str">
        <f t="shared" si="60"/>
        <v>16.0394496590896</v>
      </c>
      <c r="R474" t="str">
        <f t="shared" si="61"/>
        <v>-3.33</v>
      </c>
      <c r="S474" t="str">
        <f t="shared" si="62"/>
        <v>0</v>
      </c>
      <c r="T474" t="str">
        <f t="shared" si="63"/>
        <v>9.73152284625411</v>
      </c>
      <c r="U474" t="str">
        <f t="shared" si="64"/>
        <v>7.72</v>
      </c>
    </row>
    <row r="475" spans="1:21" x14ac:dyDescent="0.25">
      <c r="A475" t="s">
        <v>47</v>
      </c>
      <c r="B475" s="1" t="s">
        <v>17</v>
      </c>
      <c r="C475">
        <v>68.039237539743723</v>
      </c>
      <c r="D475" s="17">
        <v>342.8</v>
      </c>
      <c r="E475">
        <v>21.510411294919201</v>
      </c>
      <c r="F475">
        <v>16.127384079634247</v>
      </c>
      <c r="G475" s="17">
        <v>-1.3</v>
      </c>
      <c r="H475" s="17">
        <v>0</v>
      </c>
      <c r="I475">
        <v>5.5455402157602043</v>
      </c>
      <c r="J475" s="17">
        <v>5.04</v>
      </c>
      <c r="L475" t="s">
        <v>47</v>
      </c>
      <c r="M475" s="1" t="s">
        <v>17</v>
      </c>
      <c r="N475" t="str">
        <f t="shared" si="57"/>
        <v>68.0392375397437</v>
      </c>
      <c r="O475" t="str">
        <f t="shared" si="58"/>
        <v>342.8</v>
      </c>
      <c r="P475" t="str">
        <f t="shared" si="59"/>
        <v>21.5104112949192</v>
      </c>
      <c r="Q475" t="str">
        <f t="shared" si="60"/>
        <v>16.1273840796342</v>
      </c>
      <c r="R475" t="str">
        <f t="shared" si="61"/>
        <v>-1.3</v>
      </c>
      <c r="S475" t="str">
        <f t="shared" si="62"/>
        <v>0</v>
      </c>
      <c r="T475" t="str">
        <f t="shared" si="63"/>
        <v>5.5455402157602</v>
      </c>
      <c r="U475" t="str">
        <f t="shared" si="64"/>
        <v>5.04</v>
      </c>
    </row>
    <row r="476" spans="1:21" x14ac:dyDescent="0.25">
      <c r="A476" t="s">
        <v>47</v>
      </c>
      <c r="B476" s="1" t="s">
        <v>18</v>
      </c>
      <c r="C476">
        <v>71.673942501407112</v>
      </c>
      <c r="D476" s="17">
        <v>224.24</v>
      </c>
      <c r="E476">
        <v>33.951087855037073</v>
      </c>
      <c r="F476">
        <v>16.21142705609693</v>
      </c>
      <c r="G476" s="17">
        <v>-0.52</v>
      </c>
      <c r="H476" s="17">
        <v>0.59</v>
      </c>
      <c r="I476">
        <v>4.4259326680863058</v>
      </c>
      <c r="J476" s="17">
        <v>6.09</v>
      </c>
      <c r="L476" t="s">
        <v>47</v>
      </c>
      <c r="M476" s="1" t="s">
        <v>18</v>
      </c>
      <c r="N476" t="str">
        <f t="shared" si="57"/>
        <v>71.6739425014071</v>
      </c>
      <c r="O476" t="str">
        <f t="shared" si="58"/>
        <v>224.24</v>
      </c>
      <c r="P476" t="str">
        <f t="shared" si="59"/>
        <v>33.9510878550371</v>
      </c>
      <c r="Q476" t="str">
        <f t="shared" si="60"/>
        <v>16.2114270560969</v>
      </c>
      <c r="R476" t="str">
        <f t="shared" si="61"/>
        <v>-0.52</v>
      </c>
      <c r="S476" t="str">
        <f t="shared" si="62"/>
        <v>0.59</v>
      </c>
      <c r="T476" t="str">
        <f t="shared" si="63"/>
        <v>4.42593266808631</v>
      </c>
      <c r="U476" t="str">
        <f t="shared" si="64"/>
        <v>6.09</v>
      </c>
    </row>
    <row r="477" spans="1:21" x14ac:dyDescent="0.25">
      <c r="A477" t="s">
        <v>47</v>
      </c>
      <c r="B477" s="1" t="s">
        <v>19</v>
      </c>
      <c r="C477">
        <v>-10.896436153644107</v>
      </c>
      <c r="D477" s="17">
        <v>169.92</v>
      </c>
      <c r="E477">
        <v>26.973580015369841</v>
      </c>
      <c r="F477">
        <v>16.326119229417035</v>
      </c>
      <c r="G477" s="17">
        <v>0.1</v>
      </c>
      <c r="H477" s="17">
        <v>0.57999999999999996</v>
      </c>
      <c r="I477">
        <v>3.8291819489982384</v>
      </c>
      <c r="J477" s="17">
        <v>7.42</v>
      </c>
      <c r="L477" t="s">
        <v>47</v>
      </c>
      <c r="M477" s="1" t="s">
        <v>19</v>
      </c>
      <c r="N477" t="str">
        <f t="shared" si="57"/>
        <v>-10.8964361536441</v>
      </c>
      <c r="O477" t="str">
        <f t="shared" si="58"/>
        <v>169.92</v>
      </c>
      <c r="P477" t="str">
        <f t="shared" si="59"/>
        <v>26.9735800153698</v>
      </c>
      <c r="Q477" t="str">
        <f t="shared" si="60"/>
        <v>16.326119229417</v>
      </c>
      <c r="R477" t="str">
        <f t="shared" si="61"/>
        <v>0.1</v>
      </c>
      <c r="S477" t="str">
        <f t="shared" si="62"/>
        <v>0.58</v>
      </c>
      <c r="T477" t="str">
        <f t="shared" si="63"/>
        <v>3.82918194899824</v>
      </c>
      <c r="U477" t="str">
        <f t="shared" si="64"/>
        <v>7.42</v>
      </c>
    </row>
    <row r="478" spans="1:21" x14ac:dyDescent="0.25">
      <c r="A478" t="s">
        <v>47</v>
      </c>
      <c r="B478" s="1" t="s">
        <v>20</v>
      </c>
      <c r="C478">
        <v>85.017438494041585</v>
      </c>
      <c r="D478" s="17">
        <v>130.6</v>
      </c>
      <c r="E478">
        <v>47.910339299693419</v>
      </c>
      <c r="F478">
        <v>16.366925662296307</v>
      </c>
      <c r="G478" s="17">
        <v>0.77</v>
      </c>
      <c r="H478" s="17">
        <v>1.49</v>
      </c>
      <c r="I478">
        <v>2.8361251541186627</v>
      </c>
      <c r="J478" s="17">
        <v>11.08</v>
      </c>
      <c r="L478" t="s">
        <v>47</v>
      </c>
      <c r="M478" s="1" t="s">
        <v>20</v>
      </c>
      <c r="N478" t="str">
        <f t="shared" si="57"/>
        <v>85.0174384940416</v>
      </c>
      <c r="O478" t="str">
        <f t="shared" si="58"/>
        <v>130.6</v>
      </c>
      <c r="P478" t="str">
        <f t="shared" si="59"/>
        <v>47.9103392996934</v>
      </c>
      <c r="Q478" t="str">
        <f t="shared" si="60"/>
        <v>16.3669256622963</v>
      </c>
      <c r="R478" t="str">
        <f t="shared" si="61"/>
        <v>0.77</v>
      </c>
      <c r="S478" t="str">
        <f t="shared" si="62"/>
        <v>1.49</v>
      </c>
      <c r="T478" t="str">
        <f t="shared" si="63"/>
        <v>2.83612515411866</v>
      </c>
      <c r="U478" t="str">
        <f t="shared" si="64"/>
        <v>11.08</v>
      </c>
    </row>
    <row r="479" spans="1:21" x14ac:dyDescent="0.25">
      <c r="A479" t="s">
        <v>47</v>
      </c>
      <c r="B479" s="1" t="s">
        <v>21</v>
      </c>
      <c r="C479">
        <v>18.103848963059693</v>
      </c>
      <c r="D479" s="17">
        <v>109.8</v>
      </c>
      <c r="E479">
        <v>49.665044546094933</v>
      </c>
      <c r="F479">
        <v>16.497349765986336</v>
      </c>
      <c r="G479" s="17">
        <v>0.56999999999999995</v>
      </c>
      <c r="H479" s="17">
        <v>2.7</v>
      </c>
      <c r="I479">
        <v>2.9321782966801284</v>
      </c>
      <c r="J479" s="17">
        <v>10.83</v>
      </c>
      <c r="L479" t="s">
        <v>47</v>
      </c>
      <c r="M479" s="1" t="s">
        <v>21</v>
      </c>
      <c r="N479" t="str">
        <f t="shared" si="57"/>
        <v>18.1038489630597</v>
      </c>
      <c r="O479" t="str">
        <f t="shared" si="58"/>
        <v>109.8</v>
      </c>
      <c r="P479" t="str">
        <f t="shared" si="59"/>
        <v>49.6650445460949</v>
      </c>
      <c r="Q479" t="str">
        <f t="shared" si="60"/>
        <v>16.4973497659863</v>
      </c>
      <c r="R479" t="str">
        <f t="shared" si="61"/>
        <v>0.57</v>
      </c>
      <c r="S479" t="str">
        <f t="shared" si="62"/>
        <v>2.7</v>
      </c>
      <c r="T479" t="str">
        <f t="shared" si="63"/>
        <v>2.93217829668013</v>
      </c>
      <c r="U479" t="str">
        <f t="shared" si="64"/>
        <v>10.83</v>
      </c>
    </row>
    <row r="480" spans="1:21" x14ac:dyDescent="0.25">
      <c r="A480" t="s">
        <v>47</v>
      </c>
      <c r="B480" s="1" t="s">
        <v>22</v>
      </c>
      <c r="C480">
        <v>12.388570086817911</v>
      </c>
      <c r="D480" s="17">
        <v>97.5</v>
      </c>
      <c r="E480">
        <v>51.545322586516527</v>
      </c>
      <c r="F480">
        <v>16.576981708390132</v>
      </c>
      <c r="G480" s="17">
        <v>0.5</v>
      </c>
      <c r="H480" s="17">
        <v>2.1</v>
      </c>
      <c r="I480">
        <v>2.6197175845719811</v>
      </c>
      <c r="J480" s="17">
        <v>10.47</v>
      </c>
      <c r="L480" t="s">
        <v>47</v>
      </c>
      <c r="M480" s="1" t="s">
        <v>22</v>
      </c>
      <c r="N480" t="str">
        <f t="shared" si="57"/>
        <v>12.3885700868179</v>
      </c>
      <c r="O480" t="str">
        <f t="shared" si="58"/>
        <v>97.5</v>
      </c>
      <c r="P480" t="str">
        <f t="shared" si="59"/>
        <v>51.5453225865165</v>
      </c>
      <c r="Q480" t="str">
        <f t="shared" si="60"/>
        <v>16.5769817083901</v>
      </c>
      <c r="R480" t="str">
        <f t="shared" si="61"/>
        <v>0.5</v>
      </c>
      <c r="S480" t="str">
        <f t="shared" si="62"/>
        <v>2.1</v>
      </c>
      <c r="T480" t="str">
        <f t="shared" si="63"/>
        <v>2.61971758457198</v>
      </c>
      <c r="U480" t="str">
        <f t="shared" si="64"/>
        <v>10.47</v>
      </c>
    </row>
    <row r="481" spans="1:21" x14ac:dyDescent="0.25">
      <c r="A481" t="s">
        <v>47</v>
      </c>
      <c r="B481" s="1" t="s">
        <v>23</v>
      </c>
      <c r="C481">
        <v>15.594728833862387</v>
      </c>
      <c r="D481" s="19">
        <v>82.75</v>
      </c>
      <c r="E481">
        <v>55.572196062608995</v>
      </c>
      <c r="F481">
        <v>16.646680344790813</v>
      </c>
      <c r="G481" s="16">
        <v>0.14000000000000001</v>
      </c>
      <c r="H481" s="19">
        <v>1.82</v>
      </c>
      <c r="I481">
        <v>2.8656170187761183</v>
      </c>
      <c r="J481" s="16">
        <v>10.45</v>
      </c>
      <c r="L481" t="s">
        <v>47</v>
      </c>
      <c r="M481" s="1" t="s">
        <v>23</v>
      </c>
      <c r="N481" t="str">
        <f t="shared" si="57"/>
        <v>15.5947288338624</v>
      </c>
      <c r="O481" t="str">
        <f t="shared" si="58"/>
        <v>82.75</v>
      </c>
      <c r="P481" t="str">
        <f t="shared" si="59"/>
        <v>55.572196062609</v>
      </c>
      <c r="Q481" t="str">
        <f t="shared" si="60"/>
        <v>16.6466803447908</v>
      </c>
      <c r="R481" t="str">
        <f t="shared" si="61"/>
        <v>0.14</v>
      </c>
      <c r="S481" t="str">
        <f t="shared" si="62"/>
        <v>1.82</v>
      </c>
      <c r="T481" t="str">
        <f t="shared" si="63"/>
        <v>2.86561701877612</v>
      </c>
      <c r="U481" t="str">
        <f t="shared" si="64"/>
        <v>10.45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3F00-7172-4333-BBFE-AC0F15AC7CBF}">
  <dimension ref="A1:M26"/>
  <sheetViews>
    <sheetView zoomScale="90" zoomScaleNormal="90" workbookViewId="0">
      <selection activeCell="G9" sqref="G9"/>
    </sheetView>
  </sheetViews>
  <sheetFormatPr defaultRowHeight="15" x14ac:dyDescent="0.25"/>
  <cols>
    <col min="1" max="1" width="19.5703125" customWidth="1"/>
    <col min="3" max="3" width="21.28515625" style="25" customWidth="1"/>
    <col min="7" max="7" width="15.28515625" bestFit="1" customWidth="1"/>
    <col min="10" max="10" width="12" bestFit="1" customWidth="1"/>
    <col min="12" max="12" width="15.28515625" bestFit="1" customWidth="1"/>
  </cols>
  <sheetData>
    <row r="1" spans="1:13" x14ac:dyDescent="0.25">
      <c r="A1">
        <v>24826430565</v>
      </c>
      <c r="B1" t="s">
        <v>610</v>
      </c>
      <c r="C1" s="25">
        <f>A1/100</f>
        <v>248264305.65000001</v>
      </c>
      <c r="D1" s="27" t="s">
        <v>635</v>
      </c>
      <c r="E1" s="26"/>
      <c r="F1" s="26"/>
      <c r="J1">
        <v>24826430565</v>
      </c>
      <c r="K1" t="s">
        <v>610</v>
      </c>
      <c r="L1" s="25">
        <f>J1/100</f>
        <v>248264305.65000001</v>
      </c>
      <c r="M1" t="s">
        <v>639</v>
      </c>
    </row>
    <row r="2" spans="1:13" x14ac:dyDescent="0.25">
      <c r="A2">
        <v>21932809785</v>
      </c>
      <c r="B2" t="s">
        <v>611</v>
      </c>
      <c r="C2" s="25">
        <f t="shared" ref="C2:C24" si="0">A2/100</f>
        <v>219328097.84999999</v>
      </c>
      <c r="D2" s="27"/>
      <c r="E2" s="26"/>
      <c r="F2" s="26"/>
      <c r="J2">
        <v>21932809785</v>
      </c>
      <c r="K2" t="s">
        <v>611</v>
      </c>
      <c r="L2" s="25">
        <f t="shared" ref="L2" si="1">J2/100</f>
        <v>219328097.84999999</v>
      </c>
    </row>
    <row r="3" spans="1:13" x14ac:dyDescent="0.25">
      <c r="A3">
        <v>17904110326</v>
      </c>
      <c r="B3" t="s">
        <v>612</v>
      </c>
      <c r="C3" s="25">
        <f t="shared" si="0"/>
        <v>179041103.25999999</v>
      </c>
      <c r="D3" s="27"/>
      <c r="E3" s="26"/>
      <c r="F3" s="26"/>
    </row>
    <row r="4" spans="1:13" x14ac:dyDescent="0.25">
      <c r="A4">
        <v>15129098382</v>
      </c>
      <c r="B4" t="s">
        <v>613</v>
      </c>
      <c r="C4" s="25">
        <f t="shared" si="0"/>
        <v>151290983.81999999</v>
      </c>
      <c r="D4" s="27"/>
      <c r="E4" s="26"/>
      <c r="F4" s="26"/>
      <c r="J4">
        <v>17904110326</v>
      </c>
      <c r="K4" t="s">
        <v>612</v>
      </c>
      <c r="L4" s="25">
        <f t="shared" ref="L4:L7" si="2">J4/100</f>
        <v>179041103.25999999</v>
      </c>
      <c r="M4" t="s">
        <v>640</v>
      </c>
    </row>
    <row r="5" spans="1:13" x14ac:dyDescent="0.25">
      <c r="A5">
        <v>6116151512</v>
      </c>
      <c r="B5" t="s">
        <v>614</v>
      </c>
      <c r="C5" s="25">
        <f t="shared" si="0"/>
        <v>61161515.119999997</v>
      </c>
      <c r="D5" s="27"/>
      <c r="E5" s="26"/>
      <c r="F5" s="26"/>
      <c r="J5">
        <v>15129098382</v>
      </c>
      <c r="K5" t="s">
        <v>613</v>
      </c>
      <c r="L5" s="25">
        <f t="shared" si="2"/>
        <v>151290983.81999999</v>
      </c>
    </row>
    <row r="6" spans="1:13" x14ac:dyDescent="0.25">
      <c r="A6">
        <v>5346181657</v>
      </c>
      <c r="B6" t="s">
        <v>615</v>
      </c>
      <c r="C6" s="25">
        <f t="shared" si="0"/>
        <v>53461816.57</v>
      </c>
      <c r="D6" s="27"/>
      <c r="E6" s="26"/>
      <c r="F6" s="26"/>
      <c r="J6">
        <v>6116151512</v>
      </c>
      <c r="K6" t="s">
        <v>614</v>
      </c>
      <c r="L6" s="25">
        <f t="shared" si="2"/>
        <v>61161515.119999997</v>
      </c>
    </row>
    <row r="7" spans="1:13" x14ac:dyDescent="0.25">
      <c r="A7">
        <v>3842972838</v>
      </c>
      <c r="B7" t="s">
        <v>616</v>
      </c>
      <c r="C7" s="25">
        <f t="shared" si="0"/>
        <v>38429728.380000003</v>
      </c>
      <c r="D7" s="27"/>
      <c r="E7" s="26"/>
      <c r="F7" s="26"/>
      <c r="J7">
        <v>5346181657</v>
      </c>
      <c r="K7" t="s">
        <v>615</v>
      </c>
      <c r="L7" s="25">
        <f t="shared" si="2"/>
        <v>53461816.57</v>
      </c>
    </row>
    <row r="8" spans="1:13" x14ac:dyDescent="0.25">
      <c r="A8">
        <v>3584939499</v>
      </c>
      <c r="B8" t="s">
        <v>617</v>
      </c>
      <c r="C8" s="25">
        <f t="shared" si="0"/>
        <v>35849394.990000002</v>
      </c>
      <c r="D8" s="27"/>
      <c r="E8" s="26"/>
      <c r="F8" s="26"/>
    </row>
    <row r="9" spans="1:13" x14ac:dyDescent="0.25">
      <c r="A9">
        <v>3409097195</v>
      </c>
      <c r="B9" t="s">
        <v>618</v>
      </c>
      <c r="C9" s="25">
        <f t="shared" si="0"/>
        <v>34090971.950000003</v>
      </c>
      <c r="D9" s="27" t="s">
        <v>636</v>
      </c>
      <c r="E9" s="26"/>
      <c r="F9" s="26"/>
      <c r="J9">
        <v>3842972838</v>
      </c>
      <c r="K9" t="s">
        <v>616</v>
      </c>
      <c r="L9" s="25">
        <f t="shared" ref="L9:L26" si="3">J9/100</f>
        <v>38429728.380000003</v>
      </c>
    </row>
    <row r="10" spans="1:13" x14ac:dyDescent="0.25">
      <c r="A10">
        <v>3194968548</v>
      </c>
      <c r="B10" t="s">
        <v>619</v>
      </c>
      <c r="C10" s="25">
        <f t="shared" si="0"/>
        <v>31949685.48</v>
      </c>
      <c r="D10" s="27"/>
      <c r="E10" s="26"/>
      <c r="F10" s="26"/>
      <c r="J10">
        <v>3584939499</v>
      </c>
      <c r="K10" t="s">
        <v>617</v>
      </c>
      <c r="L10" s="25">
        <f t="shared" si="3"/>
        <v>35849394.990000002</v>
      </c>
    </row>
    <row r="11" spans="1:13" x14ac:dyDescent="0.25">
      <c r="A11">
        <v>2753517564</v>
      </c>
      <c r="B11" t="s">
        <v>620</v>
      </c>
      <c r="C11" s="25">
        <f t="shared" si="0"/>
        <v>27535175.640000001</v>
      </c>
      <c r="D11" s="27"/>
      <c r="E11" s="26"/>
      <c r="F11" s="26"/>
      <c r="J11">
        <v>3409097195</v>
      </c>
      <c r="K11" t="s">
        <v>618</v>
      </c>
      <c r="L11" s="25">
        <f t="shared" si="3"/>
        <v>34090971.950000003</v>
      </c>
    </row>
    <row r="12" spans="1:13" x14ac:dyDescent="0.25">
      <c r="A12">
        <v>2461596373</v>
      </c>
      <c r="B12" t="s">
        <v>621</v>
      </c>
      <c r="C12" s="25">
        <f t="shared" si="0"/>
        <v>24615963.73</v>
      </c>
      <c r="D12" s="27"/>
      <c r="E12" s="26"/>
      <c r="F12" s="26"/>
      <c r="J12">
        <v>3194968548</v>
      </c>
      <c r="K12" t="s">
        <v>619</v>
      </c>
      <c r="L12" s="25">
        <f t="shared" si="3"/>
        <v>31949685.48</v>
      </c>
    </row>
    <row r="13" spans="1:13" x14ac:dyDescent="0.25">
      <c r="A13">
        <v>1879633372</v>
      </c>
      <c r="B13" t="s">
        <v>622</v>
      </c>
      <c r="C13" s="25">
        <f t="shared" si="0"/>
        <v>18796333.719999999</v>
      </c>
      <c r="D13" s="27"/>
      <c r="E13" s="26"/>
      <c r="F13" s="26"/>
      <c r="J13">
        <v>2753517564</v>
      </c>
      <c r="K13" t="s">
        <v>620</v>
      </c>
      <c r="L13" s="25">
        <f t="shared" si="3"/>
        <v>27535175.640000001</v>
      </c>
    </row>
    <row r="14" spans="1:13" x14ac:dyDescent="0.25">
      <c r="A14">
        <v>1426600935</v>
      </c>
      <c r="B14" t="s">
        <v>623</v>
      </c>
      <c r="C14" s="25">
        <f t="shared" si="0"/>
        <v>14266009.35</v>
      </c>
      <c r="D14" s="27"/>
      <c r="E14" s="26"/>
      <c r="F14" s="26"/>
      <c r="J14">
        <v>2461596373</v>
      </c>
      <c r="K14" t="s">
        <v>621</v>
      </c>
      <c r="L14" s="25">
        <f t="shared" si="3"/>
        <v>24615963.73</v>
      </c>
    </row>
    <row r="15" spans="1:13" x14ac:dyDescent="0.25">
      <c r="A15">
        <v>679083329</v>
      </c>
      <c r="B15" t="s">
        <v>624</v>
      </c>
      <c r="C15" s="25">
        <f t="shared" si="0"/>
        <v>6790833.29</v>
      </c>
      <c r="D15" s="27"/>
      <c r="E15" s="26"/>
      <c r="F15" s="26"/>
      <c r="G15" s="25">
        <f>PERCENTILE(C1:C24,0.95)</f>
        <v>213285048.66149992</v>
      </c>
      <c r="H15" t="s">
        <v>639</v>
      </c>
      <c r="J15">
        <v>1879633372</v>
      </c>
      <c r="K15" t="s">
        <v>622</v>
      </c>
      <c r="L15" s="25">
        <f t="shared" si="3"/>
        <v>18796333.719999999</v>
      </c>
    </row>
    <row r="16" spans="1:13" x14ac:dyDescent="0.25">
      <c r="A16">
        <v>431952619</v>
      </c>
      <c r="B16" t="s">
        <v>625</v>
      </c>
      <c r="C16" s="25">
        <f t="shared" si="0"/>
        <v>4319526.1900000004</v>
      </c>
      <c r="D16" s="27"/>
      <c r="E16" s="26"/>
      <c r="F16" s="26"/>
      <c r="G16" s="25">
        <f>PERCENTILE(C1:C24,0.75)</f>
        <v>42187750.427500002</v>
      </c>
      <c r="H16" t="s">
        <v>640</v>
      </c>
      <c r="J16">
        <v>1426600935</v>
      </c>
      <c r="K16" t="s">
        <v>623</v>
      </c>
      <c r="L16" s="25">
        <f t="shared" si="3"/>
        <v>14266009.35</v>
      </c>
      <c r="M16" t="s">
        <v>641</v>
      </c>
    </row>
    <row r="17" spans="1:12" x14ac:dyDescent="0.25">
      <c r="A17">
        <v>420627334</v>
      </c>
      <c r="B17" t="s">
        <v>626</v>
      </c>
      <c r="C17" s="25">
        <f t="shared" si="0"/>
        <v>4206273.34</v>
      </c>
      <c r="D17" s="27" t="s">
        <v>637</v>
      </c>
      <c r="E17" s="26"/>
      <c r="F17" s="26"/>
      <c r="G17" s="25">
        <f>PERCENTILE(C1:C24,0.25)</f>
        <v>3384201.8125</v>
      </c>
      <c r="H17" t="s">
        <v>641</v>
      </c>
      <c r="J17">
        <v>679083329</v>
      </c>
      <c r="K17" t="s">
        <v>624</v>
      </c>
      <c r="L17" s="25">
        <f t="shared" si="3"/>
        <v>6790833.29</v>
      </c>
    </row>
    <row r="18" spans="1:12" x14ac:dyDescent="0.25">
      <c r="A18">
        <v>368445376</v>
      </c>
      <c r="B18" t="s">
        <v>627</v>
      </c>
      <c r="C18" s="25">
        <f t="shared" si="0"/>
        <v>3684453.76</v>
      </c>
      <c r="D18" s="27"/>
      <c r="E18" s="26"/>
      <c r="F18" s="26"/>
      <c r="J18">
        <v>431952619</v>
      </c>
      <c r="K18" t="s">
        <v>625</v>
      </c>
      <c r="L18" s="25">
        <f t="shared" si="3"/>
        <v>4319526.1900000004</v>
      </c>
    </row>
    <row r="19" spans="1:12" x14ac:dyDescent="0.25">
      <c r="A19">
        <v>248344597</v>
      </c>
      <c r="B19" t="s">
        <v>628</v>
      </c>
      <c r="C19" s="25">
        <f t="shared" si="0"/>
        <v>2483445.9700000002</v>
      </c>
      <c r="D19" s="27"/>
      <c r="E19" s="26"/>
      <c r="F19" s="26"/>
      <c r="J19">
        <v>420627334</v>
      </c>
      <c r="K19" t="s">
        <v>626</v>
      </c>
      <c r="L19" s="25">
        <f t="shared" si="3"/>
        <v>4206273.34</v>
      </c>
    </row>
    <row r="20" spans="1:12" x14ac:dyDescent="0.25">
      <c r="A20">
        <v>149527688</v>
      </c>
      <c r="B20" t="s">
        <v>629</v>
      </c>
      <c r="C20" s="25">
        <f t="shared" si="0"/>
        <v>1495276.88</v>
      </c>
      <c r="D20" s="27"/>
      <c r="E20" s="26"/>
      <c r="F20" s="26"/>
      <c r="J20">
        <v>368445376</v>
      </c>
      <c r="K20" t="s">
        <v>627</v>
      </c>
      <c r="L20" s="25">
        <f t="shared" si="3"/>
        <v>3684453.76</v>
      </c>
    </row>
    <row r="21" spans="1:12" x14ac:dyDescent="0.25">
      <c r="A21">
        <v>138162472</v>
      </c>
      <c r="B21" t="s">
        <v>630</v>
      </c>
      <c r="C21" s="25">
        <f t="shared" si="0"/>
        <v>1381624.72</v>
      </c>
      <c r="D21" s="27"/>
      <c r="E21" s="26"/>
      <c r="F21" s="26"/>
      <c r="J21">
        <v>248344597</v>
      </c>
      <c r="K21" t="s">
        <v>628</v>
      </c>
      <c r="L21" s="25">
        <f t="shared" si="3"/>
        <v>2483445.9700000002</v>
      </c>
    </row>
    <row r="22" spans="1:12" x14ac:dyDescent="0.25">
      <c r="A22">
        <v>82770535</v>
      </c>
      <c r="B22" t="s">
        <v>631</v>
      </c>
      <c r="C22" s="25">
        <f t="shared" si="0"/>
        <v>827705.35</v>
      </c>
      <c r="D22" s="27"/>
      <c r="E22" s="26"/>
      <c r="F22" s="26"/>
      <c r="J22">
        <v>149527688</v>
      </c>
      <c r="K22" t="s">
        <v>629</v>
      </c>
      <c r="L22" s="25">
        <f t="shared" si="3"/>
        <v>1495276.88</v>
      </c>
    </row>
    <row r="23" spans="1:12" x14ac:dyDescent="0.25">
      <c r="A23">
        <v>59107363</v>
      </c>
      <c r="B23" t="s">
        <v>632</v>
      </c>
      <c r="C23" s="25">
        <f t="shared" si="0"/>
        <v>591073.63</v>
      </c>
      <c r="D23" s="27"/>
      <c r="E23" s="26"/>
      <c r="F23" s="26"/>
      <c r="J23">
        <v>138162472</v>
      </c>
      <c r="K23" t="s">
        <v>630</v>
      </c>
      <c r="L23" s="25">
        <f t="shared" si="3"/>
        <v>1381624.72</v>
      </c>
    </row>
    <row r="24" spans="1:12" x14ac:dyDescent="0.25">
      <c r="A24">
        <v>57664061</v>
      </c>
      <c r="B24" t="s">
        <v>633</v>
      </c>
      <c r="C24" s="25">
        <f t="shared" si="0"/>
        <v>576640.61</v>
      </c>
      <c r="D24" s="27"/>
      <c r="E24" s="26"/>
      <c r="F24" s="26"/>
      <c r="J24">
        <v>82770535</v>
      </c>
      <c r="K24" t="s">
        <v>631</v>
      </c>
      <c r="L24" s="25">
        <f t="shared" si="3"/>
        <v>827705.35</v>
      </c>
    </row>
    <row r="25" spans="1:12" x14ac:dyDescent="0.25">
      <c r="J25">
        <v>59107363</v>
      </c>
      <c r="K25" t="s">
        <v>632</v>
      </c>
      <c r="L25" s="25">
        <f t="shared" si="3"/>
        <v>591073.63</v>
      </c>
    </row>
    <row r="26" spans="1:12" x14ac:dyDescent="0.25">
      <c r="J26">
        <v>57664061</v>
      </c>
      <c r="K26" t="s">
        <v>633</v>
      </c>
      <c r="L26" s="25">
        <f t="shared" si="3"/>
        <v>576640.61</v>
      </c>
    </row>
  </sheetData>
  <mergeCells count="3">
    <mergeCell ref="D1:D8"/>
    <mergeCell ref="D9:D16"/>
    <mergeCell ref="D17:D24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8A78-02B1-4EAB-B293-FB13D4997024}">
  <dimension ref="A1:I481"/>
  <sheetViews>
    <sheetView workbookViewId="0">
      <selection activeCell="F1" sqref="F1:F1048576"/>
    </sheetView>
  </sheetViews>
  <sheetFormatPr defaultRowHeight="15" x14ac:dyDescent="0.25"/>
  <cols>
    <col min="3" max="3" width="12.7109375" bestFit="1" customWidth="1"/>
    <col min="4" max="4" width="13.85546875" bestFit="1" customWidth="1"/>
    <col min="9" max="9" width="10.85546875" bestFit="1" customWidth="1"/>
  </cols>
  <sheetData>
    <row r="1" spans="1:9" x14ac:dyDescent="0.25">
      <c r="A1" s="4" t="s">
        <v>0</v>
      </c>
      <c r="B1" s="4" t="s">
        <v>1</v>
      </c>
      <c r="C1" s="4" t="s">
        <v>100</v>
      </c>
      <c r="D1" s="4" t="s">
        <v>176</v>
      </c>
      <c r="E1" s="3" t="s">
        <v>51</v>
      </c>
      <c r="F1" s="3" t="s">
        <v>57</v>
      </c>
      <c r="G1" s="3" t="s">
        <v>55</v>
      </c>
      <c r="H1" s="3" t="s">
        <v>54</v>
      </c>
      <c r="I1" s="3" t="s">
        <v>177</v>
      </c>
    </row>
    <row r="2" spans="1:9" x14ac:dyDescent="0.25">
      <c r="A2" t="s">
        <v>59</v>
      </c>
      <c r="B2" s="1" t="s">
        <v>4</v>
      </c>
      <c r="C2" s="2">
        <v>1064732202</v>
      </c>
      <c r="D2" s="9">
        <v>906600539</v>
      </c>
      <c r="E2" s="17">
        <v>20.74</v>
      </c>
      <c r="F2" s="17">
        <v>7.49</v>
      </c>
      <c r="G2" s="18">
        <v>2.39</v>
      </c>
      <c r="H2" s="18">
        <v>3.35</v>
      </c>
      <c r="I2" s="7">
        <v>31495704</v>
      </c>
    </row>
    <row r="3" spans="1:9" x14ac:dyDescent="0.25">
      <c r="A3" t="s">
        <v>59</v>
      </c>
      <c r="B3" s="1" t="s">
        <v>5</v>
      </c>
      <c r="C3" s="2">
        <v>1097368442</v>
      </c>
      <c r="D3" s="9">
        <v>934348522</v>
      </c>
      <c r="E3" s="17">
        <v>20.13</v>
      </c>
      <c r="F3" s="17">
        <v>7.64</v>
      </c>
      <c r="G3" s="18">
        <v>2.33</v>
      </c>
      <c r="H3" s="16">
        <v>3.37</v>
      </c>
      <c r="I3" s="7">
        <v>33899778</v>
      </c>
    </row>
    <row r="4" spans="1:9" x14ac:dyDescent="0.25">
      <c r="A4" t="s">
        <v>59</v>
      </c>
      <c r="B4" s="1" t="s">
        <v>6</v>
      </c>
      <c r="C4" s="2">
        <v>1125400727</v>
      </c>
      <c r="D4" s="9">
        <v>953990489</v>
      </c>
      <c r="E4" s="17">
        <v>21.02</v>
      </c>
      <c r="F4" s="17">
        <v>7.61</v>
      </c>
      <c r="G4" s="16">
        <v>2.46</v>
      </c>
      <c r="H4" s="18">
        <v>3.6</v>
      </c>
      <c r="I4" s="7">
        <v>34549730</v>
      </c>
    </row>
    <row r="5" spans="1:9" x14ac:dyDescent="0.25">
      <c r="A5" t="s">
        <v>59</v>
      </c>
      <c r="B5" s="1" t="s">
        <v>7</v>
      </c>
      <c r="C5" s="2">
        <v>1234200039</v>
      </c>
      <c r="D5" s="9">
        <v>1053181459</v>
      </c>
      <c r="E5" s="17">
        <v>21.21</v>
      </c>
      <c r="F5" s="17">
        <v>7.45</v>
      </c>
      <c r="G5" s="16">
        <v>2.14</v>
      </c>
      <c r="H5" s="18">
        <v>3.68</v>
      </c>
      <c r="I5" s="7">
        <v>34569880</v>
      </c>
    </row>
    <row r="6" spans="1:9" x14ac:dyDescent="0.25">
      <c r="A6" t="s">
        <v>59</v>
      </c>
      <c r="B6" s="1" t="s">
        <v>8</v>
      </c>
      <c r="C6" s="2">
        <v>1216323558</v>
      </c>
      <c r="D6" s="9">
        <v>1025913433</v>
      </c>
      <c r="E6" s="17">
        <v>20.12</v>
      </c>
      <c r="F6" s="17">
        <v>7.64</v>
      </c>
      <c r="G6" s="18">
        <v>2.31</v>
      </c>
      <c r="H6" s="18">
        <v>3.35</v>
      </c>
      <c r="I6" s="7">
        <v>36601273</v>
      </c>
    </row>
    <row r="7" spans="1:9" x14ac:dyDescent="0.25">
      <c r="A7" t="s">
        <v>59</v>
      </c>
      <c r="B7" s="1" t="s">
        <v>9</v>
      </c>
      <c r="C7" s="2">
        <v>1224398243</v>
      </c>
      <c r="D7" s="9">
        <v>1038117520</v>
      </c>
      <c r="E7" s="17">
        <v>20.77</v>
      </c>
      <c r="F7" s="17">
        <v>7.02</v>
      </c>
      <c r="G7" s="18">
        <v>2.33</v>
      </c>
      <c r="H7" s="16">
        <v>3.31</v>
      </c>
      <c r="I7" s="7">
        <v>38285277</v>
      </c>
    </row>
    <row r="8" spans="1:9" x14ac:dyDescent="0.25">
      <c r="A8" t="s">
        <v>59</v>
      </c>
      <c r="B8" s="1" t="s">
        <v>10</v>
      </c>
      <c r="C8" s="2">
        <v>1238657773</v>
      </c>
      <c r="D8" s="7">
        <v>1043788342</v>
      </c>
      <c r="E8" s="17">
        <v>21.63</v>
      </c>
      <c r="F8" s="17">
        <v>7.02</v>
      </c>
      <c r="G8" s="18">
        <v>2.94</v>
      </c>
      <c r="H8" s="18">
        <v>3.42</v>
      </c>
      <c r="I8" s="7">
        <v>40280942</v>
      </c>
    </row>
    <row r="9" spans="1:9" x14ac:dyDescent="0.25">
      <c r="A9" t="s">
        <v>59</v>
      </c>
      <c r="B9" s="1" t="s">
        <v>11</v>
      </c>
      <c r="C9" s="2">
        <v>1343077860</v>
      </c>
      <c r="D9" s="7">
        <v>1139412398</v>
      </c>
      <c r="E9" s="17">
        <v>22.55</v>
      </c>
      <c r="F9" s="17">
        <v>6.98</v>
      </c>
      <c r="G9" s="18">
        <v>2.62</v>
      </c>
      <c r="H9" s="18">
        <v>3.5</v>
      </c>
      <c r="I9" s="7">
        <v>37537934</v>
      </c>
    </row>
    <row r="10" spans="1:9" x14ac:dyDescent="0.25">
      <c r="A10" t="s">
        <v>59</v>
      </c>
      <c r="B10" s="1" t="s">
        <v>12</v>
      </c>
      <c r="C10" s="2">
        <v>1287093817</v>
      </c>
      <c r="D10" s="9">
        <v>1111656904</v>
      </c>
      <c r="E10" s="17">
        <v>18.23</v>
      </c>
      <c r="F10" s="17">
        <v>20.39</v>
      </c>
      <c r="G10" s="18">
        <v>2.81</v>
      </c>
      <c r="H10" s="18">
        <v>3.19</v>
      </c>
      <c r="I10" s="7">
        <v>55632256</v>
      </c>
    </row>
    <row r="11" spans="1:9" x14ac:dyDescent="0.25">
      <c r="A11" t="s">
        <v>59</v>
      </c>
      <c r="B11" s="1" t="s">
        <v>13</v>
      </c>
      <c r="C11" s="2">
        <v>1309320867</v>
      </c>
      <c r="D11" s="9">
        <v>1126225566</v>
      </c>
      <c r="E11" s="17">
        <v>19.829999999999998</v>
      </c>
      <c r="F11" s="17">
        <v>5.72</v>
      </c>
      <c r="G11" s="16">
        <v>2.98</v>
      </c>
      <c r="H11" s="18">
        <v>2.41</v>
      </c>
      <c r="I11" s="7">
        <v>51848042</v>
      </c>
    </row>
    <row r="12" spans="1:9" x14ac:dyDescent="0.25">
      <c r="A12" t="s">
        <v>59</v>
      </c>
      <c r="B12" s="1" t="s">
        <v>14</v>
      </c>
      <c r="C12" s="2">
        <v>1359555560</v>
      </c>
      <c r="D12" s="7">
        <v>1169936398</v>
      </c>
      <c r="E12" s="17">
        <v>20.38</v>
      </c>
      <c r="F12" s="17">
        <v>5.76</v>
      </c>
      <c r="G12" s="18">
        <v>3.02</v>
      </c>
      <c r="H12" s="18">
        <v>2.0699999999999998</v>
      </c>
      <c r="I12" s="7">
        <v>57051766</v>
      </c>
    </row>
    <row r="13" spans="1:9" x14ac:dyDescent="0.25">
      <c r="A13" t="s">
        <v>59</v>
      </c>
      <c r="B13" s="1" t="s">
        <v>15</v>
      </c>
      <c r="C13" s="2">
        <v>1421785007</v>
      </c>
      <c r="D13" s="7">
        <v>1227425905</v>
      </c>
      <c r="E13" s="17">
        <v>20.61</v>
      </c>
      <c r="F13" s="17">
        <v>6</v>
      </c>
      <c r="G13" s="18">
        <v>2.94</v>
      </c>
      <c r="H13" s="18">
        <v>1.98</v>
      </c>
      <c r="I13" s="7">
        <v>64129266</v>
      </c>
    </row>
    <row r="14" spans="1:9" x14ac:dyDescent="0.25">
      <c r="A14" t="s">
        <v>59</v>
      </c>
      <c r="B14" s="1" t="s">
        <v>16</v>
      </c>
      <c r="C14" s="2">
        <v>1374381233</v>
      </c>
      <c r="D14" s="7">
        <v>1186503544</v>
      </c>
      <c r="E14" s="17">
        <v>19.399999999999999</v>
      </c>
      <c r="F14" s="17">
        <v>7</v>
      </c>
      <c r="G14" s="16">
        <v>3.12</v>
      </c>
      <c r="H14" s="16">
        <v>2.65</v>
      </c>
      <c r="I14" s="7">
        <v>71305988</v>
      </c>
    </row>
    <row r="15" spans="1:9" x14ac:dyDescent="0.25">
      <c r="A15" t="s">
        <v>59</v>
      </c>
      <c r="B15" s="1" t="s">
        <v>17</v>
      </c>
      <c r="C15" s="2">
        <v>1411625034</v>
      </c>
      <c r="D15" s="9">
        <v>1218267139</v>
      </c>
      <c r="E15" s="17">
        <v>19.64</v>
      </c>
      <c r="F15" s="17">
        <v>7.02</v>
      </c>
      <c r="G15" s="18">
        <v>3.27</v>
      </c>
      <c r="H15" s="18">
        <v>2.38</v>
      </c>
      <c r="I15" s="7">
        <v>77048953</v>
      </c>
    </row>
    <row r="16" spans="1:9" x14ac:dyDescent="0.25">
      <c r="A16" t="s">
        <v>59</v>
      </c>
      <c r="B16" s="1" t="s">
        <v>18</v>
      </c>
      <c r="C16" s="2">
        <v>1538515953</v>
      </c>
      <c r="D16" s="9">
        <v>1240808209</v>
      </c>
      <c r="E16" s="17">
        <v>24.37</v>
      </c>
      <c r="F16" s="17">
        <v>6.86</v>
      </c>
      <c r="G16" s="16">
        <v>3.29</v>
      </c>
      <c r="H16" s="18">
        <v>2.52</v>
      </c>
      <c r="I16" s="7">
        <v>79557890</v>
      </c>
    </row>
    <row r="17" spans="1:9" x14ac:dyDescent="0.25">
      <c r="A17" t="s">
        <v>59</v>
      </c>
      <c r="B17" s="1" t="s">
        <v>19</v>
      </c>
      <c r="C17" s="2">
        <v>1572761035</v>
      </c>
      <c r="D17" s="9">
        <v>1286343406</v>
      </c>
      <c r="E17" s="17">
        <v>25.28</v>
      </c>
      <c r="F17" s="17">
        <v>6.89</v>
      </c>
      <c r="G17" s="18">
        <v>3.08</v>
      </c>
      <c r="H17" s="18">
        <v>2.72</v>
      </c>
      <c r="I17" s="7">
        <v>80911213</v>
      </c>
    </row>
    <row r="18" spans="1:9" x14ac:dyDescent="0.25">
      <c r="A18" t="s">
        <v>59</v>
      </c>
      <c r="B18" s="1" t="s">
        <v>20</v>
      </c>
      <c r="C18" s="7">
        <v>1540856138</v>
      </c>
      <c r="D18" s="7">
        <v>1272311694</v>
      </c>
      <c r="E18" s="17">
        <v>22.39</v>
      </c>
      <c r="F18" s="16">
        <v>6.85</v>
      </c>
      <c r="G18" s="16">
        <v>3.15</v>
      </c>
      <c r="H18" s="16">
        <v>3.56</v>
      </c>
      <c r="I18" s="7">
        <v>84729866</v>
      </c>
    </row>
    <row r="19" spans="1:9" x14ac:dyDescent="0.25">
      <c r="A19" t="s">
        <v>59</v>
      </c>
      <c r="B19" s="1" t="s">
        <v>21</v>
      </c>
      <c r="C19" s="7">
        <v>1542793400</v>
      </c>
      <c r="D19" s="7">
        <v>1263832559</v>
      </c>
      <c r="E19" s="16">
        <v>22.97</v>
      </c>
      <c r="F19" s="16">
        <v>7.35</v>
      </c>
      <c r="G19" s="16">
        <v>3.32</v>
      </c>
      <c r="H19" s="16">
        <v>3.82</v>
      </c>
      <c r="I19" s="7">
        <v>88419050</v>
      </c>
    </row>
    <row r="20" spans="1:9" x14ac:dyDescent="0.25">
      <c r="A20" t="s">
        <v>59</v>
      </c>
      <c r="B20" s="1" t="s">
        <v>22</v>
      </c>
      <c r="C20" s="7">
        <v>1575760325</v>
      </c>
      <c r="D20" s="7">
        <v>1283757190</v>
      </c>
      <c r="E20" s="17">
        <v>24</v>
      </c>
      <c r="F20" s="16">
        <v>7.23</v>
      </c>
      <c r="G20" s="16">
        <v>3.14</v>
      </c>
      <c r="H20" s="16">
        <v>3.97</v>
      </c>
      <c r="I20" s="7">
        <v>87180615</v>
      </c>
    </row>
    <row r="21" spans="1:9" x14ac:dyDescent="0.25">
      <c r="A21" t="s">
        <v>59</v>
      </c>
      <c r="B21" s="1" t="s">
        <v>23</v>
      </c>
      <c r="C21" s="8">
        <v>1750994673</v>
      </c>
      <c r="D21" s="8">
        <v>1457372719</v>
      </c>
      <c r="E21" s="19">
        <v>23.3</v>
      </c>
      <c r="F21" s="19">
        <v>6.8</v>
      </c>
      <c r="G21" s="18">
        <v>2.82</v>
      </c>
      <c r="H21" s="18">
        <v>3.76</v>
      </c>
      <c r="I21" s="8">
        <v>84578819</v>
      </c>
    </row>
    <row r="22" spans="1:9" x14ac:dyDescent="0.25">
      <c r="A22" t="s">
        <v>63</v>
      </c>
      <c r="B22" s="1" t="s">
        <v>4</v>
      </c>
      <c r="C22" s="2">
        <v>945619317</v>
      </c>
      <c r="D22" s="9">
        <v>790362700</v>
      </c>
      <c r="E22" s="17">
        <v>20.94</v>
      </c>
      <c r="F22" s="17">
        <v>5.61</v>
      </c>
      <c r="G22" s="16">
        <v>3.35</v>
      </c>
      <c r="H22" s="18">
        <v>3.17</v>
      </c>
      <c r="I22" s="7">
        <v>29538097</v>
      </c>
    </row>
    <row r="23" spans="1:9" x14ac:dyDescent="0.25">
      <c r="A23" t="s">
        <v>63</v>
      </c>
      <c r="B23" s="1" t="s">
        <v>5</v>
      </c>
      <c r="C23" s="2">
        <v>1003464780</v>
      </c>
      <c r="D23" s="7">
        <v>843875438</v>
      </c>
      <c r="E23" s="17">
        <v>20.64</v>
      </c>
      <c r="F23" s="17">
        <v>5.51</v>
      </c>
      <c r="G23" s="18">
        <v>3.13</v>
      </c>
      <c r="H23" s="18">
        <v>3.04</v>
      </c>
      <c r="I23" s="7">
        <v>30132332</v>
      </c>
    </row>
    <row r="24" spans="1:9" x14ac:dyDescent="0.25">
      <c r="A24" t="s">
        <v>63</v>
      </c>
      <c r="B24" s="1" t="s">
        <v>6</v>
      </c>
      <c r="C24" s="2">
        <v>1017323850</v>
      </c>
      <c r="D24" s="7">
        <v>852300248</v>
      </c>
      <c r="E24" s="17">
        <v>21.38</v>
      </c>
      <c r="F24" s="17">
        <v>5.52</v>
      </c>
      <c r="G24" s="18">
        <v>3.04</v>
      </c>
      <c r="H24" s="18">
        <v>2.96</v>
      </c>
      <c r="I24" s="7">
        <v>29842874</v>
      </c>
    </row>
    <row r="25" spans="1:9" x14ac:dyDescent="0.25">
      <c r="A25" t="s">
        <v>63</v>
      </c>
      <c r="B25" s="1" t="s">
        <v>7</v>
      </c>
      <c r="C25" s="2">
        <v>1037077806</v>
      </c>
      <c r="D25" s="7">
        <v>863966681</v>
      </c>
      <c r="E25" s="17">
        <v>20.96</v>
      </c>
      <c r="F25" s="17">
        <v>5.52</v>
      </c>
      <c r="G25" s="18">
        <v>2.79</v>
      </c>
      <c r="H25" s="18">
        <v>3.17</v>
      </c>
      <c r="I25" s="7">
        <v>29420088</v>
      </c>
    </row>
    <row r="26" spans="1:9" x14ac:dyDescent="0.25">
      <c r="A26" t="s">
        <v>63</v>
      </c>
      <c r="B26" s="1" t="s">
        <v>8</v>
      </c>
      <c r="C26" s="2">
        <v>1035916523</v>
      </c>
      <c r="D26" s="9">
        <v>854237535</v>
      </c>
      <c r="E26" s="17">
        <v>22.47</v>
      </c>
      <c r="F26" s="17">
        <v>5.55</v>
      </c>
      <c r="G26" s="16">
        <v>2.73</v>
      </c>
      <c r="H26" s="16">
        <v>3.42</v>
      </c>
      <c r="I26" s="7">
        <v>28021288</v>
      </c>
    </row>
    <row r="27" spans="1:9" x14ac:dyDescent="0.25">
      <c r="A27" t="s">
        <v>63</v>
      </c>
      <c r="B27" s="1" t="s">
        <v>9</v>
      </c>
      <c r="C27" s="2">
        <v>1058351022</v>
      </c>
      <c r="D27" s="9">
        <v>881381226</v>
      </c>
      <c r="E27" s="17">
        <v>21.01</v>
      </c>
      <c r="F27" s="17">
        <v>5.49</v>
      </c>
      <c r="G27" s="16">
        <v>2.64</v>
      </c>
      <c r="H27" s="18">
        <v>3.08</v>
      </c>
      <c r="I27" s="7">
        <v>28986012</v>
      </c>
    </row>
    <row r="28" spans="1:9" x14ac:dyDescent="0.25">
      <c r="A28" t="s">
        <v>63</v>
      </c>
      <c r="B28" s="1" t="s">
        <v>10</v>
      </c>
      <c r="C28" s="2">
        <v>1097658366</v>
      </c>
      <c r="D28" s="7">
        <v>910385897</v>
      </c>
      <c r="E28" s="17">
        <v>22.5</v>
      </c>
      <c r="F28" s="17">
        <v>5.49</v>
      </c>
      <c r="G28" s="16">
        <v>2.61</v>
      </c>
      <c r="H28" s="18">
        <v>3.01</v>
      </c>
      <c r="I28" s="7">
        <v>29692767</v>
      </c>
    </row>
    <row r="29" spans="1:9" x14ac:dyDescent="0.25">
      <c r="A29" t="s">
        <v>63</v>
      </c>
      <c r="B29" s="1" t="s">
        <v>11</v>
      </c>
      <c r="C29" s="7">
        <v>1128683875</v>
      </c>
      <c r="D29" s="7">
        <v>934222530</v>
      </c>
      <c r="E29" s="16">
        <v>21.39</v>
      </c>
      <c r="F29" s="16">
        <v>21.39</v>
      </c>
      <c r="G29" s="18">
        <v>2.39</v>
      </c>
      <c r="H29" s="18">
        <v>3.03</v>
      </c>
      <c r="I29" s="7">
        <v>27812363</v>
      </c>
    </row>
    <row r="30" spans="1:9" x14ac:dyDescent="0.25">
      <c r="A30" t="s">
        <v>63</v>
      </c>
      <c r="B30" s="1" t="s">
        <v>12</v>
      </c>
      <c r="C30" s="9">
        <v>1130707835</v>
      </c>
      <c r="D30" s="7">
        <v>967556086</v>
      </c>
      <c r="E30" s="18">
        <v>17.649999999999999</v>
      </c>
      <c r="F30" s="18">
        <v>5.26</v>
      </c>
      <c r="G30" s="16">
        <v>2.4</v>
      </c>
      <c r="H30" s="18">
        <v>3.55</v>
      </c>
      <c r="I30" s="7">
        <v>51547903</v>
      </c>
    </row>
    <row r="31" spans="1:9" x14ac:dyDescent="0.25">
      <c r="A31" t="s">
        <v>63</v>
      </c>
      <c r="B31" s="1" t="s">
        <v>13</v>
      </c>
      <c r="C31" s="9">
        <v>1168344738</v>
      </c>
      <c r="D31" s="7">
        <v>999946202</v>
      </c>
      <c r="E31" s="18">
        <v>19.21</v>
      </c>
      <c r="F31" s="16">
        <v>4.76</v>
      </c>
      <c r="G31" s="18">
        <v>3.42</v>
      </c>
      <c r="H31" s="16">
        <v>2.23</v>
      </c>
      <c r="I31" s="7">
        <v>52195095</v>
      </c>
    </row>
    <row r="32" spans="1:9" x14ac:dyDescent="0.25">
      <c r="A32" t="s">
        <v>63</v>
      </c>
      <c r="B32" s="1" t="s">
        <v>14</v>
      </c>
      <c r="C32" s="9">
        <v>1205616993</v>
      </c>
      <c r="D32" s="7">
        <v>1032030493</v>
      </c>
      <c r="E32" s="18">
        <v>19.829999999999998</v>
      </c>
      <c r="F32" s="16">
        <v>4.5</v>
      </c>
      <c r="G32" s="18">
        <v>3.5</v>
      </c>
      <c r="H32" s="18">
        <v>1.95</v>
      </c>
      <c r="I32" s="7">
        <v>55521984</v>
      </c>
    </row>
    <row r="33" spans="1:9" x14ac:dyDescent="0.25">
      <c r="A33" t="s">
        <v>63</v>
      </c>
      <c r="B33" s="1" t="s">
        <v>15</v>
      </c>
      <c r="C33" s="9">
        <v>1209045441</v>
      </c>
      <c r="D33" s="7">
        <v>1033339231</v>
      </c>
      <c r="E33" s="18">
        <v>19.899999999999999</v>
      </c>
      <c r="F33" s="18">
        <v>4.4800000000000004</v>
      </c>
      <c r="G33" s="18">
        <v>3.29</v>
      </c>
      <c r="H33" s="18">
        <v>1.64</v>
      </c>
      <c r="I33" s="7">
        <v>58491446</v>
      </c>
    </row>
    <row r="34" spans="1:9" x14ac:dyDescent="0.25">
      <c r="A34" t="s">
        <v>63</v>
      </c>
      <c r="B34" s="1" t="s">
        <v>16</v>
      </c>
      <c r="C34" s="9">
        <v>1253404334</v>
      </c>
      <c r="D34" s="7">
        <v>1086217859</v>
      </c>
      <c r="E34" s="18">
        <v>18.510000000000002</v>
      </c>
      <c r="F34" s="18">
        <v>4.6500000000000004</v>
      </c>
      <c r="G34" s="18">
        <v>3.3</v>
      </c>
      <c r="H34" s="18">
        <v>2.2200000000000002</v>
      </c>
      <c r="I34" s="7">
        <v>60015157</v>
      </c>
    </row>
    <row r="35" spans="1:9" x14ac:dyDescent="0.25">
      <c r="A35" t="s">
        <v>63</v>
      </c>
      <c r="B35" s="1" t="s">
        <v>17</v>
      </c>
      <c r="C35" s="9">
        <v>1237027618</v>
      </c>
      <c r="D35" s="7">
        <v>1062615183</v>
      </c>
      <c r="E35" s="18">
        <v>18.940000000000001</v>
      </c>
      <c r="F35" s="18">
        <v>4.63</v>
      </c>
      <c r="G35" s="18">
        <v>3.19</v>
      </c>
      <c r="H35" s="18">
        <v>2.4300000000000002</v>
      </c>
      <c r="I35" s="7">
        <v>60225575</v>
      </c>
    </row>
    <row r="36" spans="1:9" x14ac:dyDescent="0.25">
      <c r="A36" t="s">
        <v>63</v>
      </c>
      <c r="B36" s="1" t="s">
        <v>18</v>
      </c>
      <c r="C36" s="9">
        <v>1283320346</v>
      </c>
      <c r="D36" s="9">
        <v>1102636785</v>
      </c>
      <c r="E36" s="18">
        <v>19.399999999999999</v>
      </c>
      <c r="F36" s="16">
        <v>4.67</v>
      </c>
      <c r="G36" s="16">
        <v>3.06</v>
      </c>
      <c r="H36" s="18">
        <v>2.42</v>
      </c>
      <c r="I36" s="7">
        <v>60830979</v>
      </c>
    </row>
    <row r="37" spans="1:9" x14ac:dyDescent="0.25">
      <c r="A37" t="s">
        <v>63</v>
      </c>
      <c r="B37" s="1" t="s">
        <v>19</v>
      </c>
      <c r="C37" s="9">
        <v>1355555571</v>
      </c>
      <c r="D37" s="9">
        <v>1165811025</v>
      </c>
      <c r="E37" s="16">
        <v>19.600000000000001</v>
      </c>
      <c r="F37" s="16">
        <v>4.7300000000000004</v>
      </c>
      <c r="G37" s="16">
        <v>2.81</v>
      </c>
      <c r="H37" s="18">
        <v>2.5299999999999998</v>
      </c>
      <c r="I37" s="7">
        <v>60488261</v>
      </c>
    </row>
    <row r="38" spans="1:9" x14ac:dyDescent="0.25">
      <c r="A38" t="s">
        <v>63</v>
      </c>
      <c r="B38" s="1" t="s">
        <v>20</v>
      </c>
      <c r="C38" s="7">
        <v>1352850895</v>
      </c>
      <c r="D38" s="7">
        <v>1173582376</v>
      </c>
      <c r="E38" s="18">
        <v>18.2</v>
      </c>
      <c r="F38" s="18">
        <v>5.01</v>
      </c>
      <c r="G38" s="16">
        <v>2.74</v>
      </c>
      <c r="H38" s="16">
        <v>3.34</v>
      </c>
      <c r="I38" s="7">
        <v>61057181</v>
      </c>
    </row>
    <row r="39" spans="1:9" x14ac:dyDescent="0.25">
      <c r="A39" t="s">
        <v>63</v>
      </c>
      <c r="B39" s="1" t="s">
        <v>21</v>
      </c>
      <c r="C39" s="7">
        <v>1393396403</v>
      </c>
      <c r="D39" s="7">
        <v>1207291931</v>
      </c>
      <c r="E39" s="16">
        <v>18.41</v>
      </c>
      <c r="F39" s="18">
        <v>5.0599999999999996</v>
      </c>
      <c r="G39" s="16">
        <v>2.4700000000000002</v>
      </c>
      <c r="H39" s="18">
        <v>3.38</v>
      </c>
      <c r="I39" s="7">
        <v>59804555</v>
      </c>
    </row>
    <row r="40" spans="1:9" x14ac:dyDescent="0.25">
      <c r="A40" t="s">
        <v>63</v>
      </c>
      <c r="B40" s="1" t="s">
        <v>22</v>
      </c>
      <c r="C40" s="7">
        <v>1443000499</v>
      </c>
      <c r="D40" s="7">
        <v>1247861101</v>
      </c>
      <c r="E40" s="16">
        <v>19.32</v>
      </c>
      <c r="F40" s="18">
        <v>5.12</v>
      </c>
      <c r="G40" s="16">
        <v>2.2599999999999998</v>
      </c>
      <c r="H40" s="18">
        <v>3.4</v>
      </c>
      <c r="I40" s="7">
        <v>59528046</v>
      </c>
    </row>
    <row r="41" spans="1:9" x14ac:dyDescent="0.25">
      <c r="A41" t="s">
        <v>63</v>
      </c>
      <c r="B41" s="1" t="s">
        <v>23</v>
      </c>
      <c r="C41" s="7">
        <v>1570332063</v>
      </c>
      <c r="D41" s="7">
        <v>1359089474</v>
      </c>
      <c r="E41" s="16">
        <v>19.46</v>
      </c>
      <c r="F41" s="16">
        <v>5.16</v>
      </c>
      <c r="G41" s="16">
        <v>1.88</v>
      </c>
      <c r="H41" s="18">
        <v>3.3</v>
      </c>
      <c r="I41" s="7">
        <v>54267417</v>
      </c>
    </row>
    <row r="42" spans="1:9" x14ac:dyDescent="0.25">
      <c r="A42" t="s">
        <v>64</v>
      </c>
      <c r="B42" s="1" t="s">
        <v>4</v>
      </c>
      <c r="C42" s="9">
        <v>648574305</v>
      </c>
      <c r="D42" s="9">
        <v>556325505</v>
      </c>
      <c r="E42" s="18">
        <v>17.920000000000002</v>
      </c>
      <c r="F42" s="18">
        <v>5.41</v>
      </c>
      <c r="G42" s="18">
        <v>2.2599999999999998</v>
      </c>
      <c r="H42" s="18">
        <v>2.73</v>
      </c>
      <c r="I42" s="7">
        <v>13895121</v>
      </c>
    </row>
    <row r="43" spans="1:9" x14ac:dyDescent="0.25">
      <c r="A43" t="s">
        <v>64</v>
      </c>
      <c r="B43" s="1" t="s">
        <v>5</v>
      </c>
      <c r="C43" s="9">
        <v>684155458</v>
      </c>
      <c r="D43" s="9">
        <v>590349894</v>
      </c>
      <c r="E43" s="18">
        <v>17.46</v>
      </c>
      <c r="F43" s="18">
        <v>5.45</v>
      </c>
      <c r="G43" s="18">
        <v>2.1</v>
      </c>
      <c r="H43" s="18">
        <v>2.73</v>
      </c>
      <c r="I43" s="7">
        <v>13647366</v>
      </c>
    </row>
    <row r="44" spans="1:9" x14ac:dyDescent="0.25">
      <c r="A44" t="s">
        <v>64</v>
      </c>
      <c r="B44" s="1" t="s">
        <v>6</v>
      </c>
      <c r="C44" s="9">
        <v>712213488</v>
      </c>
      <c r="D44" s="9">
        <v>614622997</v>
      </c>
      <c r="E44" s="18">
        <v>17.8</v>
      </c>
      <c r="F44" s="18">
        <v>5.31</v>
      </c>
      <c r="G44" s="18">
        <v>2.0099999999999998</v>
      </c>
      <c r="H44" s="18">
        <v>2.76</v>
      </c>
      <c r="I44" s="7">
        <v>14022560</v>
      </c>
    </row>
    <row r="45" spans="1:9" x14ac:dyDescent="0.25">
      <c r="A45" t="s">
        <v>64</v>
      </c>
      <c r="B45" s="1" t="s">
        <v>7</v>
      </c>
      <c r="C45" s="9">
        <v>754575210</v>
      </c>
      <c r="D45" s="9">
        <v>650986134</v>
      </c>
      <c r="E45" s="18">
        <v>18.5</v>
      </c>
      <c r="F45" s="18">
        <v>5.29</v>
      </c>
      <c r="G45" s="18">
        <v>1.9</v>
      </c>
      <c r="H45" s="18">
        <v>2.78</v>
      </c>
      <c r="I45" s="7">
        <v>14059789</v>
      </c>
    </row>
    <row r="46" spans="1:9" x14ac:dyDescent="0.25">
      <c r="A46" t="s">
        <v>64</v>
      </c>
      <c r="B46" s="1" t="s">
        <v>8</v>
      </c>
      <c r="C46" s="9">
        <v>744421643</v>
      </c>
      <c r="D46" s="9">
        <v>635838254</v>
      </c>
      <c r="E46" s="18">
        <v>19.18</v>
      </c>
      <c r="F46" s="18">
        <v>4.99</v>
      </c>
      <c r="G46" s="18">
        <v>1.88</v>
      </c>
      <c r="H46" s="18">
        <v>2.68</v>
      </c>
      <c r="I46" s="7">
        <v>14154011</v>
      </c>
    </row>
    <row r="47" spans="1:9" x14ac:dyDescent="0.25">
      <c r="A47" t="s">
        <v>64</v>
      </c>
      <c r="B47" s="1" t="s">
        <v>9</v>
      </c>
      <c r="C47" s="9">
        <v>786007093</v>
      </c>
      <c r="D47" s="9">
        <v>677021808</v>
      </c>
      <c r="E47" s="18">
        <v>18.68</v>
      </c>
      <c r="F47" s="18">
        <v>4.87</v>
      </c>
      <c r="G47" s="18">
        <v>1.75</v>
      </c>
      <c r="H47" s="18">
        <v>2.44</v>
      </c>
      <c r="I47" s="7">
        <v>14116915</v>
      </c>
    </row>
    <row r="48" spans="1:9" x14ac:dyDescent="0.25">
      <c r="A48" t="s">
        <v>64</v>
      </c>
      <c r="B48" s="1" t="s">
        <v>10</v>
      </c>
      <c r="C48" s="9">
        <v>756755688</v>
      </c>
      <c r="D48" s="9">
        <v>643497610</v>
      </c>
      <c r="E48" s="18">
        <v>19.329999999999998</v>
      </c>
      <c r="F48" s="18">
        <v>4.8499999999999996</v>
      </c>
      <c r="G48" s="18">
        <v>1.8</v>
      </c>
      <c r="H48" s="18">
        <v>2.5099999999999998</v>
      </c>
      <c r="I48" s="7">
        <v>15078109</v>
      </c>
    </row>
    <row r="49" spans="1:9" x14ac:dyDescent="0.25">
      <c r="A49" t="s">
        <v>64</v>
      </c>
      <c r="B49" s="1" t="s">
        <v>11</v>
      </c>
      <c r="C49" s="9">
        <v>780237387</v>
      </c>
      <c r="D49" s="9">
        <v>663339181</v>
      </c>
      <c r="E49" s="18">
        <v>19.73</v>
      </c>
      <c r="F49" s="18">
        <v>4.92</v>
      </c>
      <c r="G49" s="18">
        <v>2.27</v>
      </c>
      <c r="H49" s="18">
        <v>2.42</v>
      </c>
      <c r="I49" s="7">
        <v>15837399</v>
      </c>
    </row>
    <row r="50" spans="1:9" x14ac:dyDescent="0.25">
      <c r="A50" t="s">
        <v>64</v>
      </c>
      <c r="B50" s="1" t="s">
        <v>12</v>
      </c>
      <c r="C50" s="9">
        <v>803279408</v>
      </c>
      <c r="D50" s="9">
        <v>701548315</v>
      </c>
      <c r="E50" s="18">
        <v>16.07</v>
      </c>
      <c r="F50" s="18">
        <v>4.88</v>
      </c>
      <c r="G50" s="18">
        <v>2.38</v>
      </c>
      <c r="H50" s="18">
        <v>2.63</v>
      </c>
      <c r="I50" s="7">
        <v>31529285</v>
      </c>
    </row>
    <row r="51" spans="1:9" x14ac:dyDescent="0.25">
      <c r="A51" t="s">
        <v>64</v>
      </c>
      <c r="B51" s="1" t="s">
        <v>13</v>
      </c>
      <c r="C51" s="9">
        <v>813301436</v>
      </c>
      <c r="D51" s="9">
        <v>709272732</v>
      </c>
      <c r="E51" s="18">
        <v>16.71</v>
      </c>
      <c r="F51" s="18">
        <v>4.47</v>
      </c>
      <c r="G51" s="18">
        <v>3.03</v>
      </c>
      <c r="H51" s="18">
        <v>1.38</v>
      </c>
      <c r="I51" s="7">
        <v>35307431</v>
      </c>
    </row>
    <row r="52" spans="1:9" x14ac:dyDescent="0.25">
      <c r="A52" t="s">
        <v>64</v>
      </c>
      <c r="B52" s="1" t="s">
        <v>14</v>
      </c>
      <c r="C52" s="9">
        <v>847579548</v>
      </c>
      <c r="D52" s="9">
        <v>743379093</v>
      </c>
      <c r="E52" s="18">
        <v>16.75</v>
      </c>
      <c r="F52" s="18">
        <v>4.32</v>
      </c>
      <c r="G52" s="18">
        <v>3.56</v>
      </c>
      <c r="H52" s="18">
        <v>0.88</v>
      </c>
      <c r="I52" s="7">
        <v>40421071</v>
      </c>
    </row>
    <row r="53" spans="1:9" x14ac:dyDescent="0.25">
      <c r="A53" t="s">
        <v>64</v>
      </c>
      <c r="B53" s="1" t="s">
        <v>15</v>
      </c>
      <c r="C53" s="9">
        <v>818227668</v>
      </c>
      <c r="D53" s="9">
        <v>714611911</v>
      </c>
      <c r="E53" s="18">
        <v>16.78</v>
      </c>
      <c r="F53" s="18">
        <v>4.5</v>
      </c>
      <c r="G53" s="18">
        <v>4.25</v>
      </c>
      <c r="H53" s="18">
        <v>0.54</v>
      </c>
      <c r="I53" s="7">
        <v>42809275</v>
      </c>
    </row>
    <row r="54" spans="1:9" x14ac:dyDescent="0.25">
      <c r="A54" t="s">
        <v>64</v>
      </c>
      <c r="B54" s="1" t="s">
        <v>16</v>
      </c>
      <c r="C54" s="9">
        <v>840240592</v>
      </c>
      <c r="D54" s="9">
        <v>729278965</v>
      </c>
      <c r="E54" s="18">
        <v>18.07</v>
      </c>
      <c r="F54" s="18">
        <v>4.9000000000000004</v>
      </c>
      <c r="G54" s="18">
        <v>4.12</v>
      </c>
      <c r="H54" s="18">
        <v>1.46</v>
      </c>
      <c r="I54" s="7">
        <v>46115912</v>
      </c>
    </row>
    <row r="55" spans="1:9" x14ac:dyDescent="0.25">
      <c r="A55" t="s">
        <v>64</v>
      </c>
      <c r="B55" s="1" t="s">
        <v>17</v>
      </c>
      <c r="C55" s="9">
        <v>852497109</v>
      </c>
      <c r="D55" s="7">
        <v>740445715</v>
      </c>
      <c r="E55" s="18">
        <v>18.18</v>
      </c>
      <c r="F55" s="18">
        <v>4.8499999999999996</v>
      </c>
      <c r="G55" s="18">
        <v>3.94</v>
      </c>
      <c r="H55" s="18">
        <v>1.48</v>
      </c>
      <c r="I55" s="7">
        <v>48267760</v>
      </c>
    </row>
    <row r="56" spans="1:9" x14ac:dyDescent="0.25">
      <c r="A56" t="s">
        <v>64</v>
      </c>
      <c r="B56" s="1" t="s">
        <v>18</v>
      </c>
      <c r="C56" s="9">
        <v>894893400</v>
      </c>
      <c r="D56" s="9">
        <v>779711982</v>
      </c>
      <c r="E56" s="18">
        <v>19.899999999999999</v>
      </c>
      <c r="F56" s="18">
        <v>4.76</v>
      </c>
      <c r="G56" s="18">
        <v>3.81</v>
      </c>
      <c r="H56" s="18">
        <v>1.51</v>
      </c>
      <c r="I56" s="7">
        <v>49246228</v>
      </c>
    </row>
    <row r="57" spans="1:9" x14ac:dyDescent="0.25">
      <c r="A57" t="s">
        <v>64</v>
      </c>
      <c r="B57" s="1" t="s">
        <v>19</v>
      </c>
      <c r="C57" s="9">
        <v>941211128</v>
      </c>
      <c r="D57" s="9">
        <v>821759532</v>
      </c>
      <c r="E57" s="18">
        <v>19.75</v>
      </c>
      <c r="F57" s="18">
        <v>4.67</v>
      </c>
      <c r="G57" s="18">
        <v>3.7</v>
      </c>
      <c r="H57" s="18">
        <v>1.43</v>
      </c>
      <c r="I57" s="7">
        <v>50213082</v>
      </c>
    </row>
    <row r="58" spans="1:9" x14ac:dyDescent="0.25">
      <c r="A58" t="s">
        <v>64</v>
      </c>
      <c r="B58" s="1" t="s">
        <v>20</v>
      </c>
      <c r="C58" s="7">
        <v>908458601</v>
      </c>
      <c r="D58" s="7">
        <v>786608336</v>
      </c>
      <c r="E58" s="16">
        <v>19.29</v>
      </c>
      <c r="F58" s="16">
        <v>4.51</v>
      </c>
      <c r="G58" s="18">
        <v>3.46</v>
      </c>
      <c r="H58" s="18">
        <v>2.29</v>
      </c>
      <c r="I58" s="7">
        <v>51166986</v>
      </c>
    </row>
    <row r="59" spans="1:9" x14ac:dyDescent="0.25">
      <c r="A59" t="s">
        <v>64</v>
      </c>
      <c r="B59" s="1" t="s">
        <v>21</v>
      </c>
      <c r="C59" s="7">
        <v>912767267</v>
      </c>
      <c r="D59" s="7">
        <v>790544350</v>
      </c>
      <c r="E59" s="16">
        <v>18.420000000000002</v>
      </c>
      <c r="F59" s="16">
        <v>4.7</v>
      </c>
      <c r="G59" s="18">
        <v>3.16</v>
      </c>
      <c r="H59" s="18">
        <v>2.44</v>
      </c>
      <c r="I59" s="7">
        <v>51250401</v>
      </c>
    </row>
    <row r="60" spans="1:9" x14ac:dyDescent="0.25">
      <c r="A60" t="s">
        <v>64</v>
      </c>
      <c r="B60" s="1" t="s">
        <v>22</v>
      </c>
      <c r="C60" s="7">
        <v>909638667</v>
      </c>
      <c r="D60" s="7">
        <v>783858777</v>
      </c>
      <c r="E60" s="18">
        <v>18.899999999999999</v>
      </c>
      <c r="F60" s="18">
        <v>4.8</v>
      </c>
      <c r="G60" s="18">
        <v>3.04</v>
      </c>
      <c r="H60" s="18">
        <v>2.48</v>
      </c>
      <c r="I60" s="7">
        <v>51012190</v>
      </c>
    </row>
    <row r="61" spans="1:9" x14ac:dyDescent="0.25">
      <c r="A61" t="s">
        <v>64</v>
      </c>
      <c r="B61" s="1" t="s">
        <v>23</v>
      </c>
      <c r="C61" s="7">
        <v>997556847</v>
      </c>
      <c r="D61" s="7">
        <v>865779538</v>
      </c>
      <c r="E61" s="18">
        <v>19.27</v>
      </c>
      <c r="F61" s="18">
        <v>4.8099999999999996</v>
      </c>
      <c r="G61" s="18">
        <v>2.81</v>
      </c>
      <c r="H61" s="18">
        <v>2.46</v>
      </c>
      <c r="I61" s="7">
        <v>50180236</v>
      </c>
    </row>
    <row r="62" spans="1:9" x14ac:dyDescent="0.25">
      <c r="A62" t="s">
        <v>65</v>
      </c>
      <c r="B62" s="1" t="s">
        <v>4</v>
      </c>
      <c r="C62" s="2">
        <v>258738696</v>
      </c>
      <c r="D62" s="9">
        <v>237021351</v>
      </c>
      <c r="E62" s="16">
        <v>17.920000000000002</v>
      </c>
      <c r="F62" s="16">
        <v>4.21</v>
      </c>
      <c r="G62" s="18">
        <v>2.78</v>
      </c>
      <c r="H62" s="18">
        <v>1.37</v>
      </c>
      <c r="I62" s="7">
        <v>2380154</v>
      </c>
    </row>
    <row r="63" spans="1:9" x14ac:dyDescent="0.25">
      <c r="A63" t="s">
        <v>65</v>
      </c>
      <c r="B63" s="1" t="s">
        <v>5</v>
      </c>
      <c r="C63" s="2">
        <v>268044394</v>
      </c>
      <c r="D63" s="9">
        <v>245665348</v>
      </c>
      <c r="E63" s="17">
        <v>17.420000000000002</v>
      </c>
      <c r="F63" s="17">
        <v>4.17</v>
      </c>
      <c r="G63" s="18">
        <v>2.78</v>
      </c>
      <c r="H63" s="18">
        <v>1.4</v>
      </c>
      <c r="I63" s="7">
        <v>2451736</v>
      </c>
    </row>
    <row r="64" spans="1:9" x14ac:dyDescent="0.25">
      <c r="A64" t="s">
        <v>65</v>
      </c>
      <c r="B64" s="1" t="s">
        <v>6</v>
      </c>
      <c r="C64" s="2">
        <v>272304662</v>
      </c>
      <c r="D64" s="9">
        <v>249054867</v>
      </c>
      <c r="E64" s="17">
        <v>17.97</v>
      </c>
      <c r="F64" s="17">
        <v>4.3499999999999996</v>
      </c>
      <c r="G64" s="18">
        <v>2.65</v>
      </c>
      <c r="H64" s="18">
        <v>1.45</v>
      </c>
      <c r="I64" s="7">
        <v>2690677</v>
      </c>
    </row>
    <row r="65" spans="1:9" x14ac:dyDescent="0.25">
      <c r="A65" t="s">
        <v>65</v>
      </c>
      <c r="B65" s="1" t="s">
        <v>7</v>
      </c>
      <c r="C65" s="2">
        <v>306436194</v>
      </c>
      <c r="D65" s="9">
        <v>282595746</v>
      </c>
      <c r="E65" s="17">
        <v>18.21</v>
      </c>
      <c r="F65" s="17">
        <v>4.32</v>
      </c>
      <c r="G65" s="18">
        <v>2.82</v>
      </c>
      <c r="H65" s="18">
        <v>1.34</v>
      </c>
      <c r="I65" s="7">
        <v>3298132</v>
      </c>
    </row>
    <row r="66" spans="1:9" x14ac:dyDescent="0.25">
      <c r="A66" t="s">
        <v>65</v>
      </c>
      <c r="B66" s="1" t="s">
        <v>8</v>
      </c>
      <c r="C66" s="2">
        <v>301346488</v>
      </c>
      <c r="D66" s="9">
        <v>276812632</v>
      </c>
      <c r="E66" s="16">
        <v>17.62</v>
      </c>
      <c r="F66" s="17">
        <v>3.63</v>
      </c>
      <c r="G66" s="18">
        <v>2.92</v>
      </c>
      <c r="H66" s="18">
        <v>1.24</v>
      </c>
      <c r="I66" s="7">
        <v>3185142</v>
      </c>
    </row>
    <row r="67" spans="1:9" x14ac:dyDescent="0.25">
      <c r="A67" t="s">
        <v>65</v>
      </c>
      <c r="B67" s="1" t="s">
        <v>9</v>
      </c>
      <c r="C67" s="2">
        <v>312474892</v>
      </c>
      <c r="D67" s="9">
        <v>287814004</v>
      </c>
      <c r="E67" s="17">
        <v>16.989999999999998</v>
      </c>
      <c r="F67" s="17">
        <v>3.53</v>
      </c>
      <c r="G67" s="18">
        <v>3.32</v>
      </c>
      <c r="H67" s="18">
        <v>1.17</v>
      </c>
      <c r="I67" s="7">
        <v>3152613</v>
      </c>
    </row>
    <row r="68" spans="1:9" x14ac:dyDescent="0.25">
      <c r="A68" t="s">
        <v>65</v>
      </c>
      <c r="B68" s="1" t="s">
        <v>10</v>
      </c>
      <c r="C68" s="2">
        <v>316211345</v>
      </c>
      <c r="D68" s="9">
        <v>292091077</v>
      </c>
      <c r="E68" s="17">
        <v>16.88</v>
      </c>
      <c r="F68" s="17">
        <v>3.41</v>
      </c>
      <c r="G68" s="18">
        <v>3.54</v>
      </c>
      <c r="H68" s="18">
        <v>0.44</v>
      </c>
      <c r="I68" s="7">
        <v>4793992</v>
      </c>
    </row>
    <row r="69" spans="1:9" x14ac:dyDescent="0.25">
      <c r="A69" t="s">
        <v>65</v>
      </c>
      <c r="B69" s="1" t="s">
        <v>11</v>
      </c>
      <c r="C69" s="2">
        <v>311776828</v>
      </c>
      <c r="D69" s="9">
        <v>287940633</v>
      </c>
      <c r="E69" s="17">
        <v>17.32</v>
      </c>
      <c r="F69" s="17">
        <v>3.32</v>
      </c>
      <c r="G69" s="18">
        <v>4.78</v>
      </c>
      <c r="H69" s="18">
        <v>0.13</v>
      </c>
      <c r="I69" s="7">
        <v>6116166</v>
      </c>
    </row>
    <row r="70" spans="1:9" x14ac:dyDescent="0.25">
      <c r="A70" t="s">
        <v>65</v>
      </c>
      <c r="B70" s="1" t="s">
        <v>12</v>
      </c>
      <c r="C70" s="2">
        <v>308186680</v>
      </c>
      <c r="D70" s="9">
        <v>291697423</v>
      </c>
      <c r="E70" s="17">
        <v>18.73</v>
      </c>
      <c r="F70" s="17">
        <v>3.13</v>
      </c>
      <c r="G70" s="18">
        <v>4.91</v>
      </c>
      <c r="H70" s="18">
        <v>0.76</v>
      </c>
      <c r="I70" s="7">
        <v>13136109</v>
      </c>
    </row>
    <row r="71" spans="1:9" x14ac:dyDescent="0.25">
      <c r="A71" t="s">
        <v>65</v>
      </c>
      <c r="B71" s="1" t="s">
        <v>13</v>
      </c>
      <c r="C71" s="2">
        <v>314602871</v>
      </c>
      <c r="D71" s="9">
        <v>297486753</v>
      </c>
      <c r="E71" s="17">
        <v>19.100000000000001</v>
      </c>
      <c r="F71" s="17">
        <v>3.16</v>
      </c>
      <c r="G71" s="18">
        <v>4.71</v>
      </c>
      <c r="H71" s="18">
        <v>0.63</v>
      </c>
      <c r="I71" s="7">
        <v>12797735</v>
      </c>
    </row>
    <row r="72" spans="1:9" x14ac:dyDescent="0.25">
      <c r="A72" t="s">
        <v>65</v>
      </c>
      <c r="B72" s="1" t="s">
        <v>14</v>
      </c>
      <c r="C72" s="2">
        <v>356974307</v>
      </c>
      <c r="D72" s="9">
        <v>339358376</v>
      </c>
      <c r="E72" s="17">
        <v>18.95</v>
      </c>
      <c r="F72" s="17">
        <v>3.13</v>
      </c>
      <c r="G72" s="18">
        <v>4.5599999999999996</v>
      </c>
      <c r="H72" s="18">
        <v>0.59</v>
      </c>
      <c r="I72" s="7">
        <v>12945634</v>
      </c>
    </row>
    <row r="73" spans="1:9" x14ac:dyDescent="0.25">
      <c r="A73" t="s">
        <v>65</v>
      </c>
      <c r="B73" s="1" t="s">
        <v>15</v>
      </c>
      <c r="C73" s="2">
        <v>361208406</v>
      </c>
      <c r="D73" s="9">
        <v>341220561</v>
      </c>
      <c r="E73" s="17">
        <v>19.34</v>
      </c>
      <c r="F73" s="17">
        <v>3.06</v>
      </c>
      <c r="G73" s="16">
        <v>4.37</v>
      </c>
      <c r="H73" s="18">
        <v>0.69</v>
      </c>
      <c r="I73" s="7">
        <v>13060943</v>
      </c>
    </row>
    <row r="74" spans="1:9" x14ac:dyDescent="0.25">
      <c r="A74" t="s">
        <v>65</v>
      </c>
      <c r="B74" s="1" t="s">
        <v>16</v>
      </c>
      <c r="C74" s="2">
        <v>375729831</v>
      </c>
      <c r="D74" s="9">
        <v>356612880</v>
      </c>
      <c r="E74" s="17">
        <v>17.649999999999999</v>
      </c>
      <c r="F74" s="17">
        <v>3.31</v>
      </c>
      <c r="G74" s="18">
        <v>4.25</v>
      </c>
      <c r="H74" s="18">
        <v>0.94</v>
      </c>
      <c r="I74" s="7">
        <v>12878910</v>
      </c>
    </row>
    <row r="75" spans="1:9" x14ac:dyDescent="0.25">
      <c r="A75" t="s">
        <v>65</v>
      </c>
      <c r="B75" s="1" t="s">
        <v>17</v>
      </c>
      <c r="C75" s="2">
        <v>380513594</v>
      </c>
      <c r="D75" s="9">
        <v>360603445</v>
      </c>
      <c r="E75" s="17">
        <v>17.8</v>
      </c>
      <c r="F75" s="17">
        <v>3.41</v>
      </c>
      <c r="G75" s="18">
        <v>4.0999999999999996</v>
      </c>
      <c r="H75" s="18">
        <v>0.68</v>
      </c>
      <c r="I75" s="7">
        <v>13172149</v>
      </c>
    </row>
    <row r="76" spans="1:9" x14ac:dyDescent="0.25">
      <c r="A76" t="s">
        <v>65</v>
      </c>
      <c r="B76" s="1" t="s">
        <v>18</v>
      </c>
      <c r="C76" s="2">
        <v>368055555</v>
      </c>
      <c r="D76" s="9">
        <v>347480225</v>
      </c>
      <c r="E76" s="17">
        <v>17.97</v>
      </c>
      <c r="F76" s="17">
        <v>3.52</v>
      </c>
      <c r="G76" s="18">
        <v>3.94</v>
      </c>
      <c r="H76" s="18">
        <v>0.74</v>
      </c>
      <c r="I76" s="7">
        <v>13349533</v>
      </c>
    </row>
    <row r="77" spans="1:9" x14ac:dyDescent="0.25">
      <c r="A77" t="s">
        <v>65</v>
      </c>
      <c r="B77" s="1" t="s">
        <v>19</v>
      </c>
      <c r="C77" s="2">
        <v>371868311</v>
      </c>
      <c r="D77" s="9">
        <v>350461664</v>
      </c>
      <c r="E77" s="17">
        <v>19.14</v>
      </c>
      <c r="F77" s="17">
        <v>3.99</v>
      </c>
      <c r="G77" s="18">
        <v>3.7</v>
      </c>
      <c r="H77" s="18">
        <v>0.81</v>
      </c>
      <c r="I77" s="7">
        <v>14435760</v>
      </c>
    </row>
    <row r="78" spans="1:9" x14ac:dyDescent="0.25">
      <c r="A78" t="s">
        <v>65</v>
      </c>
      <c r="B78" s="1" t="s">
        <v>20</v>
      </c>
      <c r="C78" s="7">
        <v>367515728</v>
      </c>
      <c r="D78" s="7">
        <v>346032419</v>
      </c>
      <c r="E78" s="16">
        <v>18.149999999999999</v>
      </c>
      <c r="F78" s="17">
        <v>4.29</v>
      </c>
      <c r="G78" s="16">
        <v>3.6</v>
      </c>
      <c r="H78" s="18">
        <v>1.07</v>
      </c>
      <c r="I78" s="7">
        <v>14651025</v>
      </c>
    </row>
    <row r="79" spans="1:9" x14ac:dyDescent="0.25">
      <c r="A79" t="s">
        <v>65</v>
      </c>
      <c r="B79" s="1" t="s">
        <v>21</v>
      </c>
      <c r="C79" s="7">
        <v>381741249</v>
      </c>
      <c r="D79" s="7">
        <v>360755762</v>
      </c>
      <c r="E79" s="17">
        <v>17.36</v>
      </c>
      <c r="F79" s="16">
        <v>4.58</v>
      </c>
      <c r="G79" s="18">
        <v>3.54</v>
      </c>
      <c r="H79" s="18">
        <v>1.03</v>
      </c>
      <c r="I79" s="7">
        <v>15178347</v>
      </c>
    </row>
    <row r="80" spans="1:9" x14ac:dyDescent="0.25">
      <c r="A80" t="s">
        <v>65</v>
      </c>
      <c r="B80" s="1" t="s">
        <v>22</v>
      </c>
      <c r="C80" s="7">
        <v>389291838</v>
      </c>
      <c r="D80" s="7">
        <v>367695068</v>
      </c>
      <c r="E80" s="17">
        <v>17.32</v>
      </c>
      <c r="F80" s="16">
        <v>4.51</v>
      </c>
      <c r="G80" s="16">
        <v>3.45</v>
      </c>
      <c r="H80" s="18">
        <v>1.03</v>
      </c>
      <c r="I80" s="7">
        <v>15043329</v>
      </c>
    </row>
    <row r="81" spans="1:9" x14ac:dyDescent="0.25">
      <c r="A81" t="s">
        <v>65</v>
      </c>
      <c r="B81" s="1" t="s">
        <v>23</v>
      </c>
      <c r="C81" s="7">
        <v>402148312</v>
      </c>
      <c r="D81" s="7">
        <v>376238958</v>
      </c>
      <c r="E81" s="16">
        <v>20.170000000000002</v>
      </c>
      <c r="F81" s="17">
        <v>4.4000000000000004</v>
      </c>
      <c r="G81" s="18">
        <v>3.38</v>
      </c>
      <c r="H81" s="16">
        <v>1.02</v>
      </c>
      <c r="I81" s="7">
        <v>15674923</v>
      </c>
    </row>
    <row r="82" spans="1:9" x14ac:dyDescent="0.25">
      <c r="A82" t="s">
        <v>67</v>
      </c>
      <c r="B82" s="1" t="s">
        <v>4</v>
      </c>
      <c r="C82" s="9">
        <v>151900294</v>
      </c>
      <c r="D82" s="9">
        <v>130546426</v>
      </c>
      <c r="E82" s="18">
        <v>17.73</v>
      </c>
      <c r="F82" s="18">
        <v>3.91</v>
      </c>
      <c r="G82" s="18">
        <v>4.59</v>
      </c>
      <c r="H82" s="18">
        <v>0.54</v>
      </c>
      <c r="I82" s="10" t="s">
        <v>178</v>
      </c>
    </row>
    <row r="83" spans="1:9" x14ac:dyDescent="0.25">
      <c r="A83" t="s">
        <v>67</v>
      </c>
      <c r="B83" s="1" t="s">
        <v>5</v>
      </c>
      <c r="C83" s="9">
        <v>159062532</v>
      </c>
      <c r="D83" s="9">
        <v>137749735</v>
      </c>
      <c r="E83" s="18">
        <v>19.59</v>
      </c>
      <c r="F83" s="18">
        <v>3.96</v>
      </c>
      <c r="G83" s="18">
        <v>4.26</v>
      </c>
      <c r="H83" s="18">
        <v>0.5</v>
      </c>
      <c r="I83" s="10" t="s">
        <v>179</v>
      </c>
    </row>
    <row r="84" spans="1:9" x14ac:dyDescent="0.25">
      <c r="A84" t="s">
        <v>67</v>
      </c>
      <c r="B84" s="1" t="s">
        <v>6</v>
      </c>
      <c r="C84" s="9">
        <v>155534538</v>
      </c>
      <c r="D84" s="9">
        <v>134022770</v>
      </c>
      <c r="E84" s="18">
        <v>19.190000000000001</v>
      </c>
      <c r="F84" s="18">
        <v>4.0199999999999996</v>
      </c>
      <c r="G84" s="18">
        <v>4.78</v>
      </c>
      <c r="H84" s="18">
        <v>0.56999999999999995</v>
      </c>
      <c r="I84" s="10" t="s">
        <v>180</v>
      </c>
    </row>
    <row r="85" spans="1:9" x14ac:dyDescent="0.25">
      <c r="A85" t="s">
        <v>67</v>
      </c>
      <c r="B85" s="1" t="s">
        <v>7</v>
      </c>
      <c r="C85" s="9">
        <v>152759234</v>
      </c>
      <c r="D85" s="9">
        <v>130598875</v>
      </c>
      <c r="E85" s="18">
        <v>19.440000000000001</v>
      </c>
      <c r="F85" s="18">
        <v>4.1100000000000003</v>
      </c>
      <c r="G85" s="18">
        <v>4.3600000000000003</v>
      </c>
      <c r="H85" s="18">
        <v>0.78</v>
      </c>
      <c r="I85" s="10" t="s">
        <v>181</v>
      </c>
    </row>
    <row r="86" spans="1:9" x14ac:dyDescent="0.25">
      <c r="A86" t="s">
        <v>67</v>
      </c>
      <c r="B86" s="1" t="s">
        <v>8</v>
      </c>
      <c r="C86" s="9">
        <v>160250986</v>
      </c>
      <c r="D86" s="9">
        <v>137584175</v>
      </c>
      <c r="E86" s="18">
        <v>19.899999999999999</v>
      </c>
      <c r="F86" s="18">
        <v>4.0199999999999996</v>
      </c>
      <c r="G86" s="18">
        <v>3.78</v>
      </c>
      <c r="H86" s="18">
        <v>1.3</v>
      </c>
      <c r="I86" s="10" t="s">
        <v>182</v>
      </c>
    </row>
    <row r="87" spans="1:9" x14ac:dyDescent="0.25">
      <c r="A87" t="s">
        <v>67</v>
      </c>
      <c r="B87" s="1" t="s">
        <v>9</v>
      </c>
      <c r="C87" s="9">
        <v>147629882</v>
      </c>
      <c r="D87" s="9">
        <v>124600155</v>
      </c>
      <c r="E87" s="18">
        <v>19.809999999999999</v>
      </c>
      <c r="F87" s="18">
        <v>4.1500000000000004</v>
      </c>
      <c r="G87" s="18">
        <v>3.58</v>
      </c>
      <c r="H87" s="18">
        <v>1.24</v>
      </c>
      <c r="I87" s="10" t="s">
        <v>183</v>
      </c>
    </row>
    <row r="88" spans="1:9" x14ac:dyDescent="0.25">
      <c r="A88" t="s">
        <v>67</v>
      </c>
      <c r="B88" s="1" t="s">
        <v>10</v>
      </c>
      <c r="C88" s="9">
        <v>154908997</v>
      </c>
      <c r="D88" s="9">
        <v>131461972</v>
      </c>
      <c r="E88" s="18">
        <v>19.84</v>
      </c>
      <c r="F88" s="18">
        <v>4.2300000000000004</v>
      </c>
      <c r="G88" s="18">
        <v>3.33</v>
      </c>
      <c r="H88" s="16">
        <v>1.28</v>
      </c>
      <c r="I88" s="10" t="s">
        <v>184</v>
      </c>
    </row>
    <row r="89" spans="1:9" x14ac:dyDescent="0.25">
      <c r="A89" t="s">
        <v>67</v>
      </c>
      <c r="B89" s="1" t="s">
        <v>11</v>
      </c>
      <c r="C89" s="9">
        <v>161264340</v>
      </c>
      <c r="D89" s="9">
        <v>137515563</v>
      </c>
      <c r="E89" s="18">
        <v>19.89</v>
      </c>
      <c r="F89" s="18">
        <v>4.3899999999999997</v>
      </c>
      <c r="G89" s="18">
        <v>2.77</v>
      </c>
      <c r="H89" s="18">
        <v>1.3</v>
      </c>
      <c r="I89" s="10" t="s">
        <v>185</v>
      </c>
    </row>
    <row r="90" spans="1:9" x14ac:dyDescent="0.25">
      <c r="A90" t="s">
        <v>67</v>
      </c>
      <c r="B90" s="1" t="s">
        <v>12</v>
      </c>
      <c r="C90" s="9">
        <v>167261064</v>
      </c>
      <c r="D90" s="9">
        <v>144302571</v>
      </c>
      <c r="E90" s="18">
        <v>19.61</v>
      </c>
      <c r="F90" s="18">
        <v>4.59</v>
      </c>
      <c r="G90" s="18">
        <v>3.18</v>
      </c>
      <c r="H90" s="18">
        <v>0.69</v>
      </c>
      <c r="I90" s="10" t="s">
        <v>186</v>
      </c>
    </row>
    <row r="91" spans="1:9" x14ac:dyDescent="0.25">
      <c r="A91" t="s">
        <v>67</v>
      </c>
      <c r="B91" s="1" t="s">
        <v>13</v>
      </c>
      <c r="C91" s="9">
        <v>157837069</v>
      </c>
      <c r="D91" s="9">
        <v>134266595</v>
      </c>
      <c r="E91" s="18">
        <v>21.26</v>
      </c>
      <c r="F91" s="18">
        <v>4.53</v>
      </c>
      <c r="G91" s="18">
        <v>3.74</v>
      </c>
      <c r="H91" s="18">
        <v>0.93</v>
      </c>
      <c r="I91" s="10" t="s">
        <v>187</v>
      </c>
    </row>
    <row r="92" spans="1:9" x14ac:dyDescent="0.25">
      <c r="A92" t="s">
        <v>67</v>
      </c>
      <c r="B92" s="1" t="s">
        <v>14</v>
      </c>
      <c r="C92" s="9">
        <v>166635675</v>
      </c>
      <c r="D92" s="9">
        <v>142834370</v>
      </c>
      <c r="E92" s="18">
        <v>21.6</v>
      </c>
      <c r="F92" s="18">
        <v>4.42</v>
      </c>
      <c r="G92" s="18">
        <v>3.78</v>
      </c>
      <c r="H92" s="18">
        <v>0.68</v>
      </c>
      <c r="I92" s="10" t="s">
        <v>188</v>
      </c>
    </row>
    <row r="93" spans="1:9" x14ac:dyDescent="0.25">
      <c r="A93" t="s">
        <v>67</v>
      </c>
      <c r="B93" s="1" t="s">
        <v>15</v>
      </c>
      <c r="C93" s="9">
        <v>197574403</v>
      </c>
      <c r="D93" s="9">
        <v>162789167</v>
      </c>
      <c r="E93" s="18">
        <v>35.68</v>
      </c>
      <c r="F93" s="18">
        <v>4.74</v>
      </c>
      <c r="G93" s="18">
        <v>2.9</v>
      </c>
      <c r="H93" s="18">
        <v>0.97</v>
      </c>
      <c r="I93" s="10" t="s">
        <v>189</v>
      </c>
    </row>
    <row r="94" spans="1:9" x14ac:dyDescent="0.25">
      <c r="A94" t="s">
        <v>67</v>
      </c>
      <c r="B94" s="1" t="s">
        <v>16</v>
      </c>
      <c r="C94" s="9">
        <v>203327872</v>
      </c>
      <c r="D94" s="9">
        <v>168200042</v>
      </c>
      <c r="E94" s="18">
        <v>35.21</v>
      </c>
      <c r="F94" s="18">
        <v>4.45</v>
      </c>
      <c r="G94" s="18">
        <v>2.93</v>
      </c>
      <c r="H94" s="18">
        <v>1.3</v>
      </c>
      <c r="I94" s="10" t="s">
        <v>190</v>
      </c>
    </row>
    <row r="95" spans="1:9" x14ac:dyDescent="0.25">
      <c r="A95" t="s">
        <v>67</v>
      </c>
      <c r="B95" s="1" t="s">
        <v>17</v>
      </c>
      <c r="C95" s="9">
        <v>212912825</v>
      </c>
      <c r="D95" s="9">
        <v>177350292</v>
      </c>
      <c r="E95" s="18">
        <v>35.43</v>
      </c>
      <c r="F95" s="18">
        <v>4.43</v>
      </c>
      <c r="G95" s="18">
        <v>3.31</v>
      </c>
      <c r="H95" s="18">
        <v>1.02</v>
      </c>
      <c r="I95" s="10" t="s">
        <v>191</v>
      </c>
    </row>
    <row r="96" spans="1:9" x14ac:dyDescent="0.25">
      <c r="A96" t="s">
        <v>67</v>
      </c>
      <c r="B96" s="1" t="s">
        <v>18</v>
      </c>
      <c r="C96" s="9">
        <v>218796253</v>
      </c>
      <c r="D96" s="9">
        <v>182863767</v>
      </c>
      <c r="E96" s="18">
        <v>34.04</v>
      </c>
      <c r="F96" s="18">
        <v>4.3899999999999997</v>
      </c>
      <c r="G96" s="18">
        <v>3.3</v>
      </c>
      <c r="H96" s="18">
        <v>0.82</v>
      </c>
      <c r="I96" s="10" t="s">
        <v>192</v>
      </c>
    </row>
    <row r="97" spans="1:9" x14ac:dyDescent="0.25">
      <c r="A97" t="s">
        <v>67</v>
      </c>
      <c r="B97" s="1" t="s">
        <v>19</v>
      </c>
      <c r="C97" s="9">
        <v>234379042</v>
      </c>
      <c r="D97" s="9">
        <v>197765327</v>
      </c>
      <c r="E97" s="18">
        <v>34.94</v>
      </c>
      <c r="F97" s="18">
        <v>4.0199999999999996</v>
      </c>
      <c r="G97" s="18">
        <v>3.2</v>
      </c>
      <c r="H97" s="18">
        <v>0.73</v>
      </c>
      <c r="I97" s="10" t="s">
        <v>193</v>
      </c>
    </row>
    <row r="98" spans="1:9" x14ac:dyDescent="0.25">
      <c r="A98" t="s">
        <v>67</v>
      </c>
      <c r="B98" s="1" t="s">
        <v>20</v>
      </c>
      <c r="C98" s="10" t="s">
        <v>101</v>
      </c>
      <c r="D98" s="10" t="s">
        <v>194</v>
      </c>
      <c r="E98" s="18">
        <v>33.119999999999997</v>
      </c>
      <c r="F98" s="18" t="s">
        <v>195</v>
      </c>
      <c r="G98" s="18" t="s">
        <v>196</v>
      </c>
      <c r="H98" s="18" t="s">
        <v>197</v>
      </c>
      <c r="I98" s="10" t="s">
        <v>198</v>
      </c>
    </row>
    <row r="99" spans="1:9" x14ac:dyDescent="0.25">
      <c r="A99" t="s">
        <v>67</v>
      </c>
      <c r="B99" s="1" t="s">
        <v>21</v>
      </c>
      <c r="C99" s="10" t="s">
        <v>102</v>
      </c>
      <c r="D99" s="10" t="s">
        <v>199</v>
      </c>
      <c r="E99" s="18" t="s">
        <v>200</v>
      </c>
      <c r="F99" s="18" t="s">
        <v>201</v>
      </c>
      <c r="G99" s="18" t="s">
        <v>202</v>
      </c>
      <c r="H99" s="18" t="s">
        <v>203</v>
      </c>
      <c r="I99" s="10" t="s">
        <v>204</v>
      </c>
    </row>
    <row r="100" spans="1:9" x14ac:dyDescent="0.25">
      <c r="A100" t="s">
        <v>67</v>
      </c>
      <c r="B100" s="1" t="s">
        <v>22</v>
      </c>
      <c r="C100" s="10" t="s">
        <v>103</v>
      </c>
      <c r="D100" s="10" t="s">
        <v>205</v>
      </c>
      <c r="E100" s="18" t="s">
        <v>206</v>
      </c>
      <c r="F100" s="18" t="s">
        <v>207</v>
      </c>
      <c r="G100" s="18" t="s">
        <v>208</v>
      </c>
      <c r="H100" s="18" t="s">
        <v>209</v>
      </c>
      <c r="I100" s="10" t="s">
        <v>211</v>
      </c>
    </row>
    <row r="101" spans="1:9" x14ac:dyDescent="0.25">
      <c r="A101" s="6" t="s">
        <v>67</v>
      </c>
      <c r="B101" s="1" t="s">
        <v>23</v>
      </c>
      <c r="C101" s="8">
        <v>255112471</v>
      </c>
      <c r="D101" s="8">
        <v>217495182</v>
      </c>
      <c r="E101" s="19">
        <v>34.19</v>
      </c>
      <c r="F101" s="19">
        <v>4.33</v>
      </c>
      <c r="G101" s="19">
        <v>3.13</v>
      </c>
      <c r="H101" s="18">
        <v>1.1000000000000001</v>
      </c>
      <c r="I101" s="8">
        <v>10154795</v>
      </c>
    </row>
    <row r="102" spans="1:9" x14ac:dyDescent="0.25">
      <c r="A102" t="s">
        <v>68</v>
      </c>
      <c r="B102" s="1" t="s">
        <v>4</v>
      </c>
      <c r="C102" s="9">
        <v>745043491</v>
      </c>
      <c r="D102" s="9">
        <v>613598914</v>
      </c>
      <c r="E102" s="18">
        <v>23.65</v>
      </c>
      <c r="F102" s="18">
        <v>6.06</v>
      </c>
      <c r="G102" s="18">
        <v>1.54</v>
      </c>
      <c r="H102" s="18">
        <v>3.4</v>
      </c>
      <c r="I102" s="10" t="s">
        <v>212</v>
      </c>
    </row>
    <row r="103" spans="1:9" x14ac:dyDescent="0.25">
      <c r="A103" t="s">
        <v>68</v>
      </c>
      <c r="B103" s="1" t="s">
        <v>5</v>
      </c>
      <c r="C103" s="9">
        <v>776590042</v>
      </c>
      <c r="D103" s="9">
        <v>644840182</v>
      </c>
      <c r="E103" s="18">
        <v>22.81</v>
      </c>
      <c r="F103" s="18">
        <v>6.05</v>
      </c>
      <c r="G103" s="18">
        <v>1.43</v>
      </c>
      <c r="H103" s="18">
        <v>3.59</v>
      </c>
      <c r="I103" s="10" t="s">
        <v>213</v>
      </c>
    </row>
    <row r="104" spans="1:9" x14ac:dyDescent="0.25">
      <c r="A104" t="s">
        <v>68</v>
      </c>
      <c r="B104" s="1" t="s">
        <v>6</v>
      </c>
      <c r="C104" s="9">
        <v>783814134</v>
      </c>
      <c r="D104" s="9">
        <v>645456872</v>
      </c>
      <c r="E104" s="18">
        <v>23.19</v>
      </c>
      <c r="F104" s="18">
        <v>6.07</v>
      </c>
      <c r="G104" s="18">
        <v>1.44</v>
      </c>
      <c r="H104" s="18">
        <v>3.86</v>
      </c>
      <c r="I104" s="10" t="s">
        <v>214</v>
      </c>
    </row>
    <row r="105" spans="1:9" x14ac:dyDescent="0.25">
      <c r="A105" t="s">
        <v>68</v>
      </c>
      <c r="B105" s="1" t="s">
        <v>7</v>
      </c>
      <c r="C105" s="9">
        <v>808648119</v>
      </c>
      <c r="D105" s="9">
        <v>662728654</v>
      </c>
      <c r="E105" s="18">
        <v>23.39</v>
      </c>
      <c r="F105" s="16">
        <v>6.13</v>
      </c>
      <c r="G105" s="18">
        <v>1.41</v>
      </c>
      <c r="H105" s="18">
        <v>4.01</v>
      </c>
      <c r="I105" s="10" t="s">
        <v>215</v>
      </c>
    </row>
    <row r="106" spans="1:9" x14ac:dyDescent="0.25">
      <c r="A106" t="s">
        <v>68</v>
      </c>
      <c r="B106" s="1" t="s">
        <v>8</v>
      </c>
      <c r="C106" s="9">
        <v>814559087</v>
      </c>
      <c r="D106" s="9">
        <v>662003462</v>
      </c>
      <c r="E106" s="16">
        <v>24.49</v>
      </c>
      <c r="F106" s="18">
        <v>6.19</v>
      </c>
      <c r="G106" s="18">
        <v>1.47</v>
      </c>
      <c r="H106" s="18">
        <v>3.46</v>
      </c>
      <c r="I106" s="10" t="s">
        <v>216</v>
      </c>
    </row>
    <row r="107" spans="1:9" x14ac:dyDescent="0.25">
      <c r="A107" t="s">
        <v>68</v>
      </c>
      <c r="B107" s="1" t="s">
        <v>9</v>
      </c>
      <c r="C107" s="9">
        <v>853642798</v>
      </c>
      <c r="D107" s="9">
        <v>700334729</v>
      </c>
      <c r="E107" s="18">
        <v>23.58</v>
      </c>
      <c r="F107" s="18">
        <v>6.24</v>
      </c>
      <c r="G107" s="18">
        <v>1.41</v>
      </c>
      <c r="H107" s="18">
        <v>3.7</v>
      </c>
      <c r="I107" s="10" t="s">
        <v>217</v>
      </c>
    </row>
    <row r="108" spans="1:9" x14ac:dyDescent="0.25">
      <c r="A108" t="s">
        <v>68</v>
      </c>
      <c r="B108" s="1" t="s">
        <v>10</v>
      </c>
      <c r="C108" s="9">
        <v>875677023</v>
      </c>
      <c r="D108" s="9">
        <v>714323797</v>
      </c>
      <c r="E108" s="18">
        <v>23.79</v>
      </c>
      <c r="F108" s="18">
        <v>6.23</v>
      </c>
      <c r="G108" s="18">
        <v>1.62</v>
      </c>
      <c r="H108" s="18">
        <v>3.98</v>
      </c>
      <c r="I108" s="10" t="s">
        <v>218</v>
      </c>
    </row>
    <row r="109" spans="1:9" x14ac:dyDescent="0.25">
      <c r="A109" t="s">
        <v>68</v>
      </c>
      <c r="B109" s="1" t="s">
        <v>11</v>
      </c>
      <c r="C109" s="9">
        <v>899035962</v>
      </c>
      <c r="D109" s="9">
        <v>732089376</v>
      </c>
      <c r="E109" s="18">
        <v>23.8</v>
      </c>
      <c r="F109" s="18">
        <v>6.24</v>
      </c>
      <c r="G109" s="18">
        <v>1.34</v>
      </c>
      <c r="H109" s="18">
        <v>4.0199999999999996</v>
      </c>
      <c r="I109" s="10" t="s">
        <v>219</v>
      </c>
    </row>
    <row r="110" spans="1:9" x14ac:dyDescent="0.25">
      <c r="A110" t="s">
        <v>68</v>
      </c>
      <c r="B110" s="1" t="s">
        <v>12</v>
      </c>
      <c r="C110" s="9">
        <v>953701928</v>
      </c>
      <c r="D110" s="9">
        <v>789848583</v>
      </c>
      <c r="E110" s="18">
        <v>22.5</v>
      </c>
      <c r="F110" s="18">
        <v>6.13</v>
      </c>
      <c r="G110" s="18">
        <v>1.6</v>
      </c>
      <c r="H110" s="18">
        <v>3.17</v>
      </c>
      <c r="I110" s="10" t="s">
        <v>220</v>
      </c>
    </row>
    <row r="111" spans="1:9" x14ac:dyDescent="0.25">
      <c r="A111" t="s">
        <v>68</v>
      </c>
      <c r="B111" s="1" t="s">
        <v>13</v>
      </c>
      <c r="C111" s="9">
        <v>957694444</v>
      </c>
      <c r="D111" s="9">
        <v>795809041</v>
      </c>
      <c r="E111" s="18">
        <v>22.93</v>
      </c>
      <c r="F111" s="18">
        <v>5.96</v>
      </c>
      <c r="G111" s="18">
        <v>2.08</v>
      </c>
      <c r="H111" s="18">
        <v>3.12</v>
      </c>
      <c r="I111" s="10" t="s">
        <v>221</v>
      </c>
    </row>
    <row r="112" spans="1:9" x14ac:dyDescent="0.25">
      <c r="A112" t="s">
        <v>68</v>
      </c>
      <c r="B112" s="1" t="s">
        <v>14</v>
      </c>
      <c r="C112" s="9">
        <v>985845932</v>
      </c>
      <c r="D112" s="9">
        <v>814244558</v>
      </c>
      <c r="E112" s="18">
        <v>24.72</v>
      </c>
      <c r="F112" s="18">
        <v>5.83</v>
      </c>
      <c r="G112" s="18">
        <v>1.93</v>
      </c>
      <c r="H112" s="18">
        <v>3.38</v>
      </c>
      <c r="I112" s="10" t="s">
        <v>222</v>
      </c>
    </row>
    <row r="113" spans="1:9" x14ac:dyDescent="0.25">
      <c r="A113" t="s">
        <v>68</v>
      </c>
      <c r="B113" s="1" t="s">
        <v>15</v>
      </c>
      <c r="C113" s="9">
        <v>1056362108</v>
      </c>
      <c r="D113" s="9">
        <v>879758243</v>
      </c>
      <c r="E113" s="18">
        <v>25.83</v>
      </c>
      <c r="F113" s="18">
        <v>5.7</v>
      </c>
      <c r="G113" s="18">
        <v>1.79</v>
      </c>
      <c r="H113" s="18">
        <v>3.32</v>
      </c>
      <c r="I113" s="10" t="s">
        <v>223</v>
      </c>
    </row>
    <row r="114" spans="1:9" x14ac:dyDescent="0.25">
      <c r="A114" t="s">
        <v>68</v>
      </c>
      <c r="B114" s="1" t="s">
        <v>16</v>
      </c>
      <c r="C114" s="9">
        <v>1071238142</v>
      </c>
      <c r="D114" s="9">
        <v>900960045</v>
      </c>
      <c r="E114" s="18">
        <v>24.53</v>
      </c>
      <c r="F114" s="18">
        <v>5.3</v>
      </c>
      <c r="G114" s="16">
        <v>1.83</v>
      </c>
      <c r="H114" s="18">
        <v>3.05</v>
      </c>
      <c r="I114" s="10" t="s">
        <v>224</v>
      </c>
    </row>
    <row r="115" spans="1:9" x14ac:dyDescent="0.25">
      <c r="A115" t="s">
        <v>68</v>
      </c>
      <c r="B115" s="1" t="s">
        <v>17</v>
      </c>
      <c r="C115" s="9">
        <v>1109512267</v>
      </c>
      <c r="D115" s="9">
        <v>930782854</v>
      </c>
      <c r="E115" s="18">
        <v>25.33</v>
      </c>
      <c r="F115" s="18">
        <v>5.25</v>
      </c>
      <c r="G115" s="18">
        <v>2.39</v>
      </c>
      <c r="H115" s="18">
        <v>3.14</v>
      </c>
      <c r="I115" s="10" t="s">
        <v>225</v>
      </c>
    </row>
    <row r="116" spans="1:9" x14ac:dyDescent="0.25">
      <c r="A116" t="s">
        <v>68</v>
      </c>
      <c r="B116" s="1" t="s">
        <v>18</v>
      </c>
      <c r="C116" s="9">
        <v>1148850342</v>
      </c>
      <c r="D116" s="9">
        <v>958488912</v>
      </c>
      <c r="E116" s="18">
        <v>26.15</v>
      </c>
      <c r="F116" s="18">
        <v>5.17</v>
      </c>
      <c r="G116" s="18">
        <v>2.36</v>
      </c>
      <c r="H116" s="18">
        <v>3.49</v>
      </c>
      <c r="I116" s="10" t="s">
        <v>226</v>
      </c>
    </row>
    <row r="117" spans="1:9" x14ac:dyDescent="0.25">
      <c r="A117" t="s">
        <v>68</v>
      </c>
      <c r="B117" s="1" t="s">
        <v>19</v>
      </c>
      <c r="C117" s="7">
        <v>1205491799</v>
      </c>
      <c r="D117" s="9">
        <v>1010780237</v>
      </c>
      <c r="E117" s="18">
        <v>25.66</v>
      </c>
      <c r="F117" s="18">
        <v>5.0999999999999996</v>
      </c>
      <c r="G117" s="18">
        <v>2.16</v>
      </c>
      <c r="H117" s="18">
        <v>3.41</v>
      </c>
      <c r="I117" s="10" t="s">
        <v>227</v>
      </c>
    </row>
    <row r="118" spans="1:9" x14ac:dyDescent="0.25">
      <c r="A118" t="s">
        <v>68</v>
      </c>
      <c r="B118" s="1" t="s">
        <v>20</v>
      </c>
      <c r="C118" s="10" t="s">
        <v>104</v>
      </c>
      <c r="D118" s="10" t="s">
        <v>228</v>
      </c>
      <c r="E118" s="18" t="s">
        <v>229</v>
      </c>
      <c r="F118" s="18" t="s">
        <v>230</v>
      </c>
      <c r="G118" s="18" t="s">
        <v>231</v>
      </c>
      <c r="H118" s="18" t="s">
        <v>233</v>
      </c>
      <c r="I118" s="10" t="s">
        <v>234</v>
      </c>
    </row>
    <row r="119" spans="1:9" x14ac:dyDescent="0.25">
      <c r="A119" t="s">
        <v>68</v>
      </c>
      <c r="B119" s="1" t="s">
        <v>21</v>
      </c>
      <c r="C119" s="10" t="s">
        <v>105</v>
      </c>
      <c r="D119" s="10" t="s">
        <v>235</v>
      </c>
      <c r="E119" s="18" t="s">
        <v>236</v>
      </c>
      <c r="F119" s="18" t="s">
        <v>210</v>
      </c>
      <c r="G119" s="18" t="s">
        <v>237</v>
      </c>
      <c r="H119" s="18" t="s">
        <v>238</v>
      </c>
      <c r="I119" s="10" t="s">
        <v>239</v>
      </c>
    </row>
    <row r="120" spans="1:9" x14ac:dyDescent="0.25">
      <c r="A120" t="s">
        <v>68</v>
      </c>
      <c r="B120" s="1" t="s">
        <v>22</v>
      </c>
      <c r="C120" s="10" t="s">
        <v>106</v>
      </c>
      <c r="D120" s="10" t="s">
        <v>240</v>
      </c>
      <c r="E120" s="18" t="s">
        <v>241</v>
      </c>
      <c r="F120" s="18" t="s">
        <v>242</v>
      </c>
      <c r="G120" s="18" t="s">
        <v>243</v>
      </c>
      <c r="H120" s="18" t="s">
        <v>244</v>
      </c>
      <c r="I120" s="10" t="s">
        <v>246</v>
      </c>
    </row>
    <row r="121" spans="1:9" x14ac:dyDescent="0.25">
      <c r="A121" t="s">
        <v>68</v>
      </c>
      <c r="B121" s="1" t="s">
        <v>23</v>
      </c>
      <c r="C121" s="7">
        <v>1283366355</v>
      </c>
      <c r="D121" s="7">
        <v>1071152485</v>
      </c>
      <c r="E121" s="16">
        <v>25.77</v>
      </c>
      <c r="F121" s="18">
        <v>5.34</v>
      </c>
      <c r="G121" s="18">
        <v>1.71</v>
      </c>
      <c r="H121" s="18">
        <v>3.91</v>
      </c>
      <c r="I121" s="7">
        <v>33892635</v>
      </c>
    </row>
    <row r="122" spans="1:9" x14ac:dyDescent="0.25">
      <c r="A122" t="s">
        <v>69</v>
      </c>
      <c r="B122" s="1" t="s">
        <v>4</v>
      </c>
      <c r="C122" s="2">
        <v>160883617</v>
      </c>
      <c r="D122" s="9">
        <v>141756924</v>
      </c>
      <c r="E122" s="17">
        <v>17.86</v>
      </c>
      <c r="F122" s="17">
        <v>4.01</v>
      </c>
      <c r="G122" s="18">
        <v>3.25</v>
      </c>
      <c r="H122" s="18">
        <v>1.17</v>
      </c>
      <c r="I122" s="10" t="s">
        <v>247</v>
      </c>
    </row>
    <row r="123" spans="1:9" x14ac:dyDescent="0.25">
      <c r="A123" t="s">
        <v>69</v>
      </c>
      <c r="B123" s="1" t="s">
        <v>5</v>
      </c>
      <c r="C123" s="2">
        <v>155896565</v>
      </c>
      <c r="D123" s="9">
        <v>134861531</v>
      </c>
      <c r="E123" s="17">
        <v>19.2</v>
      </c>
      <c r="F123" s="17">
        <v>4.1900000000000004</v>
      </c>
      <c r="G123" s="18">
        <v>2.93</v>
      </c>
      <c r="H123" s="18">
        <v>1.23</v>
      </c>
      <c r="I123" s="10" t="s">
        <v>248</v>
      </c>
    </row>
    <row r="124" spans="1:9" x14ac:dyDescent="0.25">
      <c r="A124" t="s">
        <v>69</v>
      </c>
      <c r="B124" s="1" t="s">
        <v>6</v>
      </c>
      <c r="C124" s="2">
        <v>157955044</v>
      </c>
      <c r="D124" s="9">
        <v>136440529</v>
      </c>
      <c r="E124" s="17">
        <v>19.04</v>
      </c>
      <c r="F124" s="17">
        <v>4.34</v>
      </c>
      <c r="G124" s="18">
        <v>2.83</v>
      </c>
      <c r="H124" s="18">
        <v>1.35</v>
      </c>
      <c r="I124" s="10" t="s">
        <v>249</v>
      </c>
    </row>
    <row r="125" spans="1:9" x14ac:dyDescent="0.25">
      <c r="A125" t="s">
        <v>69</v>
      </c>
      <c r="B125" s="1" t="s">
        <v>7</v>
      </c>
      <c r="C125" s="2">
        <v>163236041</v>
      </c>
      <c r="D125" s="9">
        <v>140650037</v>
      </c>
      <c r="E125" s="17">
        <v>19.09</v>
      </c>
      <c r="F125" s="17">
        <v>4.3499999999999996</v>
      </c>
      <c r="G125" s="18">
        <v>2.66</v>
      </c>
      <c r="H125" s="18">
        <v>1.48</v>
      </c>
      <c r="I125" s="10" t="s">
        <v>250</v>
      </c>
    </row>
    <row r="126" spans="1:9" x14ac:dyDescent="0.25">
      <c r="A126" t="s">
        <v>69</v>
      </c>
      <c r="B126" s="1" t="s">
        <v>8</v>
      </c>
      <c r="C126" s="2">
        <v>173997784</v>
      </c>
      <c r="D126" s="9">
        <v>151573563</v>
      </c>
      <c r="E126" s="17">
        <v>18.739999999999998</v>
      </c>
      <c r="F126" s="17">
        <v>4.12</v>
      </c>
      <c r="G126" s="18">
        <v>3.01</v>
      </c>
      <c r="H126" s="18">
        <v>0.96</v>
      </c>
      <c r="I126" s="10" t="s">
        <v>251</v>
      </c>
    </row>
    <row r="127" spans="1:9" x14ac:dyDescent="0.25">
      <c r="A127" t="s">
        <v>69</v>
      </c>
      <c r="B127" s="1" t="s">
        <v>9</v>
      </c>
      <c r="C127" s="2">
        <v>169266124</v>
      </c>
      <c r="D127" s="9">
        <v>146471068</v>
      </c>
      <c r="E127" s="17">
        <v>19.059999999999999</v>
      </c>
      <c r="F127" s="17">
        <v>4.0199999999999996</v>
      </c>
      <c r="G127" s="16">
        <v>3.22</v>
      </c>
      <c r="H127" s="18">
        <v>0.89</v>
      </c>
      <c r="I127" s="10" t="s">
        <v>252</v>
      </c>
    </row>
    <row r="128" spans="1:9" x14ac:dyDescent="0.25">
      <c r="A128" t="s">
        <v>69</v>
      </c>
      <c r="B128" s="1" t="s">
        <v>10</v>
      </c>
      <c r="C128" s="2">
        <v>163721487</v>
      </c>
      <c r="D128" s="9">
        <v>140718796</v>
      </c>
      <c r="E128" s="17">
        <v>20.059999999999999</v>
      </c>
      <c r="F128" s="17">
        <v>4.09</v>
      </c>
      <c r="G128" s="18">
        <v>2.78</v>
      </c>
      <c r="H128" s="18">
        <v>0.82</v>
      </c>
      <c r="I128" s="10" t="s">
        <v>253</v>
      </c>
    </row>
    <row r="129" spans="1:9" x14ac:dyDescent="0.25">
      <c r="A129" t="s">
        <v>69</v>
      </c>
      <c r="B129" s="1" t="s">
        <v>11</v>
      </c>
      <c r="C129" s="2">
        <v>154703225</v>
      </c>
      <c r="D129" s="9">
        <v>131071750</v>
      </c>
      <c r="E129" s="17">
        <v>21.42</v>
      </c>
      <c r="F129" s="17">
        <v>4.1399999999999997</v>
      </c>
      <c r="G129" s="18">
        <v>3.62</v>
      </c>
      <c r="H129" s="18">
        <v>1.0900000000000001</v>
      </c>
      <c r="I129" s="10" t="s">
        <v>254</v>
      </c>
    </row>
    <row r="130" spans="1:9" x14ac:dyDescent="0.25">
      <c r="A130" t="s">
        <v>69</v>
      </c>
      <c r="B130" s="1" t="s">
        <v>12</v>
      </c>
      <c r="C130" s="2">
        <v>167608969</v>
      </c>
      <c r="D130" s="9">
        <v>144995811</v>
      </c>
      <c r="E130" s="17">
        <v>20.53</v>
      </c>
      <c r="F130" s="17">
        <v>4.12</v>
      </c>
      <c r="G130" s="18">
        <v>3.97</v>
      </c>
      <c r="H130" s="18">
        <v>1.37</v>
      </c>
      <c r="I130" s="10" t="s">
        <v>255</v>
      </c>
    </row>
    <row r="131" spans="1:9" x14ac:dyDescent="0.25">
      <c r="A131" t="s">
        <v>69</v>
      </c>
      <c r="B131" s="1" t="s">
        <v>13</v>
      </c>
      <c r="C131" s="2">
        <v>151741055</v>
      </c>
      <c r="D131" s="9">
        <v>128568582</v>
      </c>
      <c r="E131" s="17">
        <v>21.98</v>
      </c>
      <c r="F131" s="17">
        <v>4.13</v>
      </c>
      <c r="G131" s="18">
        <v>5.23</v>
      </c>
      <c r="H131" s="18">
        <v>1.01</v>
      </c>
      <c r="I131" s="10" t="s">
        <v>256</v>
      </c>
    </row>
    <row r="132" spans="1:9" x14ac:dyDescent="0.25">
      <c r="A132" t="s">
        <v>69</v>
      </c>
      <c r="B132" s="1" t="s">
        <v>14</v>
      </c>
      <c r="C132" s="2">
        <v>166139379</v>
      </c>
      <c r="D132" s="9">
        <v>142672697</v>
      </c>
      <c r="E132" s="17">
        <v>23.36</v>
      </c>
      <c r="F132" s="17">
        <v>3.92</v>
      </c>
      <c r="G132" s="18">
        <v>4.51</v>
      </c>
      <c r="H132" s="18">
        <v>0.88</v>
      </c>
      <c r="I132" s="10" t="s">
        <v>257</v>
      </c>
    </row>
    <row r="133" spans="1:9" x14ac:dyDescent="0.25">
      <c r="A133" t="s">
        <v>69</v>
      </c>
      <c r="B133" s="1" t="s">
        <v>15</v>
      </c>
      <c r="C133" s="2">
        <v>162579069</v>
      </c>
      <c r="D133" s="9">
        <v>138613597</v>
      </c>
      <c r="E133" s="17">
        <v>24.25</v>
      </c>
      <c r="F133" s="17">
        <v>3.79</v>
      </c>
      <c r="G133" s="18">
        <v>4.13</v>
      </c>
      <c r="H133" s="18">
        <v>0.82</v>
      </c>
      <c r="I133" s="10" t="s">
        <v>258</v>
      </c>
    </row>
    <row r="134" spans="1:9" x14ac:dyDescent="0.25">
      <c r="A134" t="s">
        <v>69</v>
      </c>
      <c r="B134" s="1" t="s">
        <v>16</v>
      </c>
      <c r="C134" s="2">
        <v>164370126</v>
      </c>
      <c r="D134" s="9">
        <v>140582682</v>
      </c>
      <c r="E134" s="17">
        <v>24.74</v>
      </c>
      <c r="F134" s="17">
        <v>4.3499999999999996</v>
      </c>
      <c r="G134" s="18">
        <v>4.16</v>
      </c>
      <c r="H134" s="18">
        <v>1.1499999999999999</v>
      </c>
      <c r="I134" s="10" t="s">
        <v>259</v>
      </c>
    </row>
    <row r="135" spans="1:9" x14ac:dyDescent="0.25">
      <c r="A135" t="s">
        <v>69</v>
      </c>
      <c r="B135" s="1" t="s">
        <v>17</v>
      </c>
      <c r="C135" s="2">
        <v>152055984</v>
      </c>
      <c r="D135" s="9">
        <v>128143045</v>
      </c>
      <c r="E135" s="17">
        <v>25.41</v>
      </c>
      <c r="F135" s="17">
        <v>3.71</v>
      </c>
      <c r="G135" s="18">
        <v>4.66</v>
      </c>
      <c r="H135" s="18">
        <v>0.59</v>
      </c>
      <c r="I135" s="10" t="s">
        <v>260</v>
      </c>
    </row>
    <row r="136" spans="1:9" x14ac:dyDescent="0.25">
      <c r="A136" t="s">
        <v>69</v>
      </c>
      <c r="B136" s="1" t="s">
        <v>18</v>
      </c>
      <c r="C136" s="2">
        <v>144079298</v>
      </c>
      <c r="D136" s="9">
        <v>119689489</v>
      </c>
      <c r="E136" s="17">
        <v>26.01</v>
      </c>
      <c r="F136" s="17">
        <v>3.98</v>
      </c>
      <c r="G136" s="18">
        <v>4.99</v>
      </c>
      <c r="H136" s="18">
        <v>0.9</v>
      </c>
      <c r="I136" s="10" t="s">
        <v>261</v>
      </c>
    </row>
    <row r="137" spans="1:9" x14ac:dyDescent="0.25">
      <c r="A137" t="s">
        <v>69</v>
      </c>
      <c r="B137" s="1" t="s">
        <v>19</v>
      </c>
      <c r="C137" s="2">
        <v>157962140</v>
      </c>
      <c r="D137" s="9">
        <v>132997732</v>
      </c>
      <c r="E137" s="17">
        <v>26.38</v>
      </c>
      <c r="F137" s="17">
        <v>3.95</v>
      </c>
      <c r="G137" s="17">
        <v>4.04</v>
      </c>
      <c r="H137" s="17">
        <v>1</v>
      </c>
      <c r="I137" s="10" t="s">
        <v>262</v>
      </c>
    </row>
    <row r="138" spans="1:9" x14ac:dyDescent="0.25">
      <c r="A138" t="s">
        <v>69</v>
      </c>
      <c r="B138" s="1" t="s">
        <v>20</v>
      </c>
      <c r="C138" s="10" t="s">
        <v>107</v>
      </c>
      <c r="D138" s="10" t="s">
        <v>263</v>
      </c>
      <c r="E138" s="18" t="s">
        <v>264</v>
      </c>
      <c r="F138" s="17" t="s">
        <v>265</v>
      </c>
      <c r="G138" s="18" t="s">
        <v>266</v>
      </c>
      <c r="H138" s="17" t="s">
        <v>268</v>
      </c>
      <c r="I138" s="10" t="s">
        <v>269</v>
      </c>
    </row>
    <row r="139" spans="1:9" x14ac:dyDescent="0.25">
      <c r="A139" t="s">
        <v>69</v>
      </c>
      <c r="B139" s="1" t="s">
        <v>21</v>
      </c>
      <c r="C139" s="10" t="s">
        <v>108</v>
      </c>
      <c r="D139" s="10" t="s">
        <v>270</v>
      </c>
      <c r="E139" s="18" t="s">
        <v>271</v>
      </c>
      <c r="F139" s="17" t="s">
        <v>265</v>
      </c>
      <c r="G139" s="18" t="s">
        <v>272</v>
      </c>
      <c r="H139" s="18" t="s">
        <v>273</v>
      </c>
      <c r="I139" s="10" t="s">
        <v>275</v>
      </c>
    </row>
    <row r="140" spans="1:9" x14ac:dyDescent="0.25">
      <c r="A140" t="s">
        <v>69</v>
      </c>
      <c r="B140" s="1" t="s">
        <v>22</v>
      </c>
      <c r="C140" s="10" t="s">
        <v>109</v>
      </c>
      <c r="D140" s="10" t="s">
        <v>276</v>
      </c>
      <c r="E140" s="18" t="s">
        <v>277</v>
      </c>
      <c r="F140" s="17" t="s">
        <v>278</v>
      </c>
      <c r="G140" s="18" t="s">
        <v>279</v>
      </c>
      <c r="H140" s="18" t="s">
        <v>280</v>
      </c>
      <c r="I140" s="10" t="s">
        <v>281</v>
      </c>
    </row>
    <row r="141" spans="1:9" x14ac:dyDescent="0.25">
      <c r="A141" t="s">
        <v>69</v>
      </c>
      <c r="B141" s="1" t="s">
        <v>23</v>
      </c>
      <c r="C141" s="7">
        <v>148946390</v>
      </c>
      <c r="D141" s="7">
        <v>123797093</v>
      </c>
      <c r="E141" s="17">
        <v>25.66</v>
      </c>
      <c r="F141" s="17">
        <v>4.0599999999999996</v>
      </c>
      <c r="G141" s="17" t="s">
        <v>195</v>
      </c>
      <c r="H141" s="17" t="s">
        <v>232</v>
      </c>
      <c r="I141" s="7">
        <v>3154611</v>
      </c>
    </row>
    <row r="142" spans="1:9" x14ac:dyDescent="0.25">
      <c r="A142" t="s">
        <v>70</v>
      </c>
      <c r="B142" s="1" t="s">
        <v>4</v>
      </c>
      <c r="C142" s="2">
        <v>197923174</v>
      </c>
      <c r="D142" s="9">
        <v>164835318</v>
      </c>
      <c r="E142" s="17">
        <v>22.35</v>
      </c>
      <c r="F142" s="17">
        <v>4.3499999999999996</v>
      </c>
      <c r="G142" s="17">
        <v>2.65</v>
      </c>
      <c r="H142" s="17">
        <v>1.65</v>
      </c>
      <c r="I142" s="10" t="s">
        <v>282</v>
      </c>
    </row>
    <row r="143" spans="1:9" x14ac:dyDescent="0.25">
      <c r="A143" t="s">
        <v>70</v>
      </c>
      <c r="B143" s="1" t="s">
        <v>5</v>
      </c>
      <c r="C143" s="2">
        <v>189452263</v>
      </c>
      <c r="D143" s="9">
        <v>155757237</v>
      </c>
      <c r="E143" s="17">
        <v>21.7</v>
      </c>
      <c r="F143" s="17">
        <v>4.5</v>
      </c>
      <c r="G143" s="17">
        <v>2.78</v>
      </c>
      <c r="H143" s="17">
        <v>1.66</v>
      </c>
      <c r="I143" s="10" t="s">
        <v>283</v>
      </c>
    </row>
    <row r="144" spans="1:9" x14ac:dyDescent="0.25">
      <c r="A144" t="s">
        <v>70</v>
      </c>
      <c r="B144" s="1" t="s">
        <v>6</v>
      </c>
      <c r="C144" s="2">
        <v>186831938</v>
      </c>
      <c r="D144" s="9">
        <v>152274740</v>
      </c>
      <c r="E144" s="17">
        <v>23.04</v>
      </c>
      <c r="F144" s="17">
        <v>4.5999999999999996</v>
      </c>
      <c r="G144" s="17">
        <v>3.08</v>
      </c>
      <c r="H144" s="17">
        <v>1.92</v>
      </c>
      <c r="I144" s="10" t="s">
        <v>284</v>
      </c>
    </row>
    <row r="145" spans="1:9" x14ac:dyDescent="0.25">
      <c r="A145" t="s">
        <v>70</v>
      </c>
      <c r="B145" s="1" t="s">
        <v>7</v>
      </c>
      <c r="C145" s="2">
        <v>188898490</v>
      </c>
      <c r="D145" s="9">
        <v>152650039</v>
      </c>
      <c r="E145" s="17">
        <v>23.49</v>
      </c>
      <c r="F145" s="17">
        <v>4.6100000000000003</v>
      </c>
      <c r="G145" s="17">
        <v>2.97</v>
      </c>
      <c r="H145" s="17">
        <v>2.25</v>
      </c>
      <c r="I145" s="10" t="s">
        <v>285</v>
      </c>
    </row>
    <row r="146" spans="1:9" x14ac:dyDescent="0.25">
      <c r="A146" t="s">
        <v>70</v>
      </c>
      <c r="B146" s="1" t="s">
        <v>8</v>
      </c>
      <c r="C146" s="2">
        <v>192838094</v>
      </c>
      <c r="D146" s="9">
        <v>155892716</v>
      </c>
      <c r="E146" s="17">
        <v>23.89</v>
      </c>
      <c r="F146" s="17">
        <v>4.4400000000000004</v>
      </c>
      <c r="G146" s="17">
        <v>3.03</v>
      </c>
      <c r="H146" s="17">
        <v>1.94</v>
      </c>
      <c r="I146" s="10" t="s">
        <v>286</v>
      </c>
    </row>
    <row r="147" spans="1:9" x14ac:dyDescent="0.25">
      <c r="A147" t="s">
        <v>70</v>
      </c>
      <c r="B147" s="1" t="s">
        <v>9</v>
      </c>
      <c r="C147" s="2">
        <v>193984292</v>
      </c>
      <c r="D147" s="9">
        <v>156251331</v>
      </c>
      <c r="E147" s="17">
        <v>23.81</v>
      </c>
      <c r="F147" s="17">
        <v>4.43</v>
      </c>
      <c r="G147" s="17">
        <v>2.94</v>
      </c>
      <c r="H147" s="17">
        <v>2.0099999999999998</v>
      </c>
      <c r="I147" s="10" t="s">
        <v>287</v>
      </c>
    </row>
    <row r="148" spans="1:9" x14ac:dyDescent="0.25">
      <c r="A148" t="s">
        <v>70</v>
      </c>
      <c r="B148" s="1" t="s">
        <v>10</v>
      </c>
      <c r="C148" s="2">
        <v>192939358</v>
      </c>
      <c r="D148" s="9">
        <v>154474240</v>
      </c>
      <c r="E148" s="17">
        <v>23.8</v>
      </c>
      <c r="F148" s="17">
        <v>4.5199999999999996</v>
      </c>
      <c r="G148" s="17">
        <v>2.95</v>
      </c>
      <c r="H148" s="17">
        <v>2.02</v>
      </c>
      <c r="I148" s="10" t="s">
        <v>288</v>
      </c>
    </row>
    <row r="149" spans="1:9" x14ac:dyDescent="0.25">
      <c r="A149" t="s">
        <v>70</v>
      </c>
      <c r="B149" s="1" t="s">
        <v>11</v>
      </c>
      <c r="C149" s="2">
        <v>190252348</v>
      </c>
      <c r="D149" s="9">
        <v>150599172</v>
      </c>
      <c r="E149" s="17">
        <v>24.07</v>
      </c>
      <c r="F149" s="17">
        <v>4.63</v>
      </c>
      <c r="G149" s="17">
        <v>3.02</v>
      </c>
      <c r="H149" s="17">
        <v>2.09</v>
      </c>
      <c r="I149" s="10" t="s">
        <v>289</v>
      </c>
    </row>
    <row r="150" spans="1:9" x14ac:dyDescent="0.25">
      <c r="A150" t="s">
        <v>70</v>
      </c>
      <c r="B150" s="1" t="s">
        <v>12</v>
      </c>
      <c r="C150" s="7">
        <v>185132358</v>
      </c>
      <c r="D150" s="9">
        <v>147466329</v>
      </c>
      <c r="E150" s="16">
        <v>24.48</v>
      </c>
      <c r="F150" s="18">
        <v>5.08</v>
      </c>
      <c r="G150" s="18">
        <v>2.89</v>
      </c>
      <c r="H150" s="18">
        <v>2</v>
      </c>
      <c r="I150" s="10" t="s">
        <v>290</v>
      </c>
    </row>
    <row r="151" spans="1:9" x14ac:dyDescent="0.25">
      <c r="A151" t="s">
        <v>70</v>
      </c>
      <c r="B151" s="1" t="s">
        <v>13</v>
      </c>
      <c r="C151" s="9">
        <v>192810389</v>
      </c>
      <c r="D151" s="9">
        <v>153831620</v>
      </c>
      <c r="E151" s="18">
        <v>26.7</v>
      </c>
      <c r="F151" s="18">
        <v>4.6100000000000003</v>
      </c>
      <c r="G151" s="18">
        <v>2.9</v>
      </c>
      <c r="H151" s="18">
        <v>1.77</v>
      </c>
      <c r="I151" s="10" t="s">
        <v>291</v>
      </c>
    </row>
    <row r="152" spans="1:9" x14ac:dyDescent="0.25">
      <c r="A152" t="s">
        <v>70</v>
      </c>
      <c r="B152" s="1" t="s">
        <v>14</v>
      </c>
      <c r="C152" s="9">
        <v>198216614</v>
      </c>
      <c r="D152" s="9">
        <v>158336698</v>
      </c>
      <c r="E152" s="18">
        <v>28.14</v>
      </c>
      <c r="F152" s="18">
        <v>4.4400000000000004</v>
      </c>
      <c r="G152" s="18">
        <v>2.96</v>
      </c>
      <c r="H152" s="18">
        <v>2.06</v>
      </c>
      <c r="I152" s="10" t="s">
        <v>292</v>
      </c>
    </row>
    <row r="153" spans="1:9" x14ac:dyDescent="0.25">
      <c r="A153" t="s">
        <v>70</v>
      </c>
      <c r="B153" s="1" t="s">
        <v>15</v>
      </c>
      <c r="C153" s="9">
        <v>201319549</v>
      </c>
      <c r="D153" s="9">
        <v>158674429</v>
      </c>
      <c r="E153" s="18">
        <v>29.55</v>
      </c>
      <c r="F153" s="18">
        <v>4.46</v>
      </c>
      <c r="G153" s="18">
        <v>2.93</v>
      </c>
      <c r="H153" s="18">
        <v>2.08</v>
      </c>
      <c r="I153" s="10" t="s">
        <v>293</v>
      </c>
    </row>
    <row r="154" spans="1:9" x14ac:dyDescent="0.25">
      <c r="A154" t="s">
        <v>70</v>
      </c>
      <c r="B154" s="1" t="s">
        <v>16</v>
      </c>
      <c r="C154" s="9">
        <v>190948316</v>
      </c>
      <c r="D154" s="9">
        <v>149734533</v>
      </c>
      <c r="E154" s="18">
        <v>28.15</v>
      </c>
      <c r="F154" s="18">
        <v>4.7</v>
      </c>
      <c r="G154" s="18">
        <v>3.52</v>
      </c>
      <c r="H154" s="18">
        <v>1.49</v>
      </c>
      <c r="I154" s="10" t="s">
        <v>294</v>
      </c>
    </row>
    <row r="155" spans="1:9" x14ac:dyDescent="0.25">
      <c r="A155" t="s">
        <v>70</v>
      </c>
      <c r="B155" s="1" t="s">
        <v>17</v>
      </c>
      <c r="C155" s="9">
        <v>189958177</v>
      </c>
      <c r="D155" s="9">
        <v>147801940</v>
      </c>
      <c r="E155" s="18">
        <v>28.83</v>
      </c>
      <c r="F155" s="18">
        <v>4.8499999999999996</v>
      </c>
      <c r="G155" s="18">
        <v>3.18</v>
      </c>
      <c r="H155" s="18">
        <v>1.78</v>
      </c>
      <c r="I155" s="10" t="s">
        <v>295</v>
      </c>
    </row>
    <row r="156" spans="1:9" x14ac:dyDescent="0.25">
      <c r="A156" t="s">
        <v>70</v>
      </c>
      <c r="B156" s="1" t="s">
        <v>18</v>
      </c>
      <c r="C156" s="9">
        <v>184798507</v>
      </c>
      <c r="D156" s="9">
        <v>141696187</v>
      </c>
      <c r="E156" s="18">
        <v>29.75</v>
      </c>
      <c r="F156" s="18">
        <v>4.88</v>
      </c>
      <c r="G156" s="18">
        <v>3.42</v>
      </c>
      <c r="H156" s="18">
        <v>1.97</v>
      </c>
      <c r="I156" s="10" t="s">
        <v>296</v>
      </c>
    </row>
    <row r="157" spans="1:9" x14ac:dyDescent="0.25">
      <c r="A157" t="s">
        <v>70</v>
      </c>
      <c r="B157" s="1" t="s">
        <v>19</v>
      </c>
      <c r="C157" s="9">
        <v>190667695</v>
      </c>
      <c r="D157" s="9">
        <v>146306198</v>
      </c>
      <c r="E157" s="18">
        <v>29.66</v>
      </c>
      <c r="F157" s="18">
        <v>4.88</v>
      </c>
      <c r="G157" s="18">
        <v>3.73</v>
      </c>
      <c r="H157" s="18">
        <v>1.73</v>
      </c>
      <c r="I157" s="10" t="s">
        <v>297</v>
      </c>
    </row>
    <row r="158" spans="1:9" x14ac:dyDescent="0.25">
      <c r="A158" t="s">
        <v>70</v>
      </c>
      <c r="B158" s="1" t="s">
        <v>20</v>
      </c>
      <c r="C158" s="10" t="s">
        <v>110</v>
      </c>
      <c r="D158" s="10" t="s">
        <v>298</v>
      </c>
      <c r="E158" s="18" t="s">
        <v>299</v>
      </c>
      <c r="F158" s="18" t="s">
        <v>300</v>
      </c>
      <c r="G158" s="18" t="s">
        <v>301</v>
      </c>
      <c r="H158" s="18" t="s">
        <v>302</v>
      </c>
      <c r="I158" s="10" t="s">
        <v>304</v>
      </c>
    </row>
    <row r="159" spans="1:9" x14ac:dyDescent="0.25">
      <c r="A159" t="s">
        <v>70</v>
      </c>
      <c r="B159" s="1" t="s">
        <v>21</v>
      </c>
      <c r="C159" s="10" t="s">
        <v>111</v>
      </c>
      <c r="D159" s="10" t="s">
        <v>305</v>
      </c>
      <c r="E159" s="18" t="s">
        <v>306</v>
      </c>
      <c r="F159" s="18" t="s">
        <v>307</v>
      </c>
      <c r="G159" s="18" t="s">
        <v>308</v>
      </c>
      <c r="H159" s="18" t="s">
        <v>309</v>
      </c>
      <c r="I159" s="10" t="s">
        <v>311</v>
      </c>
    </row>
    <row r="160" spans="1:9" x14ac:dyDescent="0.25">
      <c r="A160" t="s">
        <v>70</v>
      </c>
      <c r="B160" s="1" t="s">
        <v>22</v>
      </c>
      <c r="C160" s="10" t="s">
        <v>112</v>
      </c>
      <c r="D160" s="10" t="s">
        <v>312</v>
      </c>
      <c r="E160" s="18" t="s">
        <v>313</v>
      </c>
      <c r="F160" s="18" t="s">
        <v>314</v>
      </c>
      <c r="G160" s="18" t="s">
        <v>315</v>
      </c>
      <c r="H160" s="18" t="s">
        <v>316</v>
      </c>
      <c r="I160" s="10" t="s">
        <v>317</v>
      </c>
    </row>
    <row r="161" spans="1:9" x14ac:dyDescent="0.25">
      <c r="A161" s="6" t="s">
        <v>70</v>
      </c>
      <c r="B161" s="1" t="s">
        <v>23</v>
      </c>
      <c r="C161" s="8">
        <v>193649452</v>
      </c>
      <c r="D161" s="8">
        <v>147685446</v>
      </c>
      <c r="E161" s="19">
        <v>29.81</v>
      </c>
      <c r="F161" s="19">
        <v>5.2</v>
      </c>
      <c r="G161" s="19">
        <v>3.58</v>
      </c>
      <c r="H161" s="19">
        <v>1.83</v>
      </c>
      <c r="I161" s="8">
        <v>6364830</v>
      </c>
    </row>
    <row r="162" spans="1:9" x14ac:dyDescent="0.25">
      <c r="A162" t="s">
        <v>71</v>
      </c>
      <c r="B162" s="1" t="s">
        <v>4</v>
      </c>
      <c r="C162" s="9">
        <v>255689959</v>
      </c>
      <c r="D162" s="9">
        <v>218577829</v>
      </c>
      <c r="E162" s="18">
        <v>18.66</v>
      </c>
      <c r="F162" s="18">
        <v>4.8099999999999996</v>
      </c>
      <c r="G162" s="18">
        <v>3.54</v>
      </c>
      <c r="H162" s="18">
        <v>1.64</v>
      </c>
      <c r="I162" s="10" t="s">
        <v>318</v>
      </c>
    </row>
    <row r="163" spans="1:9" x14ac:dyDescent="0.25">
      <c r="A163" t="s">
        <v>71</v>
      </c>
      <c r="B163" s="1" t="s">
        <v>5</v>
      </c>
      <c r="C163" s="9">
        <v>258587594</v>
      </c>
      <c r="D163" s="9">
        <v>221601326</v>
      </c>
      <c r="E163" s="18">
        <v>18.13</v>
      </c>
      <c r="F163" s="18">
        <v>4.8600000000000003</v>
      </c>
      <c r="G163" s="18">
        <v>3.4</v>
      </c>
      <c r="H163" s="18">
        <v>1.69</v>
      </c>
      <c r="I163" s="10" t="s">
        <v>319</v>
      </c>
    </row>
    <row r="164" spans="1:9" x14ac:dyDescent="0.25">
      <c r="A164" t="s">
        <v>71</v>
      </c>
      <c r="B164" s="1" t="s">
        <v>6</v>
      </c>
      <c r="C164" s="9">
        <v>259070857</v>
      </c>
      <c r="D164" s="9">
        <v>221196991</v>
      </c>
      <c r="E164" s="18">
        <v>18.97</v>
      </c>
      <c r="F164" s="18">
        <v>4.92</v>
      </c>
      <c r="G164" s="18">
        <v>3.43</v>
      </c>
      <c r="H164" s="18">
        <v>1.73</v>
      </c>
      <c r="I164" s="10" t="s">
        <v>320</v>
      </c>
    </row>
    <row r="165" spans="1:9" x14ac:dyDescent="0.25">
      <c r="A165" t="s">
        <v>71</v>
      </c>
      <c r="B165" s="1" t="s">
        <v>7</v>
      </c>
      <c r="C165" s="9">
        <v>265273866</v>
      </c>
      <c r="D165" s="7">
        <v>226319522</v>
      </c>
      <c r="E165" s="18">
        <v>19.2</v>
      </c>
      <c r="F165" s="18">
        <v>4.96</v>
      </c>
      <c r="G165" s="18">
        <v>3.11</v>
      </c>
      <c r="H165" s="18">
        <v>1.74</v>
      </c>
      <c r="I165" s="10" t="s">
        <v>321</v>
      </c>
    </row>
    <row r="166" spans="1:9" x14ac:dyDescent="0.25">
      <c r="A166" t="s">
        <v>71</v>
      </c>
      <c r="B166" s="1" t="s">
        <v>8</v>
      </c>
      <c r="C166" s="9">
        <v>261262096</v>
      </c>
      <c r="D166" s="9">
        <v>220972166</v>
      </c>
      <c r="E166" s="18">
        <v>19.899999999999999</v>
      </c>
      <c r="F166" s="18">
        <v>5.12</v>
      </c>
      <c r="G166" s="18">
        <v>3.05</v>
      </c>
      <c r="H166" s="18">
        <v>1.91</v>
      </c>
      <c r="I166" s="10" t="s">
        <v>322</v>
      </c>
    </row>
    <row r="167" spans="1:9" x14ac:dyDescent="0.25">
      <c r="A167" t="s">
        <v>71</v>
      </c>
      <c r="B167" s="1" t="s">
        <v>9</v>
      </c>
      <c r="C167" s="9">
        <v>270190664</v>
      </c>
      <c r="D167" s="9">
        <v>229378332</v>
      </c>
      <c r="E167" s="18">
        <v>20.13</v>
      </c>
      <c r="F167" s="18">
        <v>5.41</v>
      </c>
      <c r="G167" s="18">
        <v>2.87</v>
      </c>
      <c r="H167" s="18">
        <v>2.04</v>
      </c>
      <c r="I167" s="10" t="s">
        <v>323</v>
      </c>
    </row>
    <row r="168" spans="1:9" x14ac:dyDescent="0.25">
      <c r="A168" t="s">
        <v>71</v>
      </c>
      <c r="B168" s="1" t="s">
        <v>10</v>
      </c>
      <c r="C168" s="9">
        <v>260881792</v>
      </c>
      <c r="D168" s="9">
        <v>219366255</v>
      </c>
      <c r="E168" s="18">
        <v>20.64</v>
      </c>
      <c r="F168" s="16">
        <v>5.37</v>
      </c>
      <c r="G168" s="16">
        <v>2.62</v>
      </c>
      <c r="H168" s="18">
        <v>1.84</v>
      </c>
      <c r="I168" s="10" t="s">
        <v>324</v>
      </c>
    </row>
    <row r="169" spans="1:9" x14ac:dyDescent="0.25">
      <c r="A169" t="s">
        <v>71</v>
      </c>
      <c r="B169" s="1" t="s">
        <v>11</v>
      </c>
      <c r="C169" s="9">
        <v>272442016</v>
      </c>
      <c r="D169" s="9">
        <v>229957280</v>
      </c>
      <c r="E169" s="18">
        <v>20.92</v>
      </c>
      <c r="F169" s="18">
        <v>5.31</v>
      </c>
      <c r="G169" s="18">
        <v>2.79</v>
      </c>
      <c r="H169" s="18">
        <v>1.86</v>
      </c>
      <c r="I169" s="10" t="s">
        <v>325</v>
      </c>
    </row>
    <row r="170" spans="1:9" x14ac:dyDescent="0.25">
      <c r="A170" t="s">
        <v>71</v>
      </c>
      <c r="B170" s="1" t="s">
        <v>12</v>
      </c>
      <c r="C170" s="9">
        <v>271885773</v>
      </c>
      <c r="D170" s="9">
        <v>232725012</v>
      </c>
      <c r="E170" s="18">
        <v>18.79</v>
      </c>
      <c r="F170" s="18">
        <v>5.0199999999999996</v>
      </c>
      <c r="G170" s="18">
        <v>3.03</v>
      </c>
      <c r="H170" s="18">
        <v>2.1</v>
      </c>
      <c r="I170" s="10" t="s">
        <v>326</v>
      </c>
    </row>
    <row r="171" spans="1:9" x14ac:dyDescent="0.25">
      <c r="A171" t="s">
        <v>71</v>
      </c>
      <c r="B171" s="1" t="s">
        <v>13</v>
      </c>
      <c r="C171" s="9">
        <v>272039821</v>
      </c>
      <c r="D171" s="9">
        <v>233220097</v>
      </c>
      <c r="E171" s="18">
        <v>19.34</v>
      </c>
      <c r="F171" s="18">
        <v>5.05</v>
      </c>
      <c r="G171" s="18">
        <v>3.89</v>
      </c>
      <c r="H171" s="18">
        <v>1.67</v>
      </c>
      <c r="I171" s="10" t="s">
        <v>327</v>
      </c>
    </row>
    <row r="172" spans="1:9" x14ac:dyDescent="0.25">
      <c r="A172" t="s">
        <v>71</v>
      </c>
      <c r="B172" s="1" t="s">
        <v>14</v>
      </c>
      <c r="C172" s="9">
        <v>279200462</v>
      </c>
      <c r="D172" s="9">
        <v>240077625</v>
      </c>
      <c r="E172" s="18">
        <v>20.239999999999998</v>
      </c>
      <c r="F172" s="18">
        <v>4.93</v>
      </c>
      <c r="G172" s="18">
        <v>3.89</v>
      </c>
      <c r="H172" s="18">
        <v>1.28</v>
      </c>
      <c r="I172" s="10" t="s">
        <v>328</v>
      </c>
    </row>
    <row r="173" spans="1:9" x14ac:dyDescent="0.25">
      <c r="A173" t="s">
        <v>71</v>
      </c>
      <c r="B173" s="1" t="s">
        <v>15</v>
      </c>
      <c r="C173" s="9">
        <v>278674061</v>
      </c>
      <c r="D173" s="9">
        <v>238607269</v>
      </c>
      <c r="E173" s="18">
        <v>21.24</v>
      </c>
      <c r="F173" s="18">
        <v>4.88</v>
      </c>
      <c r="G173" s="16">
        <v>3.62</v>
      </c>
      <c r="H173" s="18">
        <v>1.06</v>
      </c>
      <c r="I173" s="10" t="s">
        <v>329</v>
      </c>
    </row>
    <row r="174" spans="1:9" x14ac:dyDescent="0.25">
      <c r="A174" t="s">
        <v>71</v>
      </c>
      <c r="B174" s="1" t="s">
        <v>16</v>
      </c>
      <c r="C174" s="9">
        <v>270049711</v>
      </c>
      <c r="D174" s="9">
        <v>229943527</v>
      </c>
      <c r="E174" s="18">
        <v>21.39</v>
      </c>
      <c r="F174" s="18">
        <v>4.99</v>
      </c>
      <c r="G174" s="18">
        <v>3.85</v>
      </c>
      <c r="H174" s="18">
        <v>1.85</v>
      </c>
      <c r="I174" s="10" t="s">
        <v>330</v>
      </c>
    </row>
    <row r="175" spans="1:9" x14ac:dyDescent="0.25">
      <c r="A175" t="s">
        <v>71</v>
      </c>
      <c r="B175" s="1" t="s">
        <v>17</v>
      </c>
      <c r="C175" s="9">
        <v>286367574</v>
      </c>
      <c r="D175" s="9">
        <v>246017731</v>
      </c>
      <c r="E175" s="18">
        <v>21.35</v>
      </c>
      <c r="F175" s="18">
        <v>4.95</v>
      </c>
      <c r="G175" s="18">
        <v>3.25</v>
      </c>
      <c r="H175" s="18">
        <v>2.0099999999999998</v>
      </c>
      <c r="I175" s="10" t="s">
        <v>331</v>
      </c>
    </row>
    <row r="176" spans="1:9" x14ac:dyDescent="0.25">
      <c r="A176" t="s">
        <v>71</v>
      </c>
      <c r="B176" s="1" t="s">
        <v>18</v>
      </c>
      <c r="C176" s="9">
        <v>292786766</v>
      </c>
      <c r="D176" s="9">
        <v>251347542</v>
      </c>
      <c r="E176" s="18">
        <v>21.92</v>
      </c>
      <c r="F176" s="18">
        <v>4.8600000000000003</v>
      </c>
      <c r="G176" s="18">
        <v>3.39</v>
      </c>
      <c r="H176" s="18">
        <v>1.9</v>
      </c>
      <c r="I176" s="10" t="s">
        <v>332</v>
      </c>
    </row>
    <row r="177" spans="1:9" x14ac:dyDescent="0.25">
      <c r="A177" t="s">
        <v>71</v>
      </c>
      <c r="B177" s="1" t="s">
        <v>19</v>
      </c>
      <c r="C177" s="9">
        <v>307243611</v>
      </c>
      <c r="D177" s="9">
        <v>265025889</v>
      </c>
      <c r="E177" s="18">
        <v>22.29</v>
      </c>
      <c r="F177" s="18">
        <v>4.71</v>
      </c>
      <c r="G177" s="18">
        <v>3.51</v>
      </c>
      <c r="H177" s="18">
        <v>1.75</v>
      </c>
      <c r="I177" s="10" t="s">
        <v>333</v>
      </c>
    </row>
    <row r="178" spans="1:9" x14ac:dyDescent="0.25">
      <c r="A178" t="s">
        <v>71</v>
      </c>
      <c r="B178" s="1" t="s">
        <v>20</v>
      </c>
      <c r="C178" s="10" t="s">
        <v>113</v>
      </c>
      <c r="D178" s="10" t="s">
        <v>334</v>
      </c>
      <c r="E178" s="18" t="s">
        <v>335</v>
      </c>
      <c r="F178" s="18" t="s">
        <v>336</v>
      </c>
      <c r="G178" s="18" t="s">
        <v>337</v>
      </c>
      <c r="H178" s="18" t="s">
        <v>338</v>
      </c>
      <c r="I178" s="10" t="s">
        <v>339</v>
      </c>
    </row>
    <row r="179" spans="1:9" x14ac:dyDescent="0.25">
      <c r="A179" t="s">
        <v>71</v>
      </c>
      <c r="B179" s="1" t="s">
        <v>21</v>
      </c>
      <c r="C179" s="10" t="s">
        <v>114</v>
      </c>
      <c r="D179" s="10" t="s">
        <v>340</v>
      </c>
      <c r="E179" s="18" t="s">
        <v>341</v>
      </c>
      <c r="F179" s="18" t="s">
        <v>342</v>
      </c>
      <c r="G179" s="18" t="s">
        <v>343</v>
      </c>
      <c r="H179" s="18" t="s">
        <v>344</v>
      </c>
      <c r="I179" s="10" t="s">
        <v>345</v>
      </c>
    </row>
    <row r="180" spans="1:9" x14ac:dyDescent="0.25">
      <c r="A180" t="s">
        <v>71</v>
      </c>
      <c r="B180" s="1" t="s">
        <v>22</v>
      </c>
      <c r="C180" s="10" t="s">
        <v>115</v>
      </c>
      <c r="D180" s="10" t="s">
        <v>346</v>
      </c>
      <c r="E180" s="18" t="s">
        <v>347</v>
      </c>
      <c r="F180" s="18" t="s">
        <v>348</v>
      </c>
      <c r="G180" s="18" t="s">
        <v>349</v>
      </c>
      <c r="H180" s="18" t="s">
        <v>350</v>
      </c>
      <c r="I180" s="10" t="s">
        <v>351</v>
      </c>
    </row>
    <row r="181" spans="1:9" x14ac:dyDescent="0.25">
      <c r="A181" t="s">
        <v>71</v>
      </c>
      <c r="B181" s="1" t="s">
        <v>23</v>
      </c>
      <c r="C181" s="7">
        <v>301515827</v>
      </c>
      <c r="D181" s="7">
        <v>257751736</v>
      </c>
      <c r="E181" s="16">
        <v>21.86</v>
      </c>
      <c r="F181" s="18" t="s">
        <v>352</v>
      </c>
      <c r="G181" s="18">
        <v>2.8</v>
      </c>
      <c r="H181" s="18">
        <v>2.16</v>
      </c>
      <c r="I181" s="7">
        <v>13086850</v>
      </c>
    </row>
    <row r="182" spans="1:9" x14ac:dyDescent="0.25">
      <c r="A182" t="s">
        <v>72</v>
      </c>
      <c r="B182" s="1" t="s">
        <v>4</v>
      </c>
      <c r="C182" s="10" t="s">
        <v>120</v>
      </c>
      <c r="D182" s="10" t="s">
        <v>354</v>
      </c>
      <c r="E182" s="18" t="s">
        <v>355</v>
      </c>
      <c r="F182" s="18" t="s">
        <v>356</v>
      </c>
      <c r="G182" s="18" t="s">
        <v>353</v>
      </c>
      <c r="H182" s="18" t="s">
        <v>357</v>
      </c>
      <c r="I182" s="9">
        <v>539170</v>
      </c>
    </row>
    <row r="183" spans="1:9" x14ac:dyDescent="0.25">
      <c r="A183" t="s">
        <v>72</v>
      </c>
      <c r="B183" s="1" t="s">
        <v>5</v>
      </c>
      <c r="C183" s="10" t="s">
        <v>121</v>
      </c>
      <c r="D183" s="10" t="s">
        <v>358</v>
      </c>
      <c r="E183" s="18" t="s">
        <v>359</v>
      </c>
      <c r="F183" s="18" t="s">
        <v>360</v>
      </c>
      <c r="G183" s="18" t="s">
        <v>361</v>
      </c>
      <c r="H183" s="18" t="s">
        <v>316</v>
      </c>
      <c r="I183" s="9">
        <v>481447</v>
      </c>
    </row>
    <row r="184" spans="1:9" x14ac:dyDescent="0.25">
      <c r="A184" t="s">
        <v>72</v>
      </c>
      <c r="B184" s="1" t="s">
        <v>6</v>
      </c>
      <c r="C184" s="10" t="s">
        <v>122</v>
      </c>
      <c r="D184" s="10" t="s">
        <v>362</v>
      </c>
      <c r="E184" s="18" t="s">
        <v>363</v>
      </c>
      <c r="F184" s="18" t="s">
        <v>364</v>
      </c>
      <c r="G184" s="18" t="s">
        <v>365</v>
      </c>
      <c r="H184" s="18" t="s">
        <v>357</v>
      </c>
      <c r="I184" s="9">
        <v>459020</v>
      </c>
    </row>
    <row r="185" spans="1:9" x14ac:dyDescent="0.25">
      <c r="A185" t="s">
        <v>72</v>
      </c>
      <c r="B185" s="1" t="s">
        <v>7</v>
      </c>
      <c r="C185" s="10" t="s">
        <v>123</v>
      </c>
      <c r="D185" s="10" t="s">
        <v>366</v>
      </c>
      <c r="E185" s="18" t="s">
        <v>367</v>
      </c>
      <c r="F185" s="18" t="s">
        <v>368</v>
      </c>
      <c r="G185" s="18" t="s">
        <v>369</v>
      </c>
      <c r="H185" s="18" t="s">
        <v>370</v>
      </c>
      <c r="I185" s="9">
        <v>627193</v>
      </c>
    </row>
    <row r="186" spans="1:9" x14ac:dyDescent="0.25">
      <c r="A186" t="s">
        <v>72</v>
      </c>
      <c r="B186" s="1" t="s">
        <v>8</v>
      </c>
      <c r="C186" s="10" t="s">
        <v>124</v>
      </c>
      <c r="D186" s="10" t="s">
        <v>371</v>
      </c>
      <c r="E186" s="18" t="s">
        <v>372</v>
      </c>
      <c r="F186" s="18" t="s">
        <v>373</v>
      </c>
      <c r="G186" s="18" t="s">
        <v>302</v>
      </c>
      <c r="H186" s="18" t="s">
        <v>374</v>
      </c>
      <c r="I186" s="9">
        <v>649205</v>
      </c>
    </row>
    <row r="187" spans="1:9" x14ac:dyDescent="0.25">
      <c r="A187" t="s">
        <v>72</v>
      </c>
      <c r="B187" s="1" t="s">
        <v>9</v>
      </c>
      <c r="C187" s="10" t="s">
        <v>125</v>
      </c>
      <c r="D187" s="10" t="s">
        <v>375</v>
      </c>
      <c r="E187" s="18" t="s">
        <v>376</v>
      </c>
      <c r="F187" s="18" t="s">
        <v>377</v>
      </c>
      <c r="G187" s="18" t="s">
        <v>378</v>
      </c>
      <c r="H187" s="18" t="s">
        <v>379</v>
      </c>
      <c r="I187" s="10" t="s">
        <v>380</v>
      </c>
    </row>
    <row r="188" spans="1:9" x14ac:dyDescent="0.25">
      <c r="A188" t="s">
        <v>72</v>
      </c>
      <c r="B188" s="1" t="s">
        <v>10</v>
      </c>
      <c r="C188" s="10" t="s">
        <v>126</v>
      </c>
      <c r="D188" s="10" t="s">
        <v>381</v>
      </c>
      <c r="E188" s="18" t="s">
        <v>382</v>
      </c>
      <c r="F188" s="18" t="s">
        <v>383</v>
      </c>
      <c r="G188" s="18" t="s">
        <v>384</v>
      </c>
      <c r="H188" s="18" t="s">
        <v>302</v>
      </c>
      <c r="I188" s="10" t="s">
        <v>385</v>
      </c>
    </row>
    <row r="189" spans="1:9" x14ac:dyDescent="0.25">
      <c r="A189" t="s">
        <v>72</v>
      </c>
      <c r="B189" s="1" t="s">
        <v>11</v>
      </c>
      <c r="C189" s="10" t="s">
        <v>127</v>
      </c>
      <c r="D189" s="10" t="s">
        <v>386</v>
      </c>
      <c r="E189" s="18" t="s">
        <v>387</v>
      </c>
      <c r="F189" s="18" t="s">
        <v>377</v>
      </c>
      <c r="G189" s="18" t="s">
        <v>365</v>
      </c>
      <c r="H189" s="18" t="s">
        <v>302</v>
      </c>
      <c r="I189" s="9">
        <v>679864</v>
      </c>
    </row>
    <row r="190" spans="1:9" x14ac:dyDescent="0.25">
      <c r="A190" t="s">
        <v>72</v>
      </c>
      <c r="B190" s="1" t="s">
        <v>12</v>
      </c>
      <c r="C190" s="10" t="s">
        <v>128</v>
      </c>
      <c r="D190" s="10" t="s">
        <v>388</v>
      </c>
      <c r="E190" s="18" t="s">
        <v>389</v>
      </c>
      <c r="F190" s="18" t="s">
        <v>390</v>
      </c>
      <c r="G190" s="18" t="s">
        <v>369</v>
      </c>
      <c r="H190" s="18" t="s">
        <v>379</v>
      </c>
      <c r="I190" s="11" t="s">
        <v>391</v>
      </c>
    </row>
    <row r="191" spans="1:9" x14ac:dyDescent="0.25">
      <c r="A191" t="s">
        <v>72</v>
      </c>
      <c r="B191" s="1" t="s">
        <v>13</v>
      </c>
      <c r="C191" s="10" t="s">
        <v>129</v>
      </c>
      <c r="D191" s="10" t="s">
        <v>392</v>
      </c>
      <c r="E191" s="18" t="s">
        <v>393</v>
      </c>
      <c r="F191" s="18" t="s">
        <v>394</v>
      </c>
      <c r="G191" s="18" t="s">
        <v>197</v>
      </c>
      <c r="H191" s="18" t="s">
        <v>369</v>
      </c>
      <c r="I191" s="10" t="s">
        <v>395</v>
      </c>
    </row>
    <row r="192" spans="1:9" x14ac:dyDescent="0.25">
      <c r="A192" t="s">
        <v>72</v>
      </c>
      <c r="B192" s="1" t="s">
        <v>14</v>
      </c>
      <c r="C192" s="10" t="s">
        <v>130</v>
      </c>
      <c r="D192" s="10" t="s">
        <v>396</v>
      </c>
      <c r="E192" s="18" t="s">
        <v>397</v>
      </c>
      <c r="F192" s="18" t="s">
        <v>398</v>
      </c>
      <c r="G192" s="18" t="s">
        <v>399</v>
      </c>
      <c r="H192" s="18" t="s">
        <v>361</v>
      </c>
      <c r="I192" s="10" t="s">
        <v>400</v>
      </c>
    </row>
    <row r="193" spans="1:9" x14ac:dyDescent="0.25">
      <c r="A193" t="s">
        <v>72</v>
      </c>
      <c r="B193" s="1" t="s">
        <v>15</v>
      </c>
      <c r="C193" s="10" t="s">
        <v>131</v>
      </c>
      <c r="D193" s="10" t="s">
        <v>401</v>
      </c>
      <c r="E193" s="18" t="s">
        <v>402</v>
      </c>
      <c r="F193" s="18" t="s">
        <v>403</v>
      </c>
      <c r="G193" s="18" t="s">
        <v>404</v>
      </c>
      <c r="H193" s="18" t="s">
        <v>405</v>
      </c>
      <c r="I193" s="10" t="s">
        <v>406</v>
      </c>
    </row>
    <row r="194" spans="1:9" x14ac:dyDescent="0.25">
      <c r="A194" t="s">
        <v>72</v>
      </c>
      <c r="B194" s="1" t="s">
        <v>16</v>
      </c>
      <c r="C194" s="10" t="s">
        <v>132</v>
      </c>
      <c r="D194" s="10" t="s">
        <v>407</v>
      </c>
      <c r="E194" s="18" t="s">
        <v>408</v>
      </c>
      <c r="F194" s="18" t="s">
        <v>409</v>
      </c>
      <c r="G194" s="18" t="s">
        <v>404</v>
      </c>
      <c r="H194" s="18" t="s">
        <v>410</v>
      </c>
      <c r="I194" s="10" t="s">
        <v>411</v>
      </c>
    </row>
    <row r="195" spans="1:9" x14ac:dyDescent="0.25">
      <c r="A195" t="s">
        <v>72</v>
      </c>
      <c r="B195" s="1" t="s">
        <v>17</v>
      </c>
      <c r="C195" s="10" t="s">
        <v>133</v>
      </c>
      <c r="D195" s="10" t="s">
        <v>412</v>
      </c>
      <c r="E195" s="18" t="s">
        <v>413</v>
      </c>
      <c r="F195" s="18" t="s">
        <v>414</v>
      </c>
      <c r="G195" s="18" t="s">
        <v>415</v>
      </c>
      <c r="H195" s="18" t="s">
        <v>361</v>
      </c>
      <c r="I195" s="10" t="s">
        <v>417</v>
      </c>
    </row>
    <row r="196" spans="1:9" x14ac:dyDescent="0.25">
      <c r="A196" t="s">
        <v>72</v>
      </c>
      <c r="B196" s="1" t="s">
        <v>18</v>
      </c>
      <c r="C196" s="10" t="s">
        <v>134</v>
      </c>
      <c r="D196" s="10" t="s">
        <v>134</v>
      </c>
      <c r="E196" s="18" t="s">
        <v>387</v>
      </c>
      <c r="F196" s="18" t="s">
        <v>418</v>
      </c>
      <c r="G196" s="18" t="s">
        <v>419</v>
      </c>
      <c r="H196" s="18" t="s">
        <v>209</v>
      </c>
      <c r="I196" s="10" t="s">
        <v>420</v>
      </c>
    </row>
    <row r="197" spans="1:9" x14ac:dyDescent="0.25">
      <c r="A197" t="s">
        <v>72</v>
      </c>
      <c r="B197" s="1" t="s">
        <v>19</v>
      </c>
      <c r="C197" s="10" t="s">
        <v>135</v>
      </c>
      <c r="D197" s="10" t="s">
        <v>421</v>
      </c>
      <c r="E197" s="18" t="s">
        <v>422</v>
      </c>
      <c r="F197" s="18" t="s">
        <v>423</v>
      </c>
      <c r="G197" s="18" t="s">
        <v>424</v>
      </c>
      <c r="H197" s="18" t="s">
        <v>425</v>
      </c>
      <c r="I197" s="10" t="s">
        <v>426</v>
      </c>
    </row>
    <row r="198" spans="1:9" x14ac:dyDescent="0.25">
      <c r="A198" t="s">
        <v>72</v>
      </c>
      <c r="B198" s="1" t="s">
        <v>20</v>
      </c>
      <c r="C198" s="10" t="s">
        <v>136</v>
      </c>
      <c r="D198" s="10" t="s">
        <v>427</v>
      </c>
      <c r="E198" s="18" t="s">
        <v>428</v>
      </c>
      <c r="F198" s="18" t="s">
        <v>377</v>
      </c>
      <c r="G198" s="18" t="s">
        <v>429</v>
      </c>
      <c r="H198" s="18" t="s">
        <v>430</v>
      </c>
      <c r="I198" s="10" t="s">
        <v>431</v>
      </c>
    </row>
    <row r="199" spans="1:9" x14ac:dyDescent="0.25">
      <c r="A199" t="s">
        <v>72</v>
      </c>
      <c r="B199" s="1" t="s">
        <v>21</v>
      </c>
      <c r="C199" s="10" t="s">
        <v>137</v>
      </c>
      <c r="D199" s="10" t="s">
        <v>432</v>
      </c>
      <c r="E199" s="18" t="s">
        <v>433</v>
      </c>
      <c r="F199" s="18" t="s">
        <v>434</v>
      </c>
      <c r="G199" s="18" t="s">
        <v>435</v>
      </c>
      <c r="H199" s="18" t="s">
        <v>436</v>
      </c>
      <c r="I199" s="10" t="s">
        <v>437</v>
      </c>
    </row>
    <row r="200" spans="1:9" x14ac:dyDescent="0.25">
      <c r="A200" t="s">
        <v>72</v>
      </c>
      <c r="B200" s="1" t="s">
        <v>22</v>
      </c>
      <c r="C200" s="10" t="s">
        <v>138</v>
      </c>
      <c r="D200" s="10" t="s">
        <v>438</v>
      </c>
      <c r="E200" s="18" t="s">
        <v>439</v>
      </c>
      <c r="F200" s="18" t="s">
        <v>440</v>
      </c>
      <c r="G200" s="18" t="s">
        <v>441</v>
      </c>
      <c r="H200" s="18" t="s">
        <v>436</v>
      </c>
      <c r="I200" s="10" t="s">
        <v>442</v>
      </c>
    </row>
    <row r="201" spans="1:9" x14ac:dyDescent="0.25">
      <c r="A201" t="s">
        <v>72</v>
      </c>
      <c r="B201" s="1" t="s">
        <v>23</v>
      </c>
      <c r="C201" s="8">
        <v>170338680</v>
      </c>
      <c r="D201" s="8">
        <v>155057078</v>
      </c>
      <c r="E201" s="18">
        <v>19.190000000000001</v>
      </c>
      <c r="F201" s="18">
        <v>5.86</v>
      </c>
      <c r="G201" s="18">
        <v>1.1599999999999999</v>
      </c>
      <c r="H201" s="18">
        <v>1.75</v>
      </c>
      <c r="I201" s="8">
        <v>1557092</v>
      </c>
    </row>
    <row r="202" spans="1:9" x14ac:dyDescent="0.25">
      <c r="A202" t="s">
        <v>73</v>
      </c>
      <c r="B202" s="1" t="s">
        <v>4</v>
      </c>
      <c r="C202" s="2">
        <v>161554444</v>
      </c>
      <c r="D202" s="9">
        <v>139161299</v>
      </c>
      <c r="E202" s="17">
        <v>17.010000000000002</v>
      </c>
      <c r="F202" s="17">
        <v>4.24</v>
      </c>
      <c r="G202" s="17">
        <v>1.72</v>
      </c>
      <c r="H202" s="17">
        <v>2.1800000000000002</v>
      </c>
      <c r="I202" s="10" t="s">
        <v>443</v>
      </c>
    </row>
    <row r="203" spans="1:9" x14ac:dyDescent="0.25">
      <c r="A203" t="s">
        <v>73</v>
      </c>
      <c r="B203" s="1" t="s">
        <v>5</v>
      </c>
      <c r="C203" s="2">
        <v>170301607</v>
      </c>
      <c r="D203" s="9">
        <v>147490969</v>
      </c>
      <c r="E203" s="17">
        <v>16.739999999999998</v>
      </c>
      <c r="F203" s="17">
        <v>4.1500000000000004</v>
      </c>
      <c r="G203" s="17">
        <v>1.77</v>
      </c>
      <c r="H203" s="17">
        <v>2.14</v>
      </c>
      <c r="I203" s="10" t="s">
        <v>444</v>
      </c>
    </row>
    <row r="204" spans="1:9" x14ac:dyDescent="0.25">
      <c r="A204" t="s">
        <v>73</v>
      </c>
      <c r="B204" s="1" t="s">
        <v>6</v>
      </c>
      <c r="C204" s="2">
        <v>163994740</v>
      </c>
      <c r="D204" s="9">
        <v>140464288</v>
      </c>
      <c r="E204" s="17">
        <v>17.03</v>
      </c>
      <c r="F204" s="17">
        <v>4.1900000000000004</v>
      </c>
      <c r="G204" s="17">
        <v>1.75</v>
      </c>
      <c r="H204" s="17">
        <v>2.1800000000000002</v>
      </c>
      <c r="I204" s="10" t="s">
        <v>445</v>
      </c>
    </row>
    <row r="205" spans="1:9" x14ac:dyDescent="0.25">
      <c r="A205" t="s">
        <v>73</v>
      </c>
      <c r="B205" s="1" t="s">
        <v>7</v>
      </c>
      <c r="C205" s="2">
        <v>173582894</v>
      </c>
      <c r="D205" s="9">
        <v>149154640</v>
      </c>
      <c r="E205" s="17">
        <v>17.63</v>
      </c>
      <c r="F205" s="17">
        <v>4.1500000000000004</v>
      </c>
      <c r="G205" s="17">
        <v>1.73</v>
      </c>
      <c r="H205" s="17">
        <v>2.1</v>
      </c>
      <c r="I205" s="10" t="s">
        <v>446</v>
      </c>
    </row>
    <row r="206" spans="1:9" x14ac:dyDescent="0.25">
      <c r="A206" t="s">
        <v>73</v>
      </c>
      <c r="B206" s="1" t="s">
        <v>8</v>
      </c>
      <c r="C206" s="2">
        <v>177528984</v>
      </c>
      <c r="D206" s="9">
        <v>152178924</v>
      </c>
      <c r="E206" s="17">
        <v>17.739999999999998</v>
      </c>
      <c r="F206" s="17">
        <v>3.89</v>
      </c>
      <c r="G206" s="17">
        <v>1.85</v>
      </c>
      <c r="H206" s="17">
        <v>2.29</v>
      </c>
      <c r="I206" s="10" t="s">
        <v>447</v>
      </c>
    </row>
    <row r="207" spans="1:9" x14ac:dyDescent="0.25">
      <c r="A207" t="s">
        <v>73</v>
      </c>
      <c r="B207" s="1" t="s">
        <v>9</v>
      </c>
      <c r="C207" s="2">
        <v>178044586</v>
      </c>
      <c r="D207" s="9">
        <v>151851613</v>
      </c>
      <c r="E207" s="17">
        <v>18.54</v>
      </c>
      <c r="F207" s="17">
        <v>4</v>
      </c>
      <c r="G207" s="17">
        <v>1.82</v>
      </c>
      <c r="H207" s="17">
        <v>2.33</v>
      </c>
      <c r="I207" s="10" t="s">
        <v>448</v>
      </c>
    </row>
    <row r="208" spans="1:9" x14ac:dyDescent="0.25">
      <c r="A208" t="s">
        <v>73</v>
      </c>
      <c r="B208" s="1" t="s">
        <v>10</v>
      </c>
      <c r="C208" s="2">
        <v>175449266</v>
      </c>
      <c r="D208" s="9">
        <v>148542626</v>
      </c>
      <c r="E208" s="17">
        <v>18.61</v>
      </c>
      <c r="F208" s="17">
        <v>3.92</v>
      </c>
      <c r="G208" s="17">
        <v>1.84</v>
      </c>
      <c r="H208" s="17">
        <v>2.2400000000000002</v>
      </c>
      <c r="I208" s="10" t="s">
        <v>449</v>
      </c>
    </row>
    <row r="209" spans="1:9" x14ac:dyDescent="0.25">
      <c r="A209" t="s">
        <v>73</v>
      </c>
      <c r="B209" s="1" t="s">
        <v>11</v>
      </c>
      <c r="C209" s="2">
        <v>180809253</v>
      </c>
      <c r="D209" s="9">
        <v>153144552</v>
      </c>
      <c r="E209" s="17">
        <v>19.100000000000001</v>
      </c>
      <c r="F209" s="17">
        <v>3.95</v>
      </c>
      <c r="G209" s="17">
        <v>1.72</v>
      </c>
      <c r="H209" s="17">
        <v>2.2200000000000002</v>
      </c>
      <c r="I209" s="10" t="s">
        <v>450</v>
      </c>
    </row>
    <row r="210" spans="1:9" x14ac:dyDescent="0.25">
      <c r="A210" t="s">
        <v>73</v>
      </c>
      <c r="B210" s="1" t="s">
        <v>12</v>
      </c>
      <c r="C210" s="2">
        <v>191542602</v>
      </c>
      <c r="D210" s="9">
        <v>163598243</v>
      </c>
      <c r="E210" s="17">
        <v>18.71</v>
      </c>
      <c r="F210" s="17">
        <v>3.89</v>
      </c>
      <c r="G210" s="17">
        <v>1.8</v>
      </c>
      <c r="H210" s="17">
        <v>2.42</v>
      </c>
      <c r="I210" s="10" t="s">
        <v>451</v>
      </c>
    </row>
    <row r="211" spans="1:9" x14ac:dyDescent="0.25">
      <c r="A211" t="s">
        <v>73</v>
      </c>
      <c r="B211" s="1" t="s">
        <v>13</v>
      </c>
      <c r="C211" s="2">
        <v>182216046</v>
      </c>
      <c r="D211" s="9">
        <v>153198140</v>
      </c>
      <c r="E211" s="17">
        <v>20.64</v>
      </c>
      <c r="F211" s="17">
        <v>3.99</v>
      </c>
      <c r="G211" s="17">
        <v>1.82</v>
      </c>
      <c r="H211" s="17">
        <v>2.29</v>
      </c>
      <c r="I211" s="10" t="s">
        <v>452</v>
      </c>
    </row>
    <row r="212" spans="1:9" x14ac:dyDescent="0.25">
      <c r="A212" t="s">
        <v>73</v>
      </c>
      <c r="B212" s="1" t="s">
        <v>14</v>
      </c>
      <c r="C212" s="2">
        <v>197971797</v>
      </c>
      <c r="D212" s="9">
        <v>168417825</v>
      </c>
      <c r="E212" s="17">
        <v>20.92</v>
      </c>
      <c r="F212" s="17">
        <v>3.86</v>
      </c>
      <c r="G212" s="17">
        <v>1.81</v>
      </c>
      <c r="H212" s="17">
        <v>1.86</v>
      </c>
      <c r="I212" s="10" t="s">
        <v>453</v>
      </c>
    </row>
    <row r="213" spans="1:9" x14ac:dyDescent="0.25">
      <c r="A213" t="s">
        <v>73</v>
      </c>
      <c r="B213" s="1" t="s">
        <v>15</v>
      </c>
      <c r="C213" s="2">
        <v>206340908</v>
      </c>
      <c r="D213" s="9">
        <v>176511695</v>
      </c>
      <c r="E213" s="17">
        <v>21.98</v>
      </c>
      <c r="F213" s="17">
        <v>3.79</v>
      </c>
      <c r="G213" s="17">
        <v>1.93</v>
      </c>
      <c r="H213" s="17">
        <v>1.47</v>
      </c>
      <c r="I213" s="10" t="s">
        <v>454</v>
      </c>
    </row>
    <row r="214" spans="1:9" x14ac:dyDescent="0.25">
      <c r="A214" t="s">
        <v>73</v>
      </c>
      <c r="B214" s="1" t="s">
        <v>16</v>
      </c>
      <c r="C214" s="2">
        <v>207783766</v>
      </c>
      <c r="D214" s="9">
        <v>177583835</v>
      </c>
      <c r="E214" s="17">
        <v>22.03</v>
      </c>
      <c r="F214" s="17">
        <v>3.8</v>
      </c>
      <c r="G214" s="17">
        <v>1.96</v>
      </c>
      <c r="H214" s="17">
        <v>1.25</v>
      </c>
      <c r="I214" s="10" t="s">
        <v>455</v>
      </c>
    </row>
    <row r="215" spans="1:9" x14ac:dyDescent="0.25">
      <c r="A215" t="s">
        <v>73</v>
      </c>
      <c r="B215" s="1" t="s">
        <v>17</v>
      </c>
      <c r="C215" s="2">
        <v>201135481</v>
      </c>
      <c r="D215" s="9">
        <v>169852982</v>
      </c>
      <c r="E215" s="17">
        <v>22.73</v>
      </c>
      <c r="F215" s="17">
        <v>3.92</v>
      </c>
      <c r="G215" s="17">
        <v>2.5299999999999998</v>
      </c>
      <c r="H215" s="17">
        <v>1.92</v>
      </c>
      <c r="I215" s="10" t="s">
        <v>456</v>
      </c>
    </row>
    <row r="216" spans="1:9" x14ac:dyDescent="0.25">
      <c r="A216" t="s">
        <v>73</v>
      </c>
      <c r="B216" s="1" t="s">
        <v>18</v>
      </c>
      <c r="C216" s="2">
        <v>211346011</v>
      </c>
      <c r="D216" s="9">
        <v>179527931</v>
      </c>
      <c r="E216" s="16">
        <v>22.41</v>
      </c>
      <c r="F216" s="17">
        <v>3.86</v>
      </c>
      <c r="G216" s="17">
        <v>2.39</v>
      </c>
      <c r="H216" s="17">
        <v>1.77</v>
      </c>
      <c r="I216" s="10" t="s">
        <v>457</v>
      </c>
    </row>
    <row r="217" spans="1:9" x14ac:dyDescent="0.25">
      <c r="A217" t="s">
        <v>73</v>
      </c>
      <c r="B217" s="1" t="s">
        <v>19</v>
      </c>
      <c r="C217" s="2">
        <v>214436988</v>
      </c>
      <c r="D217" s="9">
        <v>182109615</v>
      </c>
      <c r="E217" s="17">
        <v>22.94</v>
      </c>
      <c r="F217" s="17">
        <v>3.82</v>
      </c>
      <c r="G217" s="17">
        <v>2.36</v>
      </c>
      <c r="H217" s="17">
        <v>1.55</v>
      </c>
      <c r="I217" s="10" t="s">
        <v>458</v>
      </c>
    </row>
    <row r="218" spans="1:9" x14ac:dyDescent="0.25">
      <c r="A218" t="s">
        <v>73</v>
      </c>
      <c r="B218" s="1" t="s">
        <v>20</v>
      </c>
      <c r="C218" s="10" t="s">
        <v>139</v>
      </c>
      <c r="D218" s="10" t="s">
        <v>459</v>
      </c>
      <c r="E218" s="18" t="s">
        <v>460</v>
      </c>
      <c r="F218" s="17" t="s">
        <v>461</v>
      </c>
      <c r="G218" s="18" t="s">
        <v>462</v>
      </c>
      <c r="H218" s="18" t="s">
        <v>463</v>
      </c>
      <c r="I218" s="10" t="s">
        <v>464</v>
      </c>
    </row>
    <row r="219" spans="1:9" x14ac:dyDescent="0.25">
      <c r="A219" t="s">
        <v>73</v>
      </c>
      <c r="B219" s="1" t="s">
        <v>21</v>
      </c>
      <c r="C219" s="10" t="s">
        <v>140</v>
      </c>
      <c r="D219" s="10" t="s">
        <v>465</v>
      </c>
      <c r="E219" s="18" t="s">
        <v>466</v>
      </c>
      <c r="F219" s="17" t="s">
        <v>467</v>
      </c>
      <c r="G219" s="18" t="s">
        <v>468</v>
      </c>
      <c r="H219" s="17" t="s">
        <v>469</v>
      </c>
      <c r="I219" s="10" t="s">
        <v>470</v>
      </c>
    </row>
    <row r="220" spans="1:9" x14ac:dyDescent="0.25">
      <c r="A220" t="s">
        <v>73</v>
      </c>
      <c r="B220" s="1" t="s">
        <v>22</v>
      </c>
      <c r="C220" s="10" t="s">
        <v>141</v>
      </c>
      <c r="D220" s="10" t="s">
        <v>471</v>
      </c>
      <c r="E220" s="18" t="s">
        <v>472</v>
      </c>
      <c r="F220" s="17" t="s">
        <v>473</v>
      </c>
      <c r="G220" s="17" t="s">
        <v>274</v>
      </c>
      <c r="H220" s="17" t="s">
        <v>338</v>
      </c>
      <c r="I220" s="10" t="s">
        <v>474</v>
      </c>
    </row>
    <row r="221" spans="1:9" x14ac:dyDescent="0.25">
      <c r="A221" t="s">
        <v>73</v>
      </c>
      <c r="B221" s="1" t="s">
        <v>23</v>
      </c>
      <c r="C221" s="11" t="s">
        <v>142</v>
      </c>
      <c r="D221" s="11" t="s">
        <v>475</v>
      </c>
      <c r="E221" s="17" t="s">
        <v>476</v>
      </c>
      <c r="F221" s="17" t="s">
        <v>477</v>
      </c>
      <c r="G221" s="17" t="s">
        <v>468</v>
      </c>
      <c r="H221" s="17" t="s">
        <v>469</v>
      </c>
      <c r="I221" s="11" t="s">
        <v>479</v>
      </c>
    </row>
    <row r="222" spans="1:9" x14ac:dyDescent="0.25">
      <c r="A222" t="s">
        <v>75</v>
      </c>
      <c r="B222" s="1" t="s">
        <v>4</v>
      </c>
      <c r="C222" s="9">
        <v>7155757</v>
      </c>
      <c r="D222" s="9">
        <v>5770673</v>
      </c>
      <c r="E222" s="18">
        <v>24.92</v>
      </c>
      <c r="F222" s="18">
        <v>4.57</v>
      </c>
      <c r="G222" s="18">
        <v>1.71</v>
      </c>
      <c r="H222" s="18">
        <v>1.7</v>
      </c>
      <c r="I222" s="9">
        <v>47727</v>
      </c>
    </row>
    <row r="223" spans="1:9" x14ac:dyDescent="0.25">
      <c r="A223" t="s">
        <v>75</v>
      </c>
      <c r="B223" s="1" t="s">
        <v>5</v>
      </c>
      <c r="C223" s="9">
        <v>7396242</v>
      </c>
      <c r="D223" s="9">
        <v>6013895</v>
      </c>
      <c r="E223" s="18">
        <v>24.37</v>
      </c>
      <c r="F223" s="18">
        <v>4.46</v>
      </c>
      <c r="G223" s="18">
        <v>1.58</v>
      </c>
      <c r="H223" s="18">
        <v>1.6</v>
      </c>
      <c r="I223" s="9">
        <v>48145</v>
      </c>
    </row>
    <row r="224" spans="1:9" x14ac:dyDescent="0.25">
      <c r="A224" t="s">
        <v>75</v>
      </c>
      <c r="B224" s="1" t="s">
        <v>6</v>
      </c>
      <c r="C224" s="9">
        <v>7121266</v>
      </c>
      <c r="D224" s="9">
        <v>5720539</v>
      </c>
      <c r="E224" s="18">
        <v>24.57</v>
      </c>
      <c r="F224" s="18">
        <v>4.4400000000000004</v>
      </c>
      <c r="G224" s="18">
        <v>1.69</v>
      </c>
      <c r="H224" s="18">
        <v>1.51</v>
      </c>
      <c r="I224" s="9">
        <v>46669</v>
      </c>
    </row>
    <row r="225" spans="1:9" x14ac:dyDescent="0.25">
      <c r="A225" t="s">
        <v>75</v>
      </c>
      <c r="B225" s="1" t="s">
        <v>7</v>
      </c>
      <c r="C225" s="9">
        <v>7297274</v>
      </c>
      <c r="D225" s="9">
        <v>5802519</v>
      </c>
      <c r="E225" s="18">
        <v>25.52</v>
      </c>
      <c r="F225" s="18">
        <v>4.45</v>
      </c>
      <c r="G225" s="18">
        <v>1.51</v>
      </c>
      <c r="H225" s="18">
        <v>1.77</v>
      </c>
      <c r="I225" s="9">
        <v>44686</v>
      </c>
    </row>
    <row r="226" spans="1:9" x14ac:dyDescent="0.25">
      <c r="A226" t="s">
        <v>75</v>
      </c>
      <c r="B226" s="1" t="s">
        <v>8</v>
      </c>
      <c r="C226" s="9">
        <v>7698672</v>
      </c>
      <c r="D226" s="9">
        <v>6190256</v>
      </c>
      <c r="E226" s="18">
        <v>25.63</v>
      </c>
      <c r="F226" s="18">
        <v>3.84</v>
      </c>
      <c r="G226" s="18">
        <v>1.6</v>
      </c>
      <c r="H226" s="18">
        <v>0.97</v>
      </c>
      <c r="I226" s="9">
        <v>52449</v>
      </c>
    </row>
    <row r="227" spans="1:9" x14ac:dyDescent="0.25">
      <c r="A227" t="s">
        <v>75</v>
      </c>
      <c r="B227" s="1" t="s">
        <v>9</v>
      </c>
      <c r="C227" s="9">
        <v>7379818</v>
      </c>
      <c r="D227" s="9">
        <v>5885253</v>
      </c>
      <c r="E227" s="18">
        <v>25.54</v>
      </c>
      <c r="F227" s="18">
        <v>3.74</v>
      </c>
      <c r="G227" s="18">
        <v>1.72</v>
      </c>
      <c r="H227" s="18">
        <v>0.9</v>
      </c>
      <c r="I227" s="9">
        <v>54204</v>
      </c>
    </row>
    <row r="228" spans="1:9" x14ac:dyDescent="0.25">
      <c r="A228" t="s">
        <v>75</v>
      </c>
      <c r="B228" s="1" t="s">
        <v>10</v>
      </c>
      <c r="C228" s="9">
        <v>7148922</v>
      </c>
      <c r="D228" s="9">
        <v>5642337</v>
      </c>
      <c r="E228" s="18">
        <v>24.51</v>
      </c>
      <c r="F228" s="18">
        <v>3.73</v>
      </c>
      <c r="G228" s="18">
        <v>1.6</v>
      </c>
      <c r="H228" s="18">
        <v>0.9</v>
      </c>
      <c r="I228" s="9">
        <v>50461</v>
      </c>
    </row>
    <row r="229" spans="1:9" x14ac:dyDescent="0.25">
      <c r="A229" t="s">
        <v>75</v>
      </c>
      <c r="B229" s="1" t="s">
        <v>11</v>
      </c>
      <c r="C229" s="9">
        <v>7607654</v>
      </c>
      <c r="D229" s="9">
        <v>6083998</v>
      </c>
      <c r="E229" s="18">
        <v>23.55</v>
      </c>
      <c r="F229" s="18">
        <v>3.72</v>
      </c>
      <c r="G229" s="18">
        <v>1.53</v>
      </c>
      <c r="H229" s="18">
        <v>0.96</v>
      </c>
      <c r="I229" s="9">
        <v>45578</v>
      </c>
    </row>
    <row r="230" spans="1:9" x14ac:dyDescent="0.25">
      <c r="A230" t="s">
        <v>75</v>
      </c>
      <c r="B230" s="1" t="s">
        <v>12</v>
      </c>
      <c r="C230" s="9">
        <v>7917744</v>
      </c>
      <c r="D230" s="9">
        <v>6427382</v>
      </c>
      <c r="E230" s="18">
        <v>23.41</v>
      </c>
      <c r="F230" s="18">
        <v>3.45</v>
      </c>
      <c r="G230" s="18">
        <v>1.41</v>
      </c>
      <c r="H230" s="18">
        <v>0.64</v>
      </c>
      <c r="I230" s="9">
        <v>74127</v>
      </c>
    </row>
    <row r="231" spans="1:9" x14ac:dyDescent="0.25">
      <c r="A231" t="s">
        <v>75</v>
      </c>
      <c r="B231" s="1" t="s">
        <v>13</v>
      </c>
      <c r="C231" s="9">
        <v>7686327</v>
      </c>
      <c r="D231" s="9">
        <v>6180559</v>
      </c>
      <c r="E231" s="18">
        <v>24.31</v>
      </c>
      <c r="F231" s="18">
        <v>3.46</v>
      </c>
      <c r="G231" s="18">
        <v>2.2400000000000002</v>
      </c>
      <c r="H231" s="18">
        <v>0.82</v>
      </c>
      <c r="I231" s="9">
        <v>63624</v>
      </c>
    </row>
    <row r="232" spans="1:9" x14ac:dyDescent="0.25">
      <c r="A232" t="s">
        <v>75</v>
      </c>
      <c r="B232" s="1" t="s">
        <v>14</v>
      </c>
      <c r="C232" s="9">
        <v>8043256</v>
      </c>
      <c r="D232" s="9">
        <v>6545025</v>
      </c>
      <c r="E232" s="18">
        <v>24.9</v>
      </c>
      <c r="F232" s="18">
        <v>4.2300000000000004</v>
      </c>
      <c r="G232" s="18">
        <v>2.5499999999999998</v>
      </c>
      <c r="H232" s="18">
        <v>0.67</v>
      </c>
      <c r="I232" s="9">
        <v>61416</v>
      </c>
    </row>
    <row r="233" spans="1:9" x14ac:dyDescent="0.25">
      <c r="A233" t="s">
        <v>75</v>
      </c>
      <c r="B233" s="1" t="s">
        <v>15</v>
      </c>
      <c r="C233" s="9">
        <v>7637523</v>
      </c>
      <c r="D233" s="9">
        <v>6128137</v>
      </c>
      <c r="E233" s="18">
        <v>25.8</v>
      </c>
      <c r="F233" s="18">
        <v>4.17</v>
      </c>
      <c r="G233" s="18">
        <v>2.63</v>
      </c>
      <c r="H233" s="18">
        <v>0.69</v>
      </c>
      <c r="I233" s="9">
        <v>66035</v>
      </c>
    </row>
    <row r="234" spans="1:9" x14ac:dyDescent="0.25">
      <c r="A234" t="s">
        <v>75</v>
      </c>
      <c r="B234" s="1" t="s">
        <v>16</v>
      </c>
      <c r="C234" s="9">
        <v>7601659</v>
      </c>
      <c r="D234" s="9">
        <v>6076662</v>
      </c>
      <c r="E234" s="18">
        <v>26.45</v>
      </c>
      <c r="F234" s="18">
        <v>4.04</v>
      </c>
      <c r="G234" s="18">
        <v>2.44</v>
      </c>
      <c r="H234" s="18">
        <v>1.05</v>
      </c>
      <c r="I234" s="9">
        <v>57292</v>
      </c>
    </row>
    <row r="235" spans="1:9" x14ac:dyDescent="0.25">
      <c r="A235" t="s">
        <v>75</v>
      </c>
      <c r="B235" s="1" t="s">
        <v>17</v>
      </c>
      <c r="C235" s="7">
        <v>7545988</v>
      </c>
      <c r="D235" s="7">
        <v>5913162</v>
      </c>
      <c r="E235" s="18">
        <v>28.45</v>
      </c>
      <c r="F235" s="18">
        <v>4.38</v>
      </c>
      <c r="G235" s="18">
        <v>2.34</v>
      </c>
      <c r="H235" s="18">
        <v>1.43</v>
      </c>
      <c r="I235" s="7">
        <v>66898</v>
      </c>
    </row>
    <row r="236" spans="1:9" x14ac:dyDescent="0.25">
      <c r="A236" t="s">
        <v>75</v>
      </c>
      <c r="B236" s="1" t="s">
        <v>18</v>
      </c>
      <c r="C236" s="9">
        <v>7251694</v>
      </c>
      <c r="D236" s="9">
        <v>5635262</v>
      </c>
      <c r="E236" s="18">
        <v>28.92</v>
      </c>
      <c r="F236" s="18">
        <v>4.42</v>
      </c>
      <c r="G236" s="18">
        <v>3.17</v>
      </c>
      <c r="H236" s="18">
        <v>0.87</v>
      </c>
      <c r="I236" s="9">
        <v>80978</v>
      </c>
    </row>
    <row r="237" spans="1:9" x14ac:dyDescent="0.25">
      <c r="A237" t="s">
        <v>75</v>
      </c>
      <c r="B237" s="1" t="s">
        <v>19</v>
      </c>
      <c r="C237" s="9">
        <v>8666526</v>
      </c>
      <c r="D237" s="9">
        <v>6432761</v>
      </c>
      <c r="E237" s="18">
        <v>41.73</v>
      </c>
      <c r="F237" s="18">
        <v>4.32</v>
      </c>
      <c r="G237" s="18">
        <v>3.04</v>
      </c>
      <c r="H237" s="18">
        <v>0.77</v>
      </c>
      <c r="I237" s="9">
        <v>76176</v>
      </c>
    </row>
    <row r="238" spans="1:9" x14ac:dyDescent="0.25">
      <c r="A238" t="s">
        <v>75</v>
      </c>
      <c r="B238" s="1" t="s">
        <v>20</v>
      </c>
      <c r="C238" s="10" t="s">
        <v>146</v>
      </c>
      <c r="D238" s="10" t="s">
        <v>480</v>
      </c>
      <c r="E238" s="18" t="s">
        <v>481</v>
      </c>
      <c r="F238" s="18" t="s">
        <v>482</v>
      </c>
      <c r="G238" s="18" t="s">
        <v>483</v>
      </c>
      <c r="H238" s="18" t="s">
        <v>441</v>
      </c>
      <c r="I238" s="9">
        <v>88703</v>
      </c>
    </row>
    <row r="239" spans="1:9" x14ac:dyDescent="0.25">
      <c r="A239" t="s">
        <v>75</v>
      </c>
      <c r="B239" s="1" t="s">
        <v>21</v>
      </c>
      <c r="C239" s="9">
        <v>8791457</v>
      </c>
      <c r="D239" s="9">
        <v>6548311</v>
      </c>
      <c r="E239" s="18">
        <v>42</v>
      </c>
      <c r="F239" s="18" t="s">
        <v>484</v>
      </c>
      <c r="G239" s="18" t="s">
        <v>244</v>
      </c>
      <c r="H239" s="18" t="s">
        <v>485</v>
      </c>
      <c r="I239" s="7">
        <v>101777</v>
      </c>
    </row>
    <row r="240" spans="1:9" x14ac:dyDescent="0.25">
      <c r="A240" t="s">
        <v>75</v>
      </c>
      <c r="B240" s="1" t="s">
        <v>22</v>
      </c>
      <c r="C240" s="10" t="s">
        <v>147</v>
      </c>
      <c r="D240" s="10" t="s">
        <v>486</v>
      </c>
      <c r="E240" s="18" t="s">
        <v>487</v>
      </c>
      <c r="F240" s="18" t="s">
        <v>488</v>
      </c>
      <c r="G240" s="18" t="s">
        <v>489</v>
      </c>
      <c r="H240" s="18" t="s">
        <v>490</v>
      </c>
      <c r="I240" s="9">
        <v>103874</v>
      </c>
    </row>
    <row r="241" spans="1:9" x14ac:dyDescent="0.25">
      <c r="A241" t="s">
        <v>75</v>
      </c>
      <c r="B241" s="1" t="s">
        <v>23</v>
      </c>
      <c r="C241" s="8">
        <v>8211292</v>
      </c>
      <c r="D241" s="8">
        <v>5134519</v>
      </c>
      <c r="E241" s="19">
        <v>59.27</v>
      </c>
      <c r="F241" s="18">
        <v>4.62</v>
      </c>
      <c r="G241" s="19">
        <v>4.5599999999999996</v>
      </c>
      <c r="H241" s="19">
        <v>0.59</v>
      </c>
      <c r="I241" s="8">
        <v>113788</v>
      </c>
    </row>
    <row r="242" spans="1:9" x14ac:dyDescent="0.25">
      <c r="A242" t="s">
        <v>76</v>
      </c>
      <c r="B242" s="1" t="s">
        <v>4</v>
      </c>
      <c r="C242" s="2">
        <v>55313192</v>
      </c>
      <c r="D242" s="10" t="s">
        <v>493</v>
      </c>
      <c r="E242" s="16">
        <v>22.94</v>
      </c>
      <c r="F242" s="16">
        <v>6.57</v>
      </c>
      <c r="G242" s="18" t="s">
        <v>491</v>
      </c>
      <c r="H242" s="18" t="s">
        <v>494</v>
      </c>
      <c r="I242" s="10" t="s">
        <v>496</v>
      </c>
    </row>
    <row r="243" spans="1:9" x14ac:dyDescent="0.25">
      <c r="A243" t="s">
        <v>76</v>
      </c>
      <c r="B243" s="1" t="s">
        <v>5</v>
      </c>
      <c r="C243" s="2">
        <v>59537033</v>
      </c>
      <c r="D243" s="10" t="s">
        <v>497</v>
      </c>
      <c r="E243" s="16">
        <v>23.08</v>
      </c>
      <c r="F243" s="17">
        <v>6.41</v>
      </c>
      <c r="G243" s="18" t="s">
        <v>498</v>
      </c>
      <c r="H243" s="18" t="s">
        <v>499</v>
      </c>
      <c r="I243" s="10" t="s">
        <v>500</v>
      </c>
    </row>
    <row r="244" spans="1:9" x14ac:dyDescent="0.25">
      <c r="A244" t="s">
        <v>76</v>
      </c>
      <c r="B244" s="1" t="s">
        <v>6</v>
      </c>
      <c r="C244" s="2">
        <v>63427447</v>
      </c>
      <c r="D244" s="10" t="s">
        <v>501</v>
      </c>
      <c r="E244" s="16">
        <v>23.35</v>
      </c>
      <c r="F244" s="16">
        <v>6.38</v>
      </c>
      <c r="G244" s="18" t="s">
        <v>207</v>
      </c>
      <c r="H244" s="18" t="s">
        <v>502</v>
      </c>
      <c r="I244" s="10" t="s">
        <v>503</v>
      </c>
    </row>
    <row r="245" spans="1:9" x14ac:dyDescent="0.25">
      <c r="A245" t="s">
        <v>76</v>
      </c>
      <c r="B245" s="1" t="s">
        <v>7</v>
      </c>
      <c r="C245" s="2">
        <v>62689118</v>
      </c>
      <c r="D245" s="10" t="s">
        <v>504</v>
      </c>
      <c r="E245" s="16">
        <v>24.21</v>
      </c>
      <c r="F245" s="16">
        <v>6.37</v>
      </c>
      <c r="G245" s="18" t="s">
        <v>265</v>
      </c>
      <c r="H245" s="18" t="s">
        <v>492</v>
      </c>
      <c r="I245" s="10" t="s">
        <v>506</v>
      </c>
    </row>
    <row r="246" spans="1:9" x14ac:dyDescent="0.25">
      <c r="A246" t="s">
        <v>76</v>
      </c>
      <c r="B246" s="1" t="s">
        <v>8</v>
      </c>
      <c r="C246" s="2">
        <v>63091469</v>
      </c>
      <c r="D246" s="10" t="s">
        <v>507</v>
      </c>
      <c r="E246" s="17">
        <v>24.14</v>
      </c>
      <c r="F246" s="17">
        <v>6.52</v>
      </c>
      <c r="G246" s="18" t="s">
        <v>508</v>
      </c>
      <c r="H246" s="18" t="s">
        <v>509</v>
      </c>
      <c r="I246" s="10" t="s">
        <v>510</v>
      </c>
    </row>
    <row r="247" spans="1:9" x14ac:dyDescent="0.25">
      <c r="A247" t="s">
        <v>76</v>
      </c>
      <c r="B247" s="1" t="s">
        <v>9</v>
      </c>
      <c r="C247" s="2">
        <v>68951774</v>
      </c>
      <c r="D247" s="10" t="s">
        <v>511</v>
      </c>
      <c r="E247" s="17">
        <v>23.22</v>
      </c>
      <c r="F247" s="17">
        <v>6.3</v>
      </c>
      <c r="G247" s="18" t="s">
        <v>512</v>
      </c>
      <c r="H247" s="18" t="s">
        <v>310</v>
      </c>
      <c r="I247" s="10" t="s">
        <v>513</v>
      </c>
    </row>
    <row r="248" spans="1:9" x14ac:dyDescent="0.25">
      <c r="A248" t="s">
        <v>76</v>
      </c>
      <c r="B248" s="1" t="s">
        <v>10</v>
      </c>
      <c r="C248" s="2">
        <v>72128316</v>
      </c>
      <c r="D248" s="10" t="s">
        <v>514</v>
      </c>
      <c r="E248" s="17">
        <v>21.8</v>
      </c>
      <c r="F248" s="17">
        <v>6.2</v>
      </c>
      <c r="G248" s="18" t="s">
        <v>495</v>
      </c>
      <c r="H248" s="18" t="s">
        <v>245</v>
      </c>
      <c r="I248" s="10" t="s">
        <v>515</v>
      </c>
    </row>
    <row r="249" spans="1:9" x14ac:dyDescent="0.25">
      <c r="A249" t="s">
        <v>76</v>
      </c>
      <c r="B249" s="1" t="s">
        <v>11</v>
      </c>
      <c r="C249" s="2">
        <v>76715290</v>
      </c>
      <c r="D249" s="10" t="s">
        <v>516</v>
      </c>
      <c r="E249" s="17">
        <v>21.77</v>
      </c>
      <c r="F249" s="17">
        <v>6.11</v>
      </c>
      <c r="G249" s="18" t="s">
        <v>517</v>
      </c>
      <c r="H249" s="18" t="s">
        <v>518</v>
      </c>
      <c r="I249" s="10">
        <v>980134</v>
      </c>
    </row>
    <row r="250" spans="1:9" x14ac:dyDescent="0.25">
      <c r="A250" t="s">
        <v>76</v>
      </c>
      <c r="B250" s="1" t="s">
        <v>12</v>
      </c>
      <c r="C250" s="2">
        <v>69720706</v>
      </c>
      <c r="D250" s="10" t="s">
        <v>519</v>
      </c>
      <c r="E250" s="17">
        <v>22.91</v>
      </c>
      <c r="F250" s="17">
        <v>6.05</v>
      </c>
      <c r="G250" s="18" t="s">
        <v>520</v>
      </c>
      <c r="H250" s="18" t="s">
        <v>478</v>
      </c>
      <c r="I250" s="10" t="s">
        <v>521</v>
      </c>
    </row>
    <row r="251" spans="1:9" x14ac:dyDescent="0.25">
      <c r="A251" t="s">
        <v>76</v>
      </c>
      <c r="B251" s="1" t="s">
        <v>13</v>
      </c>
      <c r="C251" s="2">
        <v>75240142</v>
      </c>
      <c r="D251" s="10" t="s">
        <v>522</v>
      </c>
      <c r="E251" s="17">
        <v>21.09</v>
      </c>
      <c r="F251" s="17">
        <v>5.79</v>
      </c>
      <c r="G251" s="18" t="s">
        <v>523</v>
      </c>
      <c r="H251" s="18" t="s">
        <v>518</v>
      </c>
      <c r="I251" s="10" t="s">
        <v>524</v>
      </c>
    </row>
    <row r="252" spans="1:9" x14ac:dyDescent="0.25">
      <c r="A252" t="s">
        <v>76</v>
      </c>
      <c r="B252" s="1" t="s">
        <v>14</v>
      </c>
      <c r="C252" s="2">
        <v>82080977</v>
      </c>
      <c r="D252" s="10" t="s">
        <v>525</v>
      </c>
      <c r="E252" s="17">
        <v>21.32</v>
      </c>
      <c r="F252" s="17">
        <v>5.7</v>
      </c>
      <c r="G252" s="18" t="s">
        <v>526</v>
      </c>
      <c r="H252" s="18" t="s">
        <v>527</v>
      </c>
      <c r="I252" s="10" t="s">
        <v>528</v>
      </c>
    </row>
    <row r="253" spans="1:9" x14ac:dyDescent="0.25">
      <c r="A253" t="s">
        <v>76</v>
      </c>
      <c r="B253" s="1" t="s">
        <v>15</v>
      </c>
      <c r="C253" s="2">
        <v>83619452</v>
      </c>
      <c r="D253" s="10" t="s">
        <v>529</v>
      </c>
      <c r="E253" s="17">
        <v>21.65</v>
      </c>
      <c r="F253" s="17">
        <v>5.55</v>
      </c>
      <c r="G253" s="18">
        <v>4</v>
      </c>
      <c r="H253" s="18" t="s">
        <v>530</v>
      </c>
      <c r="I253" s="10" t="s">
        <v>531</v>
      </c>
    </row>
    <row r="254" spans="1:9" x14ac:dyDescent="0.25">
      <c r="A254" t="s">
        <v>76</v>
      </c>
      <c r="B254" s="1" t="s">
        <v>16</v>
      </c>
      <c r="C254" s="2">
        <v>89647568</v>
      </c>
      <c r="D254" s="10" t="s">
        <v>532</v>
      </c>
      <c r="E254" s="17">
        <v>23.13</v>
      </c>
      <c r="F254" s="17">
        <v>5.05</v>
      </c>
      <c r="G254" s="18" t="s">
        <v>533</v>
      </c>
      <c r="H254" s="18" t="s">
        <v>534</v>
      </c>
      <c r="I254" s="10" t="s">
        <v>535</v>
      </c>
    </row>
    <row r="255" spans="1:9" x14ac:dyDescent="0.25">
      <c r="A255" t="s">
        <v>76</v>
      </c>
      <c r="B255" s="1" t="s">
        <v>17</v>
      </c>
      <c r="C255" s="2">
        <v>95478871</v>
      </c>
      <c r="D255" s="10" t="s">
        <v>536</v>
      </c>
      <c r="E255" s="17">
        <v>21.1</v>
      </c>
      <c r="F255" s="17">
        <v>5.0599999999999996</v>
      </c>
      <c r="G255" s="18" t="s">
        <v>537</v>
      </c>
      <c r="H255" s="18" t="s">
        <v>538</v>
      </c>
      <c r="I255" s="10" t="s">
        <v>539</v>
      </c>
    </row>
    <row r="256" spans="1:9" x14ac:dyDescent="0.25">
      <c r="A256" t="s">
        <v>76</v>
      </c>
      <c r="B256" s="1" t="s">
        <v>18</v>
      </c>
      <c r="C256" s="2">
        <v>101002784</v>
      </c>
      <c r="D256" s="10" t="s">
        <v>540</v>
      </c>
      <c r="E256" s="17">
        <v>22.56</v>
      </c>
      <c r="F256" s="17">
        <v>5.09</v>
      </c>
      <c r="G256" s="18" t="s">
        <v>541</v>
      </c>
      <c r="H256" s="18" t="s">
        <v>542</v>
      </c>
      <c r="I256" s="10" t="s">
        <v>543</v>
      </c>
    </row>
    <row r="257" spans="1:9" x14ac:dyDescent="0.25">
      <c r="A257" t="s">
        <v>76</v>
      </c>
      <c r="B257" s="1" t="s">
        <v>19</v>
      </c>
      <c r="C257" s="2">
        <v>100723330</v>
      </c>
      <c r="D257" s="10" t="s">
        <v>544</v>
      </c>
      <c r="E257" s="17">
        <v>23.52</v>
      </c>
      <c r="F257" s="17">
        <v>5.1100000000000003</v>
      </c>
      <c r="G257" s="18" t="s">
        <v>545</v>
      </c>
      <c r="H257" s="18" t="s">
        <v>344</v>
      </c>
      <c r="I257" s="10" t="s">
        <v>546</v>
      </c>
    </row>
    <row r="258" spans="1:9" x14ac:dyDescent="0.25">
      <c r="A258" t="s">
        <v>76</v>
      </c>
      <c r="B258" s="1" t="s">
        <v>20</v>
      </c>
      <c r="C258" s="10" t="s">
        <v>148</v>
      </c>
      <c r="D258" s="10" t="s">
        <v>547</v>
      </c>
      <c r="E258" s="18" t="s">
        <v>548</v>
      </c>
      <c r="F258" s="18" t="s">
        <v>549</v>
      </c>
      <c r="G258" s="18" t="s">
        <v>484</v>
      </c>
      <c r="H258" s="18" t="s">
        <v>538</v>
      </c>
      <c r="I258" s="10" t="s">
        <v>550</v>
      </c>
    </row>
    <row r="259" spans="1:9" x14ac:dyDescent="0.25">
      <c r="A259" t="s">
        <v>76</v>
      </c>
      <c r="B259" s="1" t="s">
        <v>21</v>
      </c>
      <c r="C259" s="10" t="s">
        <v>149</v>
      </c>
      <c r="D259" s="10" t="s">
        <v>551</v>
      </c>
      <c r="E259" s="18" t="s">
        <v>552</v>
      </c>
      <c r="F259" s="18" t="s">
        <v>230</v>
      </c>
      <c r="G259" s="18" t="s">
        <v>553</v>
      </c>
      <c r="H259" s="18" t="s">
        <v>344</v>
      </c>
      <c r="I259" s="10" t="s">
        <v>554</v>
      </c>
    </row>
    <row r="260" spans="1:9" x14ac:dyDescent="0.25">
      <c r="A260" t="s">
        <v>76</v>
      </c>
      <c r="B260" s="1" t="s">
        <v>22</v>
      </c>
      <c r="C260" s="10" t="s">
        <v>150</v>
      </c>
      <c r="D260" s="10" t="s">
        <v>555</v>
      </c>
      <c r="E260" s="18" t="s">
        <v>556</v>
      </c>
      <c r="F260" s="18" t="s">
        <v>557</v>
      </c>
      <c r="G260" s="18" t="s">
        <v>558</v>
      </c>
      <c r="H260" s="18" t="s">
        <v>559</v>
      </c>
      <c r="I260" s="10" t="s">
        <v>560</v>
      </c>
    </row>
    <row r="261" spans="1:9" x14ac:dyDescent="0.25">
      <c r="A261" t="s">
        <v>76</v>
      </c>
      <c r="B261" s="1" t="s">
        <v>23</v>
      </c>
      <c r="C261" s="8">
        <v>103031367</v>
      </c>
      <c r="D261" s="8">
        <v>91585506</v>
      </c>
      <c r="E261" s="19">
        <v>24.74</v>
      </c>
      <c r="F261" s="18">
        <v>5.1100000000000003</v>
      </c>
      <c r="G261" s="19">
        <v>2.83</v>
      </c>
      <c r="H261" s="19">
        <v>1.95</v>
      </c>
      <c r="I261" s="8">
        <v>1318612</v>
      </c>
    </row>
    <row r="262" spans="1:9" x14ac:dyDescent="0.25">
      <c r="A262" t="s">
        <v>84</v>
      </c>
      <c r="B262" s="1" t="s">
        <v>4</v>
      </c>
      <c r="C262" s="2">
        <v>22434585</v>
      </c>
      <c r="D262" s="10" t="s">
        <v>562</v>
      </c>
      <c r="E262" s="17">
        <v>22.4</v>
      </c>
      <c r="F262" s="17">
        <v>1.84</v>
      </c>
      <c r="G262" s="17">
        <v>2.63</v>
      </c>
      <c r="H262" s="17">
        <v>-0.84</v>
      </c>
      <c r="I262" s="9">
        <v>459694</v>
      </c>
    </row>
    <row r="263" spans="1:9" x14ac:dyDescent="0.25">
      <c r="A263" t="s">
        <v>84</v>
      </c>
      <c r="B263" s="1" t="s">
        <v>5</v>
      </c>
      <c r="C263" s="2">
        <v>20573665</v>
      </c>
      <c r="D263" s="10" t="s">
        <v>563</v>
      </c>
      <c r="E263" s="17">
        <v>21.55</v>
      </c>
      <c r="F263" s="17">
        <v>1.82</v>
      </c>
      <c r="G263" s="17">
        <v>2.69</v>
      </c>
      <c r="H263" s="17">
        <v>-0.85</v>
      </c>
      <c r="I263" s="9">
        <v>457246</v>
      </c>
    </row>
    <row r="264" spans="1:9" x14ac:dyDescent="0.25">
      <c r="A264" t="s">
        <v>84</v>
      </c>
      <c r="B264" s="1" t="s">
        <v>6</v>
      </c>
      <c r="C264" s="2">
        <v>21095742</v>
      </c>
      <c r="D264" s="10" t="s">
        <v>564</v>
      </c>
      <c r="E264" s="17">
        <v>21.5</v>
      </c>
      <c r="F264" s="17">
        <v>1.57</v>
      </c>
      <c r="G264" s="17">
        <v>4.16</v>
      </c>
      <c r="H264" s="17">
        <v>-0.97</v>
      </c>
      <c r="I264" s="9">
        <v>450032</v>
      </c>
    </row>
    <row r="265" spans="1:9" x14ac:dyDescent="0.25">
      <c r="A265" t="s">
        <v>84</v>
      </c>
      <c r="B265" s="1" t="s">
        <v>7</v>
      </c>
      <c r="C265" s="2">
        <v>20486926</v>
      </c>
      <c r="D265" s="10" t="s">
        <v>565</v>
      </c>
      <c r="E265" s="17">
        <v>26.5</v>
      </c>
      <c r="F265" s="17">
        <v>1.73</v>
      </c>
      <c r="G265" s="17">
        <v>2.4900000000000002</v>
      </c>
      <c r="H265" s="17">
        <v>0.12</v>
      </c>
      <c r="I265" s="9">
        <v>173634</v>
      </c>
    </row>
    <row r="266" spans="1:9" x14ac:dyDescent="0.25">
      <c r="A266" t="s">
        <v>84</v>
      </c>
      <c r="B266" s="1" t="s">
        <v>8</v>
      </c>
      <c r="C266" s="2">
        <v>18785634</v>
      </c>
      <c r="D266" s="10" t="s">
        <v>566</v>
      </c>
      <c r="E266" s="17">
        <v>27.55</v>
      </c>
      <c r="F266" s="17">
        <v>2.17</v>
      </c>
      <c r="G266" s="17">
        <v>3.7</v>
      </c>
      <c r="H266" s="17">
        <v>-1.02</v>
      </c>
      <c r="I266" s="9">
        <v>203448</v>
      </c>
    </row>
    <row r="267" spans="1:9" x14ac:dyDescent="0.25">
      <c r="A267" t="s">
        <v>84</v>
      </c>
      <c r="B267" s="1" t="s">
        <v>9</v>
      </c>
      <c r="C267" s="2">
        <v>21218758</v>
      </c>
      <c r="D267" s="10" t="s">
        <v>567</v>
      </c>
      <c r="E267" s="17">
        <v>21.88</v>
      </c>
      <c r="F267" s="17">
        <v>2.1800000000000002</v>
      </c>
      <c r="G267" s="17">
        <v>4.68</v>
      </c>
      <c r="H267" s="17">
        <v>-0.52</v>
      </c>
      <c r="I267" s="9">
        <v>200149</v>
      </c>
    </row>
    <row r="268" spans="1:9" x14ac:dyDescent="0.25">
      <c r="A268" t="s">
        <v>84</v>
      </c>
      <c r="B268" s="1" t="s">
        <v>10</v>
      </c>
      <c r="C268" s="2">
        <v>21621173</v>
      </c>
      <c r="D268" s="10" t="s">
        <v>568</v>
      </c>
      <c r="E268" s="17">
        <v>22.28</v>
      </c>
      <c r="F268" s="17">
        <v>2.5099999999999998</v>
      </c>
      <c r="G268" s="17">
        <v>4.6500000000000004</v>
      </c>
      <c r="H268" s="17">
        <v>-0.22</v>
      </c>
      <c r="I268" s="9">
        <v>198667</v>
      </c>
    </row>
    <row r="269" spans="1:9" x14ac:dyDescent="0.25">
      <c r="A269" t="s">
        <v>84</v>
      </c>
      <c r="B269" s="1" t="s">
        <v>11</v>
      </c>
      <c r="C269" s="2">
        <v>23021785</v>
      </c>
      <c r="D269" s="10" t="s">
        <v>569</v>
      </c>
      <c r="E269" s="17">
        <v>21.08</v>
      </c>
      <c r="F269" s="17">
        <v>2.56</v>
      </c>
      <c r="G269" s="17">
        <v>5.63</v>
      </c>
      <c r="H269" s="17">
        <v>0.02</v>
      </c>
      <c r="I269" s="9">
        <v>173743</v>
      </c>
    </row>
    <row r="270" spans="1:9" x14ac:dyDescent="0.25">
      <c r="A270" t="s">
        <v>84</v>
      </c>
      <c r="B270" s="1" t="s">
        <v>12</v>
      </c>
      <c r="C270" s="2">
        <v>21324429</v>
      </c>
      <c r="D270" s="10" t="s">
        <v>570</v>
      </c>
      <c r="E270" s="17">
        <v>20.36</v>
      </c>
      <c r="F270" s="17">
        <v>1.82</v>
      </c>
      <c r="G270" s="17">
        <v>8.41</v>
      </c>
      <c r="H270" s="17">
        <v>-0.34</v>
      </c>
      <c r="I270" s="9">
        <v>700899</v>
      </c>
    </row>
    <row r="271" spans="1:9" x14ac:dyDescent="0.25">
      <c r="A271" t="s">
        <v>84</v>
      </c>
      <c r="B271" s="1" t="s">
        <v>13</v>
      </c>
      <c r="C271" s="2">
        <v>21394130</v>
      </c>
      <c r="D271" s="10" t="s">
        <v>571</v>
      </c>
      <c r="E271" s="17">
        <v>18.489999999999998</v>
      </c>
      <c r="F271" s="17">
        <v>1.7</v>
      </c>
      <c r="G271" s="17">
        <v>9.56</v>
      </c>
      <c r="H271" s="17">
        <v>-4.83</v>
      </c>
      <c r="I271" s="9">
        <v>875560</v>
      </c>
    </row>
    <row r="272" spans="1:9" x14ac:dyDescent="0.25">
      <c r="A272" t="s">
        <v>84</v>
      </c>
      <c r="B272" s="1" t="s">
        <v>14</v>
      </c>
      <c r="C272" s="2">
        <v>20971901</v>
      </c>
      <c r="D272" s="10" t="s">
        <v>572</v>
      </c>
      <c r="E272" s="17">
        <v>18.25</v>
      </c>
      <c r="F272" s="17">
        <v>1.63</v>
      </c>
      <c r="G272" s="17">
        <v>7.02</v>
      </c>
      <c r="H272" s="17">
        <v>-3.82</v>
      </c>
      <c r="I272" s="9">
        <v>535068</v>
      </c>
    </row>
    <row r="273" spans="1:9" x14ac:dyDescent="0.25">
      <c r="A273" t="s">
        <v>84</v>
      </c>
      <c r="B273" s="1" t="s">
        <v>15</v>
      </c>
      <c r="C273" s="9">
        <v>18297700</v>
      </c>
      <c r="D273" s="10" t="s">
        <v>573</v>
      </c>
      <c r="E273" s="18">
        <v>24.53</v>
      </c>
      <c r="F273" s="18">
        <v>1.61</v>
      </c>
      <c r="G273" s="18">
        <v>4.66</v>
      </c>
      <c r="H273" s="17">
        <v>-1.24</v>
      </c>
      <c r="I273" s="9">
        <v>656986</v>
      </c>
    </row>
    <row r="274" spans="1:9" x14ac:dyDescent="0.25">
      <c r="A274" t="s">
        <v>84</v>
      </c>
      <c r="B274" s="1" t="s">
        <v>16</v>
      </c>
      <c r="C274" s="9">
        <v>18438704</v>
      </c>
      <c r="D274" s="10" t="s">
        <v>574</v>
      </c>
      <c r="E274" s="18">
        <v>23.69</v>
      </c>
      <c r="F274" s="18">
        <v>2.42</v>
      </c>
      <c r="G274" s="16">
        <v>3.22</v>
      </c>
      <c r="H274" s="17">
        <v>-2.89</v>
      </c>
      <c r="I274" s="9">
        <v>459519</v>
      </c>
    </row>
    <row r="275" spans="1:9" x14ac:dyDescent="0.25">
      <c r="A275" t="s">
        <v>84</v>
      </c>
      <c r="B275" s="1" t="s">
        <v>17</v>
      </c>
      <c r="C275" s="9">
        <v>17025906</v>
      </c>
      <c r="D275" s="10" t="s">
        <v>575</v>
      </c>
      <c r="E275" s="18">
        <v>21.61</v>
      </c>
      <c r="F275" s="18">
        <v>2.2400000000000002</v>
      </c>
      <c r="G275" s="18">
        <v>7.56</v>
      </c>
      <c r="H275" s="17">
        <v>-6.13</v>
      </c>
      <c r="I275" s="9">
        <v>842858</v>
      </c>
    </row>
    <row r="276" spans="1:9" x14ac:dyDescent="0.25">
      <c r="A276" t="s">
        <v>84</v>
      </c>
      <c r="B276" s="1" t="s">
        <v>18</v>
      </c>
      <c r="C276" s="9">
        <v>16851777</v>
      </c>
      <c r="D276" s="10" t="s">
        <v>576</v>
      </c>
      <c r="E276" s="18">
        <v>20.59</v>
      </c>
      <c r="F276" s="18">
        <v>2.37</v>
      </c>
      <c r="G276" s="18">
        <v>7.77</v>
      </c>
      <c r="H276" s="17">
        <v>-4.1100000000000003</v>
      </c>
      <c r="I276" s="9">
        <v>823991</v>
      </c>
    </row>
    <row r="277" spans="1:9" x14ac:dyDescent="0.25">
      <c r="A277" t="s">
        <v>84</v>
      </c>
      <c r="B277" s="1" t="s">
        <v>19</v>
      </c>
      <c r="C277" s="9">
        <v>17701527</v>
      </c>
      <c r="D277" s="10" t="s">
        <v>577</v>
      </c>
      <c r="E277" s="18">
        <v>29.92</v>
      </c>
      <c r="F277" s="18">
        <v>2.34</v>
      </c>
      <c r="G277" s="18">
        <v>0.08</v>
      </c>
      <c r="H277" s="17">
        <v>-8.5</v>
      </c>
      <c r="I277" s="9">
        <v>321175</v>
      </c>
    </row>
    <row r="278" spans="1:9" x14ac:dyDescent="0.25">
      <c r="A278" t="s">
        <v>84</v>
      </c>
      <c r="B278" s="1" t="s">
        <v>20</v>
      </c>
      <c r="C278" s="10" t="s">
        <v>172</v>
      </c>
      <c r="D278" s="10" t="s">
        <v>578</v>
      </c>
      <c r="E278" s="18" t="s">
        <v>579</v>
      </c>
      <c r="F278" s="18" t="s">
        <v>267</v>
      </c>
      <c r="G278" s="18" t="s">
        <v>580</v>
      </c>
      <c r="H278" s="17" t="s">
        <v>561</v>
      </c>
      <c r="I278" s="9">
        <v>307394</v>
      </c>
    </row>
    <row r="279" spans="1:9" x14ac:dyDescent="0.25">
      <c r="A279" t="s">
        <v>84</v>
      </c>
      <c r="B279" s="1" t="s">
        <v>21</v>
      </c>
      <c r="C279" s="10" t="s">
        <v>173</v>
      </c>
      <c r="D279" s="10" t="s">
        <v>581</v>
      </c>
      <c r="E279" s="18" t="s">
        <v>582</v>
      </c>
      <c r="F279" s="18" t="s">
        <v>583</v>
      </c>
      <c r="G279" s="18" t="s">
        <v>580</v>
      </c>
      <c r="H279" s="17" t="s">
        <v>505</v>
      </c>
      <c r="I279" s="9">
        <v>444086</v>
      </c>
    </row>
    <row r="280" spans="1:9" x14ac:dyDescent="0.25">
      <c r="A280" t="s">
        <v>84</v>
      </c>
      <c r="B280" s="1" t="s">
        <v>22</v>
      </c>
      <c r="C280" s="10" t="s">
        <v>174</v>
      </c>
      <c r="D280" s="10" t="s">
        <v>584</v>
      </c>
      <c r="E280" s="18" t="s">
        <v>585</v>
      </c>
      <c r="F280" s="18" t="s">
        <v>586</v>
      </c>
      <c r="G280" s="18" t="s">
        <v>587</v>
      </c>
      <c r="H280" s="17">
        <v>-2.8</v>
      </c>
      <c r="I280" s="9">
        <v>864708</v>
      </c>
    </row>
    <row r="281" spans="1:9" x14ac:dyDescent="0.25">
      <c r="A281" t="s">
        <v>84</v>
      </c>
      <c r="B281" s="1" t="s">
        <v>23</v>
      </c>
      <c r="C281" s="7">
        <v>16717087</v>
      </c>
      <c r="D281" s="7">
        <v>12063668</v>
      </c>
      <c r="E281" s="16">
        <v>38.590000000000003</v>
      </c>
      <c r="F281" s="18" t="s">
        <v>303</v>
      </c>
      <c r="G281" s="18" t="s">
        <v>416</v>
      </c>
      <c r="H281" s="17">
        <v>-2.42</v>
      </c>
      <c r="I281" s="7">
        <v>406127</v>
      </c>
    </row>
    <row r="282" spans="1:9" x14ac:dyDescent="0.25">
      <c r="A282" t="s">
        <v>85</v>
      </c>
      <c r="B282" s="1" t="s">
        <v>4</v>
      </c>
      <c r="C282" s="9">
        <v>28185185</v>
      </c>
      <c r="D282" s="10" t="s">
        <v>588</v>
      </c>
      <c r="E282" s="18">
        <v>24.48</v>
      </c>
      <c r="F282" s="18">
        <v>5.07</v>
      </c>
      <c r="G282" s="18">
        <v>1.63</v>
      </c>
      <c r="H282" s="18">
        <v>2.79</v>
      </c>
      <c r="I282" s="9">
        <v>174757</v>
      </c>
    </row>
    <row r="283" spans="1:9" x14ac:dyDescent="0.25">
      <c r="A283" t="s">
        <v>85</v>
      </c>
      <c r="B283" s="1" t="s">
        <v>5</v>
      </c>
      <c r="C283" s="9">
        <v>27961844</v>
      </c>
      <c r="D283" s="10" t="s">
        <v>589</v>
      </c>
      <c r="E283" s="18">
        <v>23.14</v>
      </c>
      <c r="F283" s="18">
        <v>5.12</v>
      </c>
      <c r="G283" s="18">
        <v>1.76</v>
      </c>
      <c r="H283" s="18">
        <v>2.89</v>
      </c>
      <c r="I283" s="9">
        <v>197010</v>
      </c>
    </row>
    <row r="284" spans="1:9" x14ac:dyDescent="0.25">
      <c r="A284" t="s">
        <v>85</v>
      </c>
      <c r="B284" s="1" t="s">
        <v>6</v>
      </c>
      <c r="C284" s="9">
        <v>28879204</v>
      </c>
      <c r="D284" s="10" t="s">
        <v>590</v>
      </c>
      <c r="E284" s="18">
        <v>23.02</v>
      </c>
      <c r="F284" s="18">
        <v>5.14</v>
      </c>
      <c r="G284" s="18">
        <v>2.57</v>
      </c>
      <c r="H284" s="18">
        <v>2.56</v>
      </c>
      <c r="I284" s="9">
        <v>272685</v>
      </c>
    </row>
    <row r="285" spans="1:9" x14ac:dyDescent="0.25">
      <c r="A285" t="s">
        <v>85</v>
      </c>
      <c r="B285" s="1" t="s">
        <v>7</v>
      </c>
      <c r="C285" s="9">
        <v>29631693</v>
      </c>
      <c r="D285" s="10" t="s">
        <v>591</v>
      </c>
      <c r="E285" s="16">
        <v>23.04</v>
      </c>
      <c r="F285" s="18">
        <v>5.04</v>
      </c>
      <c r="G285" s="18">
        <v>1.72</v>
      </c>
      <c r="H285" s="18">
        <v>2.59</v>
      </c>
      <c r="I285" s="9">
        <v>234392</v>
      </c>
    </row>
    <row r="286" spans="1:9" x14ac:dyDescent="0.25">
      <c r="A286" t="s">
        <v>85</v>
      </c>
      <c r="B286" s="1" t="s">
        <v>8</v>
      </c>
      <c r="C286" s="9">
        <v>31682518</v>
      </c>
      <c r="D286" s="10" t="s">
        <v>592</v>
      </c>
      <c r="E286" s="18">
        <v>21.43</v>
      </c>
      <c r="F286" s="18">
        <v>4.46</v>
      </c>
      <c r="G286" s="18">
        <v>1.71</v>
      </c>
      <c r="H286" s="18">
        <v>2.56</v>
      </c>
      <c r="I286" s="9">
        <v>262388</v>
      </c>
    </row>
    <row r="287" spans="1:9" x14ac:dyDescent="0.25">
      <c r="A287" t="s">
        <v>85</v>
      </c>
      <c r="B287" s="1" t="s">
        <v>9</v>
      </c>
      <c r="C287" s="9">
        <v>37114722</v>
      </c>
      <c r="D287" s="10" t="s">
        <v>593</v>
      </c>
      <c r="E287" s="18">
        <v>20.68</v>
      </c>
      <c r="F287" s="18">
        <v>4.03</v>
      </c>
      <c r="G287" s="18">
        <v>1.88</v>
      </c>
      <c r="H287" s="18">
        <v>2.4900000000000002</v>
      </c>
      <c r="I287" s="9">
        <v>263687</v>
      </c>
    </row>
    <row r="288" spans="1:9" x14ac:dyDescent="0.25">
      <c r="A288" t="s">
        <v>85</v>
      </c>
      <c r="B288" s="1" t="s">
        <v>10</v>
      </c>
      <c r="C288" s="9">
        <v>39065823</v>
      </c>
      <c r="D288" s="10" t="s">
        <v>594</v>
      </c>
      <c r="E288" s="18">
        <v>20.36</v>
      </c>
      <c r="F288" s="18">
        <v>3.62</v>
      </c>
      <c r="G288" s="18">
        <v>1.91</v>
      </c>
      <c r="H288" s="18">
        <v>2.2000000000000002</v>
      </c>
      <c r="I288" s="9">
        <v>273047</v>
      </c>
    </row>
    <row r="289" spans="1:9" x14ac:dyDescent="0.25">
      <c r="A289" t="s">
        <v>85</v>
      </c>
      <c r="B289" s="1" t="s">
        <v>11</v>
      </c>
      <c r="C289" s="9">
        <v>36936262</v>
      </c>
      <c r="D289" s="10" t="s">
        <v>595</v>
      </c>
      <c r="E289" s="18">
        <v>20.02</v>
      </c>
      <c r="F289" s="18">
        <v>3.4</v>
      </c>
      <c r="G289" s="18">
        <v>1.64</v>
      </c>
      <c r="H289" s="18">
        <v>1.88</v>
      </c>
      <c r="I289" s="9">
        <v>244743</v>
      </c>
    </row>
    <row r="290" spans="1:9" x14ac:dyDescent="0.25">
      <c r="A290" t="s">
        <v>85</v>
      </c>
      <c r="B290" s="1" t="s">
        <v>12</v>
      </c>
      <c r="C290" s="9">
        <v>38260154</v>
      </c>
      <c r="D290" s="10" t="s">
        <v>596</v>
      </c>
      <c r="E290" s="18">
        <v>17.96</v>
      </c>
      <c r="F290" s="18">
        <v>3.02</v>
      </c>
      <c r="G290" s="18">
        <v>1.72</v>
      </c>
      <c r="H290" s="18">
        <v>1.83</v>
      </c>
      <c r="I290" s="9">
        <v>359984</v>
      </c>
    </row>
    <row r="291" spans="1:9" x14ac:dyDescent="0.25">
      <c r="A291" t="s">
        <v>85</v>
      </c>
      <c r="B291" s="1" t="s">
        <v>13</v>
      </c>
      <c r="C291" s="9">
        <v>36118896</v>
      </c>
      <c r="D291" s="10" t="s">
        <v>597</v>
      </c>
      <c r="E291" s="18">
        <v>19.14</v>
      </c>
      <c r="F291" s="18">
        <v>3.28</v>
      </c>
      <c r="G291" s="18">
        <v>1.42</v>
      </c>
      <c r="H291" s="18">
        <v>1.79</v>
      </c>
      <c r="I291" s="9">
        <v>365352</v>
      </c>
    </row>
    <row r="292" spans="1:9" x14ac:dyDescent="0.25">
      <c r="A292" t="s">
        <v>85</v>
      </c>
      <c r="B292" s="1" t="s">
        <v>14</v>
      </c>
      <c r="C292" s="9">
        <v>39411352</v>
      </c>
      <c r="D292" s="10" t="s">
        <v>598</v>
      </c>
      <c r="E292" s="18">
        <v>19.059999999999999</v>
      </c>
      <c r="F292" s="18">
        <v>3.4</v>
      </c>
      <c r="G292" s="18">
        <v>1.32</v>
      </c>
      <c r="H292" s="18">
        <v>1.94</v>
      </c>
      <c r="I292" s="9">
        <v>372718</v>
      </c>
    </row>
    <row r="293" spans="1:9" x14ac:dyDescent="0.25">
      <c r="A293" t="s">
        <v>85</v>
      </c>
      <c r="B293" s="1" t="s">
        <v>15</v>
      </c>
      <c r="C293" s="9">
        <v>38053939</v>
      </c>
      <c r="D293" s="10" t="s">
        <v>599</v>
      </c>
      <c r="E293" s="18">
        <v>19.989999999999998</v>
      </c>
      <c r="F293" s="18">
        <v>3.82</v>
      </c>
      <c r="G293" s="18">
        <v>1.1200000000000001</v>
      </c>
      <c r="H293" s="18">
        <v>1.84</v>
      </c>
      <c r="I293" s="9">
        <v>432834</v>
      </c>
    </row>
    <row r="294" spans="1:9" x14ac:dyDescent="0.25">
      <c r="A294" t="s">
        <v>85</v>
      </c>
      <c r="B294" s="1" t="s">
        <v>16</v>
      </c>
      <c r="C294" s="9">
        <v>40053044</v>
      </c>
      <c r="D294" s="10" t="s">
        <v>600</v>
      </c>
      <c r="E294" s="18">
        <v>19.93</v>
      </c>
      <c r="F294" s="18">
        <v>4.0999999999999996</v>
      </c>
      <c r="G294" s="18">
        <v>1.06</v>
      </c>
      <c r="H294" s="18">
        <v>2.13</v>
      </c>
      <c r="I294" s="9">
        <v>442927</v>
      </c>
    </row>
    <row r="295" spans="1:9" x14ac:dyDescent="0.25">
      <c r="A295" t="s">
        <v>85</v>
      </c>
      <c r="B295" s="1" t="s">
        <v>17</v>
      </c>
      <c r="C295" s="9">
        <v>40666380</v>
      </c>
      <c r="D295" s="10" t="s">
        <v>601</v>
      </c>
      <c r="E295" s="18">
        <v>19.96</v>
      </c>
      <c r="F295" s="18">
        <v>4.12</v>
      </c>
      <c r="G295" s="18">
        <v>0.98</v>
      </c>
      <c r="H295" s="18">
        <v>2.0299999999999998</v>
      </c>
      <c r="I295" s="9">
        <v>472549</v>
      </c>
    </row>
    <row r="296" spans="1:9" x14ac:dyDescent="0.25">
      <c r="A296" t="s">
        <v>85</v>
      </c>
      <c r="B296" s="1" t="s">
        <v>18</v>
      </c>
      <c r="C296" s="9">
        <v>41266849</v>
      </c>
      <c r="D296" s="10" t="s">
        <v>602</v>
      </c>
      <c r="E296" s="18">
        <v>24.77</v>
      </c>
      <c r="F296" s="18">
        <v>4.0999999999999996</v>
      </c>
      <c r="G296" s="18">
        <v>1</v>
      </c>
      <c r="H296" s="18">
        <v>1.9</v>
      </c>
      <c r="I296" s="9">
        <v>544580</v>
      </c>
    </row>
    <row r="297" spans="1:9" x14ac:dyDescent="0.25">
      <c r="A297" t="s">
        <v>85</v>
      </c>
      <c r="B297" s="1" t="s">
        <v>19</v>
      </c>
      <c r="C297" s="9">
        <v>43801571</v>
      </c>
      <c r="D297" s="10" t="s">
        <v>603</v>
      </c>
      <c r="E297" s="18">
        <v>24.48</v>
      </c>
      <c r="F297" s="18">
        <v>4.16</v>
      </c>
      <c r="G297" s="18">
        <v>0.93</v>
      </c>
      <c r="H297" s="18">
        <v>2</v>
      </c>
      <c r="I297" s="9">
        <v>388752</v>
      </c>
    </row>
    <row r="298" spans="1:9" x14ac:dyDescent="0.25">
      <c r="A298" t="s">
        <v>85</v>
      </c>
      <c r="B298" s="1" t="s">
        <v>20</v>
      </c>
      <c r="C298" s="10" t="s">
        <v>175</v>
      </c>
      <c r="D298" s="10" t="s">
        <v>604</v>
      </c>
      <c r="E298" s="18" t="s">
        <v>605</v>
      </c>
      <c r="F298" s="18" t="s">
        <v>606</v>
      </c>
      <c r="G298" s="18" t="s">
        <v>607</v>
      </c>
      <c r="H298" s="18" t="s">
        <v>608</v>
      </c>
      <c r="I298" s="9">
        <v>398387</v>
      </c>
    </row>
    <row r="299" spans="1:9" x14ac:dyDescent="0.25">
      <c r="A299" s="6" t="s">
        <v>85</v>
      </c>
      <c r="B299" s="1" t="s">
        <v>21</v>
      </c>
      <c r="C299" s="9">
        <v>47780374</v>
      </c>
      <c r="D299" s="7">
        <v>38282449</v>
      </c>
      <c r="E299" s="18">
        <v>22.68</v>
      </c>
      <c r="F299" s="18">
        <v>4.34</v>
      </c>
      <c r="G299" s="18">
        <v>1.07</v>
      </c>
      <c r="H299" s="18">
        <v>2.48</v>
      </c>
      <c r="I299" s="7">
        <v>424555</v>
      </c>
    </row>
    <row r="300" spans="1:9" x14ac:dyDescent="0.25">
      <c r="A300" t="s">
        <v>85</v>
      </c>
      <c r="B300" s="1" t="s">
        <v>22</v>
      </c>
      <c r="C300" s="7">
        <v>48994215</v>
      </c>
      <c r="D300" s="7">
        <v>39321841</v>
      </c>
      <c r="E300" s="18">
        <v>22.86</v>
      </c>
      <c r="F300" s="16">
        <v>4.49</v>
      </c>
      <c r="G300" s="18">
        <v>1.07</v>
      </c>
      <c r="H300" s="18">
        <v>2.33</v>
      </c>
      <c r="I300" s="7">
        <v>572030</v>
      </c>
    </row>
    <row r="301" spans="1:9" x14ac:dyDescent="0.25">
      <c r="A301" t="s">
        <v>85</v>
      </c>
      <c r="B301" s="1" t="s">
        <v>23</v>
      </c>
      <c r="C301" s="8">
        <v>51499424</v>
      </c>
      <c r="D301" s="8">
        <v>41568671</v>
      </c>
      <c r="E301" s="19">
        <v>23.66</v>
      </c>
      <c r="F301" s="18">
        <v>4.41</v>
      </c>
      <c r="G301" s="19">
        <v>1.05</v>
      </c>
      <c r="H301" s="18">
        <v>2.33</v>
      </c>
      <c r="I301" s="8">
        <v>615370</v>
      </c>
    </row>
    <row r="302" spans="1:9" x14ac:dyDescent="0.25">
      <c r="A302" t="s">
        <v>39</v>
      </c>
      <c r="B302" s="1" t="s">
        <v>4</v>
      </c>
      <c r="C302" s="2">
        <v>84142259</v>
      </c>
      <c r="D302" s="2">
        <v>71467482</v>
      </c>
      <c r="E302" s="17">
        <v>21.4</v>
      </c>
      <c r="F302" s="17">
        <v>5.01</v>
      </c>
      <c r="G302" s="17">
        <v>2.34</v>
      </c>
      <c r="H302" s="17">
        <v>2.0499999999999998</v>
      </c>
      <c r="I302" s="2">
        <v>453023</v>
      </c>
    </row>
    <row r="303" spans="1:9" x14ac:dyDescent="0.25">
      <c r="A303" t="s">
        <v>39</v>
      </c>
      <c r="B303" s="1" t="s">
        <v>5</v>
      </c>
      <c r="C303" s="2">
        <v>82963039</v>
      </c>
      <c r="D303" s="2">
        <v>70608188</v>
      </c>
      <c r="E303" s="17">
        <v>21.06</v>
      </c>
      <c r="F303" s="17">
        <v>5.14</v>
      </c>
      <c r="G303" s="17">
        <v>2.2799999999999998</v>
      </c>
      <c r="H303" s="17">
        <v>2.0699999999999998</v>
      </c>
      <c r="I303" s="2">
        <v>447455</v>
      </c>
    </row>
    <row r="304" spans="1:9" x14ac:dyDescent="0.25">
      <c r="A304" t="s">
        <v>39</v>
      </c>
      <c r="B304" s="1" t="s">
        <v>6</v>
      </c>
      <c r="C304" s="2">
        <v>77362176</v>
      </c>
      <c r="D304" s="2">
        <v>64631795</v>
      </c>
      <c r="E304" s="17">
        <v>21.03</v>
      </c>
      <c r="F304" s="17">
        <v>5.32</v>
      </c>
      <c r="G304" s="17">
        <v>2.19</v>
      </c>
      <c r="H304" s="17">
        <v>2.29</v>
      </c>
      <c r="I304" s="2">
        <v>402215</v>
      </c>
    </row>
    <row r="305" spans="1:9" x14ac:dyDescent="0.25">
      <c r="A305" t="s">
        <v>39</v>
      </c>
      <c r="B305" s="1" t="s">
        <v>7</v>
      </c>
      <c r="C305" s="2">
        <v>83761946</v>
      </c>
      <c r="D305" s="7">
        <v>69979273</v>
      </c>
      <c r="E305" s="17">
        <v>22.79</v>
      </c>
      <c r="F305" s="17">
        <v>5.19</v>
      </c>
      <c r="G305" s="17">
        <v>1.6</v>
      </c>
      <c r="H305" s="17">
        <v>2.4700000000000002</v>
      </c>
      <c r="I305" s="2">
        <v>347043</v>
      </c>
    </row>
    <row r="306" spans="1:9" x14ac:dyDescent="0.25">
      <c r="A306" t="s">
        <v>39</v>
      </c>
      <c r="B306" s="1" t="s">
        <v>8</v>
      </c>
      <c r="C306" s="2">
        <v>83972460</v>
      </c>
      <c r="D306" s="2">
        <v>69362092</v>
      </c>
      <c r="E306" s="17">
        <v>24.25</v>
      </c>
      <c r="F306" s="17">
        <v>5.26</v>
      </c>
      <c r="G306" s="17">
        <v>1.75</v>
      </c>
      <c r="H306" s="17">
        <v>2.94</v>
      </c>
      <c r="I306" s="2">
        <v>328632</v>
      </c>
    </row>
    <row r="307" spans="1:9" x14ac:dyDescent="0.25">
      <c r="A307" t="s">
        <v>39</v>
      </c>
      <c r="B307" s="1" t="s">
        <v>9</v>
      </c>
      <c r="C307" s="2">
        <v>84277675</v>
      </c>
      <c r="D307" s="2">
        <v>69917904</v>
      </c>
      <c r="E307" s="17">
        <v>23.26</v>
      </c>
      <c r="F307" s="17">
        <v>5.2</v>
      </c>
      <c r="G307" s="17">
        <v>1.65</v>
      </c>
      <c r="H307" s="17">
        <v>2.7</v>
      </c>
      <c r="I307" s="2">
        <v>328384</v>
      </c>
    </row>
    <row r="308" spans="1:9" x14ac:dyDescent="0.25">
      <c r="A308" t="s">
        <v>39</v>
      </c>
      <c r="B308" s="1" t="s">
        <v>10</v>
      </c>
      <c r="C308" s="2">
        <v>87808884</v>
      </c>
      <c r="D308" s="2">
        <v>72857474</v>
      </c>
      <c r="E308" s="17">
        <v>24.42</v>
      </c>
      <c r="F308" s="17">
        <v>5.17</v>
      </c>
      <c r="G308" s="17">
        <v>1.37</v>
      </c>
      <c r="H308" s="17">
        <v>2.75</v>
      </c>
      <c r="I308" s="2">
        <v>289158</v>
      </c>
    </row>
    <row r="309" spans="1:9" x14ac:dyDescent="0.25">
      <c r="A309" t="s">
        <v>39</v>
      </c>
      <c r="B309" s="1" t="s">
        <v>11</v>
      </c>
      <c r="C309" s="2">
        <v>100803831</v>
      </c>
      <c r="D309" s="2">
        <v>85262393</v>
      </c>
      <c r="E309" s="17">
        <v>23.68</v>
      </c>
      <c r="F309" s="17">
        <v>4.9000000000000004</v>
      </c>
      <c r="G309" s="17">
        <v>2.46</v>
      </c>
      <c r="H309" s="17">
        <v>2.9</v>
      </c>
      <c r="I309" s="2">
        <v>280475</v>
      </c>
    </row>
    <row r="310" spans="1:9" x14ac:dyDescent="0.25">
      <c r="A310" t="s">
        <v>39</v>
      </c>
      <c r="B310" s="1" t="s">
        <v>12</v>
      </c>
      <c r="C310" s="2">
        <v>99260211</v>
      </c>
      <c r="D310" s="2">
        <v>83560471</v>
      </c>
      <c r="E310" s="17">
        <v>24.7</v>
      </c>
      <c r="F310" s="17">
        <v>4.84</v>
      </c>
      <c r="G310" s="17">
        <v>1.55</v>
      </c>
      <c r="H310" s="17">
        <v>3.29</v>
      </c>
      <c r="I310" s="2">
        <v>625990</v>
      </c>
    </row>
    <row r="311" spans="1:9" x14ac:dyDescent="0.25">
      <c r="A311" t="s">
        <v>39</v>
      </c>
      <c r="B311" s="1" t="s">
        <v>13</v>
      </c>
      <c r="C311" s="2">
        <v>99236119</v>
      </c>
      <c r="D311" s="2">
        <v>83930440</v>
      </c>
      <c r="E311" s="17">
        <v>25.34</v>
      </c>
      <c r="F311" s="17">
        <v>4.6500000000000004</v>
      </c>
      <c r="G311" s="17">
        <v>1.56</v>
      </c>
      <c r="H311" s="17">
        <v>2.93</v>
      </c>
      <c r="I311" s="2">
        <v>558293</v>
      </c>
    </row>
    <row r="312" spans="1:9" x14ac:dyDescent="0.25">
      <c r="A312" t="s">
        <v>39</v>
      </c>
      <c r="B312" s="1" t="s">
        <v>14</v>
      </c>
      <c r="C312" s="2">
        <v>103824073</v>
      </c>
      <c r="D312" s="2">
        <v>87789287</v>
      </c>
      <c r="E312" s="17">
        <v>26.01</v>
      </c>
      <c r="F312" s="17">
        <v>4.57</v>
      </c>
      <c r="G312" s="17">
        <v>1.4</v>
      </c>
      <c r="H312" s="17">
        <v>2.92</v>
      </c>
      <c r="I312" s="2">
        <v>485246</v>
      </c>
    </row>
    <row r="313" spans="1:9" x14ac:dyDescent="0.25">
      <c r="A313" t="s">
        <v>39</v>
      </c>
      <c r="B313" s="1" t="s">
        <v>15</v>
      </c>
      <c r="C313" s="2">
        <v>112202653</v>
      </c>
      <c r="D313" s="2">
        <v>93994503</v>
      </c>
      <c r="E313" s="17">
        <v>31.04</v>
      </c>
      <c r="F313" s="17">
        <v>4.42</v>
      </c>
      <c r="G313" s="17">
        <v>1.39</v>
      </c>
      <c r="H313" s="17">
        <v>3.64</v>
      </c>
      <c r="I313" s="2">
        <v>459449</v>
      </c>
    </row>
    <row r="314" spans="1:9" x14ac:dyDescent="0.25">
      <c r="A314" t="s">
        <v>39</v>
      </c>
      <c r="B314" s="1" t="s">
        <v>16</v>
      </c>
      <c r="C314" s="2">
        <v>111592194</v>
      </c>
      <c r="D314" s="2">
        <v>95832900</v>
      </c>
      <c r="E314" s="17">
        <v>26.6</v>
      </c>
      <c r="F314" s="17">
        <v>4.82</v>
      </c>
      <c r="G314" s="17">
        <v>1.3</v>
      </c>
      <c r="H314" s="17">
        <v>3.35</v>
      </c>
      <c r="I314" s="2">
        <v>448481</v>
      </c>
    </row>
    <row r="315" spans="1:9" x14ac:dyDescent="0.25">
      <c r="A315" t="s">
        <v>39</v>
      </c>
      <c r="B315" s="1" t="s">
        <v>17</v>
      </c>
      <c r="C315" s="2">
        <v>115865775</v>
      </c>
      <c r="D315" s="2">
        <v>98873860</v>
      </c>
      <c r="E315" s="17">
        <v>27.31</v>
      </c>
      <c r="F315" s="17">
        <v>4.97</v>
      </c>
      <c r="G315" s="17">
        <v>1.26</v>
      </c>
      <c r="H315" s="17">
        <v>3.45</v>
      </c>
      <c r="I315" s="2">
        <v>465717</v>
      </c>
    </row>
    <row r="316" spans="1:9" x14ac:dyDescent="0.25">
      <c r="A316" t="s">
        <v>39</v>
      </c>
      <c r="B316" s="1" t="s">
        <v>18</v>
      </c>
      <c r="C316" s="2">
        <v>119765037</v>
      </c>
      <c r="D316" s="2">
        <v>101458997</v>
      </c>
      <c r="E316" s="17">
        <v>28.2</v>
      </c>
      <c r="F316" s="17">
        <v>4.9800000000000004</v>
      </c>
      <c r="G316" s="17">
        <v>1.25</v>
      </c>
      <c r="H316" s="17">
        <v>3.66</v>
      </c>
      <c r="I316" s="2">
        <v>494871</v>
      </c>
    </row>
    <row r="317" spans="1:9" x14ac:dyDescent="0.25">
      <c r="A317" t="s">
        <v>39</v>
      </c>
      <c r="B317" s="1" t="s">
        <v>19</v>
      </c>
      <c r="C317" s="2">
        <v>132879390</v>
      </c>
      <c r="D317" s="2">
        <v>113734926</v>
      </c>
      <c r="E317" s="17">
        <v>27.3</v>
      </c>
      <c r="F317" s="17">
        <v>4.75</v>
      </c>
      <c r="G317" s="17">
        <v>1.1200000000000001</v>
      </c>
      <c r="H317" s="17">
        <v>4.22</v>
      </c>
      <c r="I317" s="2">
        <v>507139</v>
      </c>
    </row>
    <row r="318" spans="1:9" x14ac:dyDescent="0.25">
      <c r="A318" t="s">
        <v>39</v>
      </c>
      <c r="B318" s="1" t="s">
        <v>20</v>
      </c>
      <c r="C318" s="2">
        <v>113196061</v>
      </c>
      <c r="D318" s="2">
        <v>96289607</v>
      </c>
      <c r="E318" s="17">
        <v>22.93</v>
      </c>
      <c r="F318" s="17">
        <v>4.99</v>
      </c>
      <c r="G318" s="17">
        <v>1.1399999999999999</v>
      </c>
      <c r="H318" s="17">
        <v>2.83</v>
      </c>
      <c r="I318" s="2">
        <v>514026</v>
      </c>
    </row>
    <row r="319" spans="1:9" x14ac:dyDescent="0.25">
      <c r="A319" t="s">
        <v>39</v>
      </c>
      <c r="B319" s="1" t="s">
        <v>21</v>
      </c>
      <c r="C319" s="2">
        <v>123549904</v>
      </c>
      <c r="D319" s="2">
        <v>106326999</v>
      </c>
      <c r="E319" s="17">
        <v>22.51</v>
      </c>
      <c r="F319" s="17">
        <v>5.35</v>
      </c>
      <c r="G319" s="17">
        <v>1.1599999999999999</v>
      </c>
      <c r="H319" s="17">
        <v>3.06</v>
      </c>
      <c r="I319" s="2">
        <v>552784</v>
      </c>
    </row>
    <row r="320" spans="1:9" x14ac:dyDescent="0.25">
      <c r="A320" t="s">
        <v>39</v>
      </c>
      <c r="B320" s="1" t="s">
        <v>22</v>
      </c>
      <c r="C320" s="2">
        <v>126173172</v>
      </c>
      <c r="D320" s="2">
        <v>108048864</v>
      </c>
      <c r="E320" s="17">
        <v>22.59</v>
      </c>
      <c r="F320" s="17">
        <v>5.6</v>
      </c>
      <c r="G320" s="17">
        <v>1.27</v>
      </c>
      <c r="H320" s="17">
        <v>3.58</v>
      </c>
      <c r="I320" s="2">
        <v>564381</v>
      </c>
    </row>
    <row r="321" spans="1:9" x14ac:dyDescent="0.25">
      <c r="A321" t="s">
        <v>39</v>
      </c>
      <c r="B321" s="1" t="s">
        <v>23</v>
      </c>
      <c r="C321" s="8">
        <v>141750449</v>
      </c>
      <c r="D321" s="8">
        <v>121116769</v>
      </c>
      <c r="E321" s="19">
        <v>25.41</v>
      </c>
      <c r="F321" s="17">
        <v>5.42</v>
      </c>
      <c r="G321" s="19">
        <v>1.23</v>
      </c>
      <c r="H321" s="17">
        <v>4</v>
      </c>
      <c r="I321" s="8">
        <v>572030</v>
      </c>
    </row>
    <row r="322" spans="1:9" x14ac:dyDescent="0.25">
      <c r="A322" t="s">
        <v>86</v>
      </c>
      <c r="B322" s="1" t="s">
        <v>4</v>
      </c>
      <c r="C322" s="14">
        <v>2400706</v>
      </c>
      <c r="D322" s="14">
        <v>1959401</v>
      </c>
      <c r="E322" s="20">
        <v>20.149999999999999</v>
      </c>
      <c r="F322">
        <v>5.13</v>
      </c>
      <c r="G322" s="20">
        <v>3.76</v>
      </c>
      <c r="H322">
        <v>0.27</v>
      </c>
      <c r="I322" s="14">
        <v>21496</v>
      </c>
    </row>
    <row r="323" spans="1:9" x14ac:dyDescent="0.25">
      <c r="A323" t="s">
        <v>86</v>
      </c>
      <c r="B323" s="1" t="s">
        <v>5</v>
      </c>
      <c r="C323" s="14">
        <v>2408175</v>
      </c>
      <c r="D323" s="14">
        <v>1986966</v>
      </c>
      <c r="E323" s="20">
        <v>19.989999999999998</v>
      </c>
      <c r="F323">
        <v>5.28</v>
      </c>
      <c r="G323" s="20">
        <v>6.4</v>
      </c>
      <c r="H323">
        <v>-1.64</v>
      </c>
      <c r="I323" s="14">
        <v>43905</v>
      </c>
    </row>
    <row r="324" spans="1:9" x14ac:dyDescent="0.25">
      <c r="A324" t="s">
        <v>86</v>
      </c>
      <c r="B324" s="1" t="s">
        <v>6</v>
      </c>
      <c r="C324" s="14">
        <v>2446722</v>
      </c>
      <c r="D324" s="14">
        <v>2005549</v>
      </c>
      <c r="E324" s="20">
        <v>20.329999999999998</v>
      </c>
      <c r="F324">
        <v>5.27</v>
      </c>
      <c r="G324" s="20">
        <v>5.36</v>
      </c>
      <c r="H324">
        <v>-1.1499999999999999</v>
      </c>
      <c r="I324" s="14">
        <v>45114</v>
      </c>
    </row>
    <row r="325" spans="1:9" x14ac:dyDescent="0.25">
      <c r="A325" t="s">
        <v>86</v>
      </c>
      <c r="B325" s="1" t="s">
        <v>7</v>
      </c>
      <c r="C325" s="14">
        <v>2264173</v>
      </c>
      <c r="D325" s="14">
        <v>1927691</v>
      </c>
      <c r="E325" s="20">
        <v>16.850000000000001</v>
      </c>
      <c r="F325">
        <v>5.17</v>
      </c>
      <c r="G325" s="20">
        <v>4.07</v>
      </c>
      <c r="H325">
        <v>-5.0599999999999996</v>
      </c>
      <c r="I325" s="14">
        <v>28853</v>
      </c>
    </row>
    <row r="326" spans="1:9" x14ac:dyDescent="0.25">
      <c r="A326" t="s">
        <v>86</v>
      </c>
      <c r="B326" s="1" t="s">
        <v>8</v>
      </c>
      <c r="C326" s="14">
        <v>2287153</v>
      </c>
      <c r="D326" s="14">
        <v>1940752</v>
      </c>
      <c r="E326" s="20">
        <v>17.149999999999999</v>
      </c>
      <c r="F326">
        <v>5.15</v>
      </c>
      <c r="G326" s="20">
        <v>4.08</v>
      </c>
      <c r="H326">
        <v>1.72</v>
      </c>
      <c r="I326" s="15">
        <v>29357</v>
      </c>
    </row>
    <row r="327" spans="1:9" x14ac:dyDescent="0.25">
      <c r="A327" t="s">
        <v>86</v>
      </c>
      <c r="B327" s="1" t="s">
        <v>9</v>
      </c>
      <c r="C327" s="15">
        <v>2768699</v>
      </c>
      <c r="D327" s="14">
        <v>2422951</v>
      </c>
      <c r="E327" s="20">
        <v>16.73</v>
      </c>
      <c r="F327">
        <v>4.91</v>
      </c>
      <c r="G327" s="20">
        <v>3.2</v>
      </c>
      <c r="H327" s="20">
        <v>0.8</v>
      </c>
      <c r="I327" s="14">
        <v>30876</v>
      </c>
    </row>
    <row r="328" spans="1:9" x14ac:dyDescent="0.25">
      <c r="A328" t="s">
        <v>86</v>
      </c>
      <c r="B328" s="1" t="s">
        <v>10</v>
      </c>
      <c r="C328" s="14">
        <v>2512842</v>
      </c>
      <c r="D328" s="14">
        <v>2186144</v>
      </c>
      <c r="E328" s="20">
        <v>17.649999999999999</v>
      </c>
      <c r="F328">
        <v>4.5599999999999996</v>
      </c>
      <c r="G328" s="20">
        <v>4.93</v>
      </c>
      <c r="H328">
        <v>-0.32</v>
      </c>
      <c r="I328" s="14">
        <v>31572</v>
      </c>
    </row>
    <row r="329" spans="1:9" x14ac:dyDescent="0.25">
      <c r="A329" t="s">
        <v>86</v>
      </c>
      <c r="B329" s="1" t="s">
        <v>11</v>
      </c>
      <c r="C329" s="14">
        <v>2527173</v>
      </c>
      <c r="D329" s="14">
        <v>2227408</v>
      </c>
      <c r="E329" s="20">
        <v>16.2</v>
      </c>
      <c r="F329">
        <v>4.21</v>
      </c>
      <c r="G329" s="20">
        <v>10.16</v>
      </c>
      <c r="H329">
        <v>-1.87</v>
      </c>
      <c r="I329" s="14">
        <v>105803</v>
      </c>
    </row>
    <row r="330" spans="1:9" x14ac:dyDescent="0.25">
      <c r="A330" t="s">
        <v>86</v>
      </c>
      <c r="B330" s="1" t="s">
        <v>12</v>
      </c>
      <c r="C330" s="14">
        <v>2321800</v>
      </c>
      <c r="D330" s="14">
        <v>2021545</v>
      </c>
      <c r="E330" s="20">
        <v>15.26</v>
      </c>
      <c r="F330">
        <v>3.27</v>
      </c>
      <c r="G330" s="20">
        <v>10.43</v>
      </c>
      <c r="H330">
        <v>0.14000000000000001</v>
      </c>
      <c r="I330" s="14">
        <v>117417</v>
      </c>
    </row>
    <row r="331" spans="1:9" x14ac:dyDescent="0.25">
      <c r="A331" t="s">
        <v>86</v>
      </c>
      <c r="B331" s="1" t="s">
        <v>13</v>
      </c>
      <c r="C331" s="14">
        <v>2203513</v>
      </c>
      <c r="D331" s="14">
        <v>1870886</v>
      </c>
      <c r="E331" s="20">
        <v>16.399999999999999</v>
      </c>
      <c r="F331">
        <v>2.94</v>
      </c>
      <c r="G331" s="20">
        <v>6.9</v>
      </c>
      <c r="H331" s="20">
        <v>2.96</v>
      </c>
      <c r="I331" s="14">
        <v>73497</v>
      </c>
    </row>
    <row r="332" spans="1:9" x14ac:dyDescent="0.25">
      <c r="A332" t="s">
        <v>86</v>
      </c>
      <c r="B332" s="1" t="s">
        <v>14</v>
      </c>
      <c r="C332" s="14">
        <v>2128998</v>
      </c>
      <c r="D332" s="14">
        <v>1780839</v>
      </c>
      <c r="E332" s="20">
        <v>18.89</v>
      </c>
      <c r="F332">
        <v>2.5099999999999998</v>
      </c>
      <c r="G332" s="20">
        <v>3.39</v>
      </c>
      <c r="H332" s="20">
        <v>2.97</v>
      </c>
      <c r="I332" s="14">
        <v>27879</v>
      </c>
    </row>
    <row r="333" spans="1:9" x14ac:dyDescent="0.25">
      <c r="A333" t="s">
        <v>86</v>
      </c>
      <c r="B333" s="1" t="s">
        <v>15</v>
      </c>
      <c r="C333" s="14">
        <v>2586663</v>
      </c>
      <c r="D333" s="14">
        <v>2239597</v>
      </c>
      <c r="E333" s="20">
        <v>19.61</v>
      </c>
      <c r="F333">
        <v>2.44</v>
      </c>
      <c r="G333" s="20">
        <v>2.76</v>
      </c>
      <c r="H333">
        <v>2.04</v>
      </c>
      <c r="I333" s="14">
        <v>28598</v>
      </c>
    </row>
    <row r="334" spans="1:9" x14ac:dyDescent="0.25">
      <c r="A334" t="s">
        <v>86</v>
      </c>
      <c r="B334" s="1" t="s">
        <v>16</v>
      </c>
      <c r="C334" s="15">
        <v>3981142</v>
      </c>
      <c r="D334" s="14">
        <v>3668064</v>
      </c>
      <c r="E334" s="20">
        <v>18.190000000000001</v>
      </c>
      <c r="F334">
        <v>2.99</v>
      </c>
      <c r="G334" s="20">
        <v>2.59</v>
      </c>
      <c r="H334">
        <v>1.07</v>
      </c>
      <c r="I334" s="14">
        <v>24091</v>
      </c>
    </row>
    <row r="335" spans="1:9" x14ac:dyDescent="0.25">
      <c r="A335" t="s">
        <v>86</v>
      </c>
      <c r="B335" s="1" t="s">
        <v>17</v>
      </c>
      <c r="C335" s="14">
        <v>4222206</v>
      </c>
      <c r="D335" s="14">
        <v>3868154</v>
      </c>
      <c r="E335" s="20">
        <v>22.49</v>
      </c>
      <c r="F335">
        <v>3.15</v>
      </c>
      <c r="G335" s="20">
        <v>1.76</v>
      </c>
      <c r="H335">
        <v>1.25</v>
      </c>
      <c r="I335" s="14">
        <v>22901</v>
      </c>
    </row>
    <row r="336" spans="1:9" x14ac:dyDescent="0.25">
      <c r="A336" t="s">
        <v>86</v>
      </c>
      <c r="B336" s="1" t="s">
        <v>18</v>
      </c>
      <c r="C336" s="14">
        <v>6898588</v>
      </c>
      <c r="D336" s="14">
        <v>5611495</v>
      </c>
      <c r="E336" s="20">
        <v>41.56</v>
      </c>
      <c r="F336">
        <v>4.41</v>
      </c>
      <c r="G336" s="20">
        <v>2.1800000000000002</v>
      </c>
      <c r="H336" s="20">
        <v>2.68</v>
      </c>
      <c r="I336" s="14">
        <v>29283</v>
      </c>
    </row>
    <row r="337" spans="1:9" x14ac:dyDescent="0.25">
      <c r="A337" t="s">
        <v>86</v>
      </c>
      <c r="B337" s="1" t="s">
        <v>19</v>
      </c>
      <c r="C337" s="14">
        <v>4649357</v>
      </c>
      <c r="D337" s="14">
        <v>3346086</v>
      </c>
      <c r="E337" s="20">
        <v>48.82</v>
      </c>
      <c r="F337">
        <v>4.63</v>
      </c>
      <c r="G337" s="20">
        <v>0.52</v>
      </c>
      <c r="H337" s="20">
        <v>4.74</v>
      </c>
      <c r="I337" s="14">
        <v>26930</v>
      </c>
    </row>
    <row r="338" spans="1:9" x14ac:dyDescent="0.25">
      <c r="A338" t="s">
        <v>86</v>
      </c>
      <c r="B338" s="1" t="s">
        <v>20</v>
      </c>
      <c r="C338" s="14">
        <v>9416588</v>
      </c>
      <c r="D338" s="14">
        <v>3263884</v>
      </c>
      <c r="E338" s="20">
        <v>110.54</v>
      </c>
      <c r="F338">
        <v>3.95</v>
      </c>
      <c r="G338" s="20">
        <v>0.24</v>
      </c>
      <c r="H338">
        <v>4.4400000000000004</v>
      </c>
      <c r="I338" s="14">
        <v>40149</v>
      </c>
    </row>
    <row r="339" spans="1:9" x14ac:dyDescent="0.25">
      <c r="A339" t="s">
        <v>86</v>
      </c>
      <c r="B339" s="1" t="s">
        <v>21</v>
      </c>
      <c r="C339" s="14">
        <v>9772945</v>
      </c>
      <c r="D339" s="14">
        <v>3502619</v>
      </c>
      <c r="E339" s="20">
        <v>85.19</v>
      </c>
      <c r="F339">
        <v>5.0599999999999996</v>
      </c>
      <c r="G339" s="20">
        <v>0</v>
      </c>
      <c r="H339">
        <v>4.29</v>
      </c>
      <c r="I339" s="14">
        <v>45360</v>
      </c>
    </row>
    <row r="340" spans="1:9" x14ac:dyDescent="0.25">
      <c r="A340" t="s">
        <v>86</v>
      </c>
      <c r="B340" s="1" t="s">
        <v>22</v>
      </c>
      <c r="C340" s="14">
        <v>10598944</v>
      </c>
      <c r="D340" s="14">
        <v>4283837</v>
      </c>
      <c r="E340" s="20">
        <v>78.36</v>
      </c>
      <c r="F340">
        <v>6.01</v>
      </c>
      <c r="G340" s="20">
        <v>0</v>
      </c>
      <c r="H340" s="20">
        <v>3.78</v>
      </c>
      <c r="I340" s="14">
        <v>50104</v>
      </c>
    </row>
    <row r="341" spans="1:9" x14ac:dyDescent="0.25">
      <c r="A341" t="s">
        <v>86</v>
      </c>
      <c r="B341" s="1" t="s">
        <v>23</v>
      </c>
      <c r="C341" s="8">
        <v>11058956</v>
      </c>
      <c r="D341" s="8">
        <v>4647687</v>
      </c>
      <c r="E341" s="19">
        <v>79.53</v>
      </c>
      <c r="F341">
        <v>6.7</v>
      </c>
      <c r="G341" s="20">
        <v>0.01</v>
      </c>
      <c r="H341" s="20">
        <v>3.55</v>
      </c>
      <c r="I341" s="8">
        <v>52481</v>
      </c>
    </row>
    <row r="342" spans="1:9" x14ac:dyDescent="0.25">
      <c r="A342" t="s">
        <v>89</v>
      </c>
      <c r="B342" s="1" t="s">
        <v>4</v>
      </c>
      <c r="C342" s="2">
        <v>17787021</v>
      </c>
      <c r="D342" s="2">
        <v>14622732</v>
      </c>
      <c r="E342" s="16">
        <v>25.53</v>
      </c>
      <c r="F342" s="16">
        <v>3.47</v>
      </c>
      <c r="G342" s="17">
        <v>2.2400000000000002</v>
      </c>
      <c r="H342" s="17">
        <v>2.13</v>
      </c>
      <c r="I342" s="2">
        <v>355056</v>
      </c>
    </row>
    <row r="343" spans="1:9" x14ac:dyDescent="0.25">
      <c r="A343" t="s">
        <v>89</v>
      </c>
      <c r="B343" s="1" t="s">
        <v>5</v>
      </c>
      <c r="C343" s="2">
        <v>18772417</v>
      </c>
      <c r="D343" s="2">
        <v>15579190</v>
      </c>
      <c r="E343" s="16">
        <v>24.11</v>
      </c>
      <c r="F343" s="16">
        <v>3.55</v>
      </c>
      <c r="G343" s="17">
        <v>2.2000000000000002</v>
      </c>
      <c r="H343" s="17">
        <v>1.98</v>
      </c>
      <c r="I343" s="2">
        <v>377606</v>
      </c>
    </row>
    <row r="344" spans="1:9" x14ac:dyDescent="0.25">
      <c r="A344" t="s">
        <v>89</v>
      </c>
      <c r="B344" s="1" t="s">
        <v>6</v>
      </c>
      <c r="C344" s="2">
        <v>20905827</v>
      </c>
      <c r="D344" s="2">
        <v>16532814</v>
      </c>
      <c r="E344" s="17">
        <v>31.9</v>
      </c>
      <c r="F344" s="16">
        <v>3.55</v>
      </c>
      <c r="G344" s="17">
        <v>2.96</v>
      </c>
      <c r="H344" s="17">
        <v>1.65</v>
      </c>
      <c r="I344" s="2">
        <v>396102</v>
      </c>
    </row>
    <row r="345" spans="1:9" x14ac:dyDescent="0.25">
      <c r="A345" t="s">
        <v>89</v>
      </c>
      <c r="B345" s="1" t="s">
        <v>7</v>
      </c>
      <c r="C345" s="2">
        <v>23313671</v>
      </c>
      <c r="D345" s="2">
        <v>18889385</v>
      </c>
      <c r="E345" s="17">
        <v>28.34</v>
      </c>
      <c r="F345" s="16">
        <v>3.5</v>
      </c>
      <c r="G345" s="17">
        <v>2.86</v>
      </c>
      <c r="H345" s="17">
        <v>1.54</v>
      </c>
      <c r="I345" s="2">
        <v>451113</v>
      </c>
    </row>
    <row r="346" spans="1:9" x14ac:dyDescent="0.25">
      <c r="A346" t="s">
        <v>89</v>
      </c>
      <c r="B346" s="1" t="s">
        <v>8</v>
      </c>
      <c r="C346" s="7">
        <v>22976903</v>
      </c>
      <c r="D346" s="7">
        <v>18475128</v>
      </c>
      <c r="E346" s="16">
        <v>28.05</v>
      </c>
      <c r="F346" s="16">
        <v>3.06</v>
      </c>
      <c r="G346" s="17">
        <v>2.87</v>
      </c>
      <c r="H346" s="17">
        <v>1.46</v>
      </c>
      <c r="I346" s="7">
        <v>469076</v>
      </c>
    </row>
    <row r="347" spans="1:9" x14ac:dyDescent="0.25">
      <c r="A347" t="s">
        <v>89</v>
      </c>
      <c r="B347" s="1" t="s">
        <v>9</v>
      </c>
      <c r="C347" s="2">
        <v>24818174</v>
      </c>
      <c r="D347" s="2">
        <v>20323637</v>
      </c>
      <c r="E347" s="17">
        <v>25.41</v>
      </c>
      <c r="F347" s="16">
        <v>3.06</v>
      </c>
      <c r="G347" s="17">
        <v>4.45</v>
      </c>
      <c r="H347" s="17">
        <v>2.64</v>
      </c>
      <c r="I347" s="2">
        <v>552545</v>
      </c>
    </row>
    <row r="348" spans="1:9" x14ac:dyDescent="0.25">
      <c r="A348" t="s">
        <v>89</v>
      </c>
      <c r="B348" s="1" t="s">
        <v>10</v>
      </c>
      <c r="C348" s="2">
        <v>24924164</v>
      </c>
      <c r="D348" s="2">
        <v>20485033</v>
      </c>
      <c r="E348" s="17">
        <v>24.4</v>
      </c>
      <c r="F348" s="16">
        <v>3.06</v>
      </c>
      <c r="G348" s="17">
        <v>7.51</v>
      </c>
      <c r="H348" s="17">
        <v>0.14000000000000001</v>
      </c>
      <c r="I348" s="2">
        <v>745696</v>
      </c>
    </row>
    <row r="349" spans="1:9" x14ac:dyDescent="0.25">
      <c r="A349" t="s">
        <v>89</v>
      </c>
      <c r="B349" s="1" t="s">
        <v>11</v>
      </c>
      <c r="C349" s="2">
        <v>27067923</v>
      </c>
      <c r="D349" s="2">
        <v>22586219</v>
      </c>
      <c r="E349" s="17">
        <v>24.28</v>
      </c>
      <c r="F349" s="16">
        <v>3.01</v>
      </c>
      <c r="G349" s="17">
        <v>7.66</v>
      </c>
      <c r="H349" s="17">
        <v>0.31</v>
      </c>
      <c r="I349" s="2">
        <v>833720</v>
      </c>
    </row>
    <row r="350" spans="1:9" x14ac:dyDescent="0.25">
      <c r="A350" t="s">
        <v>89</v>
      </c>
      <c r="B350" s="1" t="s">
        <v>12</v>
      </c>
      <c r="C350" s="2">
        <v>26601258</v>
      </c>
      <c r="D350" s="2">
        <v>22503514</v>
      </c>
      <c r="E350" s="17">
        <v>22.39</v>
      </c>
      <c r="F350" s="16">
        <v>2.95</v>
      </c>
      <c r="G350" s="17">
        <v>8.34</v>
      </c>
      <c r="H350" s="17">
        <v>0.34</v>
      </c>
      <c r="I350" s="2">
        <v>1230377</v>
      </c>
    </row>
    <row r="351" spans="1:9" x14ac:dyDescent="0.25">
      <c r="A351" t="s">
        <v>89</v>
      </c>
      <c r="B351" s="1" t="s">
        <v>13</v>
      </c>
      <c r="C351" s="7">
        <v>26183539</v>
      </c>
      <c r="D351" s="7">
        <v>21999644</v>
      </c>
      <c r="E351" s="16">
        <v>23.21</v>
      </c>
      <c r="F351" s="16">
        <v>2.5499999999999998</v>
      </c>
      <c r="G351" s="17">
        <v>8.33</v>
      </c>
      <c r="H351" s="17">
        <v>0.24</v>
      </c>
      <c r="I351" s="7">
        <v>1286601</v>
      </c>
    </row>
    <row r="352" spans="1:9" x14ac:dyDescent="0.25">
      <c r="A352" t="s">
        <v>89</v>
      </c>
      <c r="B352" s="1" t="s">
        <v>14</v>
      </c>
      <c r="C352" s="2">
        <v>27935096</v>
      </c>
      <c r="D352" s="2">
        <v>23717201</v>
      </c>
      <c r="E352" s="17">
        <v>22.6</v>
      </c>
      <c r="F352" s="16">
        <v>2.39</v>
      </c>
      <c r="G352" s="17">
        <v>7.24</v>
      </c>
      <c r="H352" s="17">
        <v>0.2</v>
      </c>
      <c r="I352" s="2">
        <v>1185534</v>
      </c>
    </row>
    <row r="353" spans="1:9" x14ac:dyDescent="0.25">
      <c r="A353" t="s">
        <v>89</v>
      </c>
      <c r="B353" s="1" t="s">
        <v>15</v>
      </c>
      <c r="C353" s="2">
        <v>28015492</v>
      </c>
      <c r="D353" s="2">
        <v>23727802</v>
      </c>
      <c r="E353" s="17">
        <v>24.33</v>
      </c>
      <c r="F353" s="16">
        <v>2.4</v>
      </c>
      <c r="G353" s="17">
        <v>4.97</v>
      </c>
      <c r="H353" s="17">
        <v>0.24</v>
      </c>
      <c r="I353" s="2">
        <v>1006365</v>
      </c>
    </row>
    <row r="354" spans="1:9" x14ac:dyDescent="0.25">
      <c r="A354" t="s">
        <v>89</v>
      </c>
      <c r="B354" s="1" t="s">
        <v>16</v>
      </c>
      <c r="C354" s="2">
        <v>24908842</v>
      </c>
      <c r="D354" s="2">
        <v>20663131</v>
      </c>
      <c r="E354" s="17">
        <v>24.1</v>
      </c>
      <c r="F354" s="16">
        <v>3.39</v>
      </c>
      <c r="G354" s="17">
        <v>4.76</v>
      </c>
      <c r="H354" s="17">
        <v>0.47</v>
      </c>
      <c r="I354" s="2">
        <v>1031004</v>
      </c>
    </row>
    <row r="355" spans="1:9" x14ac:dyDescent="0.25">
      <c r="A355" t="s">
        <v>89</v>
      </c>
      <c r="B355" s="1" t="s">
        <v>17</v>
      </c>
      <c r="C355" s="2">
        <v>25403477</v>
      </c>
      <c r="D355" s="2">
        <v>21064922</v>
      </c>
      <c r="E355" s="17">
        <v>24.9</v>
      </c>
      <c r="F355" s="16">
        <v>3.48</v>
      </c>
      <c r="G355" s="17">
        <v>4.59</v>
      </c>
      <c r="H355" s="17">
        <v>0.33</v>
      </c>
      <c r="I355" s="2">
        <v>1083240</v>
      </c>
    </row>
    <row r="356" spans="1:9" x14ac:dyDescent="0.25">
      <c r="A356" t="s">
        <v>89</v>
      </c>
      <c r="B356" s="1" t="s">
        <v>18</v>
      </c>
      <c r="C356" s="2">
        <v>20534582</v>
      </c>
      <c r="D356" s="2">
        <v>18015695</v>
      </c>
      <c r="E356" s="17">
        <v>17.47</v>
      </c>
      <c r="F356" s="16">
        <v>3.62</v>
      </c>
      <c r="G356" s="17">
        <v>4.6100000000000003</v>
      </c>
      <c r="H356" s="16">
        <v>-10.36</v>
      </c>
      <c r="I356" s="2">
        <v>1107803</v>
      </c>
    </row>
    <row r="357" spans="1:9" x14ac:dyDescent="0.25">
      <c r="A357" t="s">
        <v>89</v>
      </c>
      <c r="B357" s="1" t="s">
        <v>19</v>
      </c>
      <c r="C357" s="2">
        <v>16866523</v>
      </c>
      <c r="D357" s="2">
        <v>14408859</v>
      </c>
      <c r="E357" s="17">
        <v>20.239999999999998</v>
      </c>
      <c r="F357" s="16">
        <v>3.87</v>
      </c>
      <c r="G357" s="17">
        <v>3.98</v>
      </c>
      <c r="H357" s="17">
        <v>-14.75</v>
      </c>
      <c r="I357" s="2">
        <v>1875402</v>
      </c>
    </row>
    <row r="358" spans="1:9" x14ac:dyDescent="0.25">
      <c r="A358" t="s">
        <v>89</v>
      </c>
      <c r="B358" s="1" t="s">
        <v>20</v>
      </c>
      <c r="C358" s="2">
        <v>13193287</v>
      </c>
      <c r="D358" s="2">
        <v>10728484</v>
      </c>
      <c r="E358" s="17">
        <v>25.87</v>
      </c>
      <c r="F358" s="16">
        <v>4.8099999999999996</v>
      </c>
      <c r="G358" s="17">
        <v>1.4</v>
      </c>
      <c r="H358" s="17">
        <v>3.45</v>
      </c>
      <c r="I358" s="2">
        <v>1504387</v>
      </c>
    </row>
    <row r="359" spans="1:9" x14ac:dyDescent="0.25">
      <c r="A359" t="s">
        <v>89</v>
      </c>
      <c r="B359" s="1" t="s">
        <v>21</v>
      </c>
      <c r="C359" s="2">
        <v>14500676</v>
      </c>
      <c r="D359" s="2">
        <v>12099610</v>
      </c>
      <c r="E359" s="17">
        <v>25.14</v>
      </c>
      <c r="F359" s="16">
        <v>4.76</v>
      </c>
      <c r="G359" s="17">
        <v>3.5</v>
      </c>
      <c r="H359" s="17">
        <v>1.58</v>
      </c>
      <c r="I359" s="2">
        <v>1482741</v>
      </c>
    </row>
    <row r="360" spans="1:9" x14ac:dyDescent="0.25">
      <c r="A360" t="s">
        <v>89</v>
      </c>
      <c r="B360" s="1" t="s">
        <v>22</v>
      </c>
      <c r="C360" s="2">
        <v>12985038</v>
      </c>
      <c r="D360" s="2">
        <v>10587707</v>
      </c>
      <c r="E360" s="17">
        <v>27.33</v>
      </c>
      <c r="F360" s="16">
        <v>4.71</v>
      </c>
      <c r="G360" s="17">
        <v>2.0499999999999998</v>
      </c>
      <c r="H360" s="17">
        <v>1.06</v>
      </c>
      <c r="I360" s="2">
        <v>1451669</v>
      </c>
    </row>
    <row r="361" spans="1:9" x14ac:dyDescent="0.25">
      <c r="A361" t="s">
        <v>89</v>
      </c>
      <c r="B361" s="1" t="s">
        <v>23</v>
      </c>
      <c r="C361" s="8">
        <v>13898775</v>
      </c>
      <c r="D361" s="8">
        <v>10509687</v>
      </c>
      <c r="E361" s="19">
        <v>43.74</v>
      </c>
      <c r="F361" s="19">
        <v>4.5599999999999996</v>
      </c>
      <c r="G361" s="19">
        <v>2.9</v>
      </c>
      <c r="H361" s="16">
        <v>0.85</v>
      </c>
      <c r="I361" s="8">
        <v>1321540</v>
      </c>
    </row>
    <row r="362" spans="1:9" x14ac:dyDescent="0.25">
      <c r="A362" t="s">
        <v>90</v>
      </c>
      <c r="B362" s="1" t="s">
        <v>4</v>
      </c>
      <c r="C362" s="2">
        <v>15987385</v>
      </c>
      <c r="D362" s="2">
        <v>13527644</v>
      </c>
      <c r="E362" s="17">
        <v>15.58</v>
      </c>
      <c r="F362" s="16">
        <v>4.24</v>
      </c>
      <c r="G362" s="17">
        <v>3.1</v>
      </c>
      <c r="H362" s="17">
        <v>0.46</v>
      </c>
      <c r="I362" s="2">
        <v>111975</v>
      </c>
    </row>
    <row r="363" spans="1:9" x14ac:dyDescent="0.25">
      <c r="A363" t="s">
        <v>90</v>
      </c>
      <c r="B363" s="1" t="s">
        <v>5</v>
      </c>
      <c r="C363" s="2">
        <v>15609436</v>
      </c>
      <c r="D363" s="2">
        <v>13122276</v>
      </c>
      <c r="E363" s="17">
        <v>15.73</v>
      </c>
      <c r="F363" s="16">
        <v>4.37</v>
      </c>
      <c r="G363" s="17">
        <v>3.22</v>
      </c>
      <c r="H363" s="17">
        <v>0.66</v>
      </c>
      <c r="I363" s="2">
        <v>120938</v>
      </c>
    </row>
    <row r="364" spans="1:9" x14ac:dyDescent="0.25">
      <c r="A364" t="s">
        <v>90</v>
      </c>
      <c r="B364" s="1" t="s">
        <v>6</v>
      </c>
      <c r="C364" s="2">
        <v>15592687</v>
      </c>
      <c r="D364" s="2">
        <v>13069554</v>
      </c>
      <c r="E364" s="17">
        <v>15.94</v>
      </c>
      <c r="F364" s="16">
        <v>4.43</v>
      </c>
      <c r="G364" s="17">
        <v>3.21</v>
      </c>
      <c r="H364" s="17">
        <v>0.76</v>
      </c>
      <c r="I364" s="2">
        <v>123142</v>
      </c>
    </row>
    <row r="365" spans="1:9" x14ac:dyDescent="0.25">
      <c r="A365" t="s">
        <v>90</v>
      </c>
      <c r="B365" s="1" t="s">
        <v>7</v>
      </c>
      <c r="C365" s="2">
        <v>15992475</v>
      </c>
      <c r="D365" s="2">
        <v>13476317</v>
      </c>
      <c r="E365" s="17">
        <v>15.69</v>
      </c>
      <c r="F365" s="16">
        <v>4.26</v>
      </c>
      <c r="G365" s="17">
        <v>2.54</v>
      </c>
      <c r="H365" s="17">
        <v>0.86</v>
      </c>
      <c r="I365" s="2">
        <v>125135</v>
      </c>
    </row>
    <row r="366" spans="1:9" x14ac:dyDescent="0.25">
      <c r="A366" t="s">
        <v>90</v>
      </c>
      <c r="B366" s="1" t="s">
        <v>8</v>
      </c>
      <c r="C366" s="2">
        <v>15559675</v>
      </c>
      <c r="D366" s="2">
        <v>13049049</v>
      </c>
      <c r="E366" s="17">
        <v>15.17</v>
      </c>
      <c r="F366" s="16">
        <v>4.04</v>
      </c>
      <c r="G366" s="17">
        <v>2.82</v>
      </c>
      <c r="H366" s="17">
        <v>0.4</v>
      </c>
      <c r="I366" s="2">
        <v>134315</v>
      </c>
    </row>
    <row r="367" spans="1:9" x14ac:dyDescent="0.25">
      <c r="A367" t="s">
        <v>90</v>
      </c>
      <c r="B367" s="1" t="s">
        <v>9</v>
      </c>
      <c r="C367" s="2">
        <v>16182137</v>
      </c>
      <c r="D367" s="2">
        <v>13646392</v>
      </c>
      <c r="E367" s="17">
        <v>17.48</v>
      </c>
      <c r="F367" s="16">
        <v>3.99</v>
      </c>
      <c r="G367" s="17">
        <v>2.6</v>
      </c>
      <c r="H367" s="17">
        <v>0.39</v>
      </c>
      <c r="I367" s="2">
        <v>135638</v>
      </c>
    </row>
    <row r="368" spans="1:9" x14ac:dyDescent="0.25">
      <c r="A368" t="s">
        <v>90</v>
      </c>
      <c r="B368" s="1" t="s">
        <v>10</v>
      </c>
      <c r="C368" s="2">
        <v>18098687</v>
      </c>
      <c r="D368" s="2">
        <v>15490157</v>
      </c>
      <c r="E368" s="17">
        <v>16.77</v>
      </c>
      <c r="F368" s="16">
        <v>3.78</v>
      </c>
      <c r="G368" s="17">
        <v>2.75</v>
      </c>
      <c r="H368" s="17">
        <v>0.46</v>
      </c>
      <c r="I368" s="2">
        <v>135797</v>
      </c>
    </row>
    <row r="369" spans="1:9" x14ac:dyDescent="0.25">
      <c r="A369" t="s">
        <v>90</v>
      </c>
      <c r="B369" s="1" t="s">
        <v>11</v>
      </c>
      <c r="C369" s="2">
        <v>18893684</v>
      </c>
      <c r="D369" s="2">
        <v>16098826</v>
      </c>
      <c r="E369" s="17">
        <v>17.38</v>
      </c>
      <c r="F369" s="16">
        <v>3.83</v>
      </c>
      <c r="G369" s="17">
        <v>2.62</v>
      </c>
      <c r="H369" s="17">
        <v>0.71</v>
      </c>
      <c r="I369" s="2">
        <v>139489</v>
      </c>
    </row>
    <row r="370" spans="1:9" x14ac:dyDescent="0.25">
      <c r="A370" t="s">
        <v>90</v>
      </c>
      <c r="B370" s="1" t="s">
        <v>12</v>
      </c>
      <c r="C370" s="2">
        <v>20096332</v>
      </c>
      <c r="D370" s="2">
        <v>17309583</v>
      </c>
      <c r="E370" s="17">
        <v>16.39</v>
      </c>
      <c r="F370" s="16">
        <v>3.45</v>
      </c>
      <c r="G370" s="17">
        <v>2.5499999999999998</v>
      </c>
      <c r="H370" s="17">
        <v>0.92</v>
      </c>
      <c r="I370" s="2">
        <v>168531</v>
      </c>
    </row>
    <row r="371" spans="1:9" x14ac:dyDescent="0.25">
      <c r="A371" t="s">
        <v>90</v>
      </c>
      <c r="B371" s="1" t="s">
        <v>13</v>
      </c>
      <c r="C371" s="2">
        <v>19080739</v>
      </c>
      <c r="D371" s="2">
        <v>16287120</v>
      </c>
      <c r="E371" s="17">
        <v>16.62</v>
      </c>
      <c r="F371" s="16">
        <v>2.94</v>
      </c>
      <c r="G371" s="17">
        <v>3.01</v>
      </c>
      <c r="H371" s="17">
        <v>0.42</v>
      </c>
      <c r="I371" s="2">
        <v>169107</v>
      </c>
    </row>
    <row r="372" spans="1:9" x14ac:dyDescent="0.25">
      <c r="A372" t="s">
        <v>90</v>
      </c>
      <c r="B372" s="1" t="s">
        <v>14</v>
      </c>
      <c r="C372" s="2">
        <v>25203507</v>
      </c>
      <c r="D372" s="2">
        <v>19185712</v>
      </c>
      <c r="E372" s="17">
        <v>34.46</v>
      </c>
      <c r="F372" s="16">
        <v>2.84</v>
      </c>
      <c r="G372" s="17">
        <v>2.98</v>
      </c>
      <c r="H372" s="17">
        <v>0.32</v>
      </c>
      <c r="I372" s="2">
        <v>198162</v>
      </c>
    </row>
    <row r="373" spans="1:9" x14ac:dyDescent="0.25">
      <c r="A373" t="s">
        <v>90</v>
      </c>
      <c r="B373" s="1" t="s">
        <v>15</v>
      </c>
      <c r="C373" s="2">
        <v>25235573</v>
      </c>
      <c r="D373" s="2">
        <v>19218860</v>
      </c>
      <c r="E373" s="17">
        <v>35.28</v>
      </c>
      <c r="F373" s="16">
        <v>2.84</v>
      </c>
      <c r="G373" s="17">
        <v>2.94</v>
      </c>
      <c r="H373" s="17">
        <v>0.28999999999999998</v>
      </c>
      <c r="I373" s="2">
        <v>173280</v>
      </c>
    </row>
    <row r="374" spans="1:9" x14ac:dyDescent="0.25">
      <c r="A374" t="s">
        <v>90</v>
      </c>
      <c r="B374" s="1" t="s">
        <v>16</v>
      </c>
      <c r="C374" s="2">
        <v>25185291</v>
      </c>
      <c r="D374" s="2">
        <v>19157962</v>
      </c>
      <c r="E374" s="17">
        <v>35.24</v>
      </c>
      <c r="F374" s="16">
        <v>3.05</v>
      </c>
      <c r="G374" s="17">
        <v>3.04</v>
      </c>
      <c r="H374" s="17">
        <v>0.6</v>
      </c>
      <c r="I374" s="2">
        <v>199417</v>
      </c>
    </row>
    <row r="375" spans="1:9" x14ac:dyDescent="0.25">
      <c r="A375" t="s">
        <v>90</v>
      </c>
      <c r="B375" s="1" t="s">
        <v>17</v>
      </c>
      <c r="C375" s="2">
        <v>25864195</v>
      </c>
      <c r="D375" s="2">
        <v>19809795</v>
      </c>
      <c r="E375" s="17">
        <v>35.54</v>
      </c>
      <c r="F375" s="16">
        <v>3.18</v>
      </c>
      <c r="G375" s="17">
        <v>3.04</v>
      </c>
      <c r="H375" s="17">
        <v>0.57999999999999996</v>
      </c>
      <c r="I375" s="2">
        <v>14344283</v>
      </c>
    </row>
    <row r="376" spans="1:9" x14ac:dyDescent="0.25">
      <c r="A376" t="s">
        <v>90</v>
      </c>
      <c r="B376" s="1" t="s">
        <v>18</v>
      </c>
      <c r="C376" s="2">
        <v>26114159</v>
      </c>
      <c r="D376" s="2">
        <v>20046236</v>
      </c>
      <c r="E376" s="17">
        <v>36.64</v>
      </c>
      <c r="F376" s="16">
        <v>3.22</v>
      </c>
      <c r="G376" s="17">
        <v>4.82</v>
      </c>
      <c r="H376" s="17">
        <v>0.47</v>
      </c>
      <c r="I376" s="2">
        <v>260499</v>
      </c>
    </row>
    <row r="377" spans="1:9" x14ac:dyDescent="0.25">
      <c r="A377" t="s">
        <v>90</v>
      </c>
      <c r="B377" s="1" t="s">
        <v>19</v>
      </c>
      <c r="C377" s="2">
        <v>26194548</v>
      </c>
      <c r="D377" s="2">
        <v>20113344</v>
      </c>
      <c r="E377" s="17">
        <v>37.96</v>
      </c>
      <c r="F377" s="16">
        <v>3.12</v>
      </c>
      <c r="G377" s="17">
        <v>4.3899999999999997</v>
      </c>
      <c r="H377" s="17">
        <v>0.41</v>
      </c>
      <c r="I377" s="2">
        <v>291961</v>
      </c>
    </row>
    <row r="378" spans="1:9" x14ac:dyDescent="0.25">
      <c r="A378" t="s">
        <v>90</v>
      </c>
      <c r="B378" s="1" t="s">
        <v>20</v>
      </c>
      <c r="C378" s="2">
        <v>26696706</v>
      </c>
      <c r="D378" s="2">
        <v>20588374</v>
      </c>
      <c r="E378" s="17">
        <v>38.24</v>
      </c>
      <c r="F378" s="16">
        <v>2.82</v>
      </c>
      <c r="G378" s="17">
        <v>4.92</v>
      </c>
      <c r="H378" s="17">
        <v>0.56999999999999995</v>
      </c>
      <c r="I378" s="2">
        <v>314216</v>
      </c>
    </row>
    <row r="379" spans="1:9" x14ac:dyDescent="0.25">
      <c r="A379" t="s">
        <v>90</v>
      </c>
      <c r="B379" s="1" t="s">
        <v>21</v>
      </c>
      <c r="C379" s="2">
        <v>25538254</v>
      </c>
      <c r="D379" s="2">
        <v>19407513</v>
      </c>
      <c r="E379" s="17">
        <v>34.93</v>
      </c>
      <c r="F379" s="16">
        <v>3</v>
      </c>
      <c r="G379" s="17">
        <v>4.3499999999999996</v>
      </c>
      <c r="H379" s="17">
        <v>0.59</v>
      </c>
      <c r="I379" s="2">
        <v>354630</v>
      </c>
    </row>
    <row r="380" spans="1:9" x14ac:dyDescent="0.25">
      <c r="A380" t="s">
        <v>90</v>
      </c>
      <c r="B380" s="1" t="s">
        <v>22</v>
      </c>
      <c r="C380" s="2">
        <v>24297260</v>
      </c>
      <c r="D380" s="2">
        <v>18143057</v>
      </c>
      <c r="E380" s="17">
        <v>34.21</v>
      </c>
      <c r="F380" s="16">
        <v>3.3</v>
      </c>
      <c r="G380" s="17">
        <v>4.07</v>
      </c>
      <c r="H380" s="17">
        <v>0.6</v>
      </c>
      <c r="I380" s="2">
        <v>414119</v>
      </c>
    </row>
    <row r="381" spans="1:9" x14ac:dyDescent="0.25">
      <c r="A381" t="s">
        <v>90</v>
      </c>
      <c r="B381" s="1" t="s">
        <v>23</v>
      </c>
      <c r="C381" s="8">
        <v>25022953</v>
      </c>
      <c r="D381" s="8">
        <v>18823716</v>
      </c>
      <c r="E381" s="17">
        <v>32.729999999999997</v>
      </c>
      <c r="F381" s="19">
        <v>3.54</v>
      </c>
      <c r="G381" s="19">
        <v>3.4</v>
      </c>
      <c r="H381" s="19">
        <v>0.69</v>
      </c>
      <c r="I381" s="8">
        <v>454746</v>
      </c>
    </row>
    <row r="382" spans="1:9" x14ac:dyDescent="0.25">
      <c r="A382" t="s">
        <v>92</v>
      </c>
      <c r="B382" s="1" t="s">
        <v>4</v>
      </c>
      <c r="C382" s="2">
        <v>4001326</v>
      </c>
      <c r="D382" s="2">
        <v>3441791</v>
      </c>
      <c r="E382" s="17">
        <v>15.97</v>
      </c>
      <c r="F382" s="17">
        <v>3.52</v>
      </c>
      <c r="G382" s="17">
        <v>5.49</v>
      </c>
      <c r="H382" s="17">
        <v>-0.47</v>
      </c>
      <c r="I382" s="2">
        <v>27855</v>
      </c>
    </row>
    <row r="383" spans="1:9" x14ac:dyDescent="0.25">
      <c r="A383" t="s">
        <v>92</v>
      </c>
      <c r="B383" s="1" t="s">
        <v>5</v>
      </c>
      <c r="C383" s="2">
        <v>4205730</v>
      </c>
      <c r="D383" s="2">
        <v>3653440</v>
      </c>
      <c r="E383" s="17">
        <v>15.77</v>
      </c>
      <c r="F383" s="17">
        <v>3.66</v>
      </c>
      <c r="G383" s="17">
        <v>5.29</v>
      </c>
      <c r="H383" s="17">
        <v>-0.6</v>
      </c>
      <c r="I383" s="2">
        <v>40408</v>
      </c>
    </row>
    <row r="384" spans="1:9" x14ac:dyDescent="0.25">
      <c r="A384" t="s">
        <v>92</v>
      </c>
      <c r="B384" s="1" t="s">
        <v>6</v>
      </c>
      <c r="C384" s="2">
        <v>3960060</v>
      </c>
      <c r="D384" s="2">
        <v>3405153</v>
      </c>
      <c r="E384" s="17">
        <v>14.4</v>
      </c>
      <c r="F384" s="16">
        <v>3.7</v>
      </c>
      <c r="G384" s="17">
        <v>5.12</v>
      </c>
      <c r="H384" s="17">
        <v>-0.31</v>
      </c>
      <c r="I384" s="2">
        <v>44111</v>
      </c>
    </row>
    <row r="385" spans="1:9" x14ac:dyDescent="0.25">
      <c r="A385" t="s">
        <v>92</v>
      </c>
      <c r="B385" s="1" t="s">
        <v>7</v>
      </c>
      <c r="C385" s="2">
        <v>4151151</v>
      </c>
      <c r="D385" s="2">
        <v>3618348</v>
      </c>
      <c r="E385" s="17">
        <v>15.5</v>
      </c>
      <c r="F385" s="17">
        <v>3.42</v>
      </c>
      <c r="G385" s="17">
        <v>6.44</v>
      </c>
      <c r="H385" s="17">
        <v>-0.77</v>
      </c>
      <c r="I385" s="2">
        <v>60323</v>
      </c>
    </row>
    <row r="386" spans="1:9" x14ac:dyDescent="0.25">
      <c r="A386" t="s">
        <v>92</v>
      </c>
      <c r="B386" s="1" t="s">
        <v>8</v>
      </c>
      <c r="C386" s="2">
        <v>4744593</v>
      </c>
      <c r="D386" s="2">
        <v>3520950</v>
      </c>
      <c r="E386" s="17">
        <v>35.81</v>
      </c>
      <c r="F386" s="17">
        <v>3.06</v>
      </c>
      <c r="G386" s="17">
        <v>3.98</v>
      </c>
      <c r="H386" s="17">
        <v>-0.83</v>
      </c>
      <c r="I386" s="2">
        <v>59375</v>
      </c>
    </row>
    <row r="387" spans="1:9" x14ac:dyDescent="0.25">
      <c r="A387" t="s">
        <v>92</v>
      </c>
      <c r="B387" s="1" t="s">
        <v>9</v>
      </c>
      <c r="C387" s="2">
        <v>4796302</v>
      </c>
      <c r="D387" s="2">
        <v>3606809</v>
      </c>
      <c r="E387" s="17">
        <v>32.979999999999997</v>
      </c>
      <c r="F387" s="17">
        <v>3.1</v>
      </c>
      <c r="G387" s="17">
        <v>6.66</v>
      </c>
      <c r="H387" s="17">
        <v>-1.9</v>
      </c>
      <c r="I387" s="2">
        <v>91503</v>
      </c>
    </row>
    <row r="388" spans="1:9" x14ac:dyDescent="0.25">
      <c r="A388" t="s">
        <v>92</v>
      </c>
      <c r="B388" s="1" t="s">
        <v>10</v>
      </c>
      <c r="C388" s="2">
        <v>7519690</v>
      </c>
      <c r="D388" s="2">
        <v>6113747</v>
      </c>
      <c r="E388" s="17">
        <v>29.92</v>
      </c>
      <c r="F388" s="17">
        <v>3.69</v>
      </c>
      <c r="G388" s="17">
        <v>6.14</v>
      </c>
      <c r="H388" s="17">
        <v>-0.62</v>
      </c>
      <c r="I388" s="2">
        <v>85674</v>
      </c>
    </row>
    <row r="389" spans="1:9" x14ac:dyDescent="0.25">
      <c r="A389" t="s">
        <v>92</v>
      </c>
      <c r="B389" s="1" t="s">
        <v>11</v>
      </c>
      <c r="C389" s="2">
        <v>6421844</v>
      </c>
      <c r="D389" s="2">
        <v>5219244</v>
      </c>
      <c r="E389" s="17">
        <v>26.5</v>
      </c>
      <c r="F389" s="17">
        <v>2.46</v>
      </c>
      <c r="G389" s="17">
        <v>11.68</v>
      </c>
      <c r="H389" s="17">
        <v>-3.87</v>
      </c>
      <c r="I389" s="2">
        <v>285959</v>
      </c>
    </row>
    <row r="390" spans="1:9" x14ac:dyDescent="0.25">
      <c r="A390" t="s">
        <v>92</v>
      </c>
      <c r="B390" s="1" t="s">
        <v>12</v>
      </c>
      <c r="C390" s="2">
        <v>6650706</v>
      </c>
      <c r="D390" s="2">
        <v>5490839</v>
      </c>
      <c r="E390" s="17">
        <v>23.09</v>
      </c>
      <c r="F390" s="17">
        <v>3.11</v>
      </c>
      <c r="G390" s="17">
        <v>11.34</v>
      </c>
      <c r="H390" s="17">
        <v>-10.53</v>
      </c>
      <c r="I390" s="2">
        <v>301016</v>
      </c>
    </row>
    <row r="391" spans="1:9" x14ac:dyDescent="0.25">
      <c r="A391" t="s">
        <v>92</v>
      </c>
      <c r="B391" s="1" t="s">
        <v>13</v>
      </c>
      <c r="C391" s="2">
        <v>6988894</v>
      </c>
      <c r="D391" s="2">
        <v>5844941</v>
      </c>
      <c r="E391" s="17">
        <v>20.59</v>
      </c>
      <c r="F391" s="17">
        <v>2.63</v>
      </c>
      <c r="G391" s="17">
        <v>10.43</v>
      </c>
      <c r="H391" s="17">
        <v>-1.42</v>
      </c>
      <c r="I391" s="2">
        <v>294271</v>
      </c>
    </row>
    <row r="392" spans="1:9" x14ac:dyDescent="0.25">
      <c r="A392" t="s">
        <v>92</v>
      </c>
      <c r="B392" s="1" t="s">
        <v>14</v>
      </c>
      <c r="C392" s="2">
        <v>8257403</v>
      </c>
      <c r="D392" s="2">
        <v>6161094</v>
      </c>
      <c r="E392" s="17">
        <v>35.270000000000003</v>
      </c>
      <c r="F392" s="17">
        <v>2.48</v>
      </c>
      <c r="G392" s="17">
        <v>9.58</v>
      </c>
      <c r="H392" s="17">
        <v>-1.89</v>
      </c>
      <c r="I392" s="2">
        <v>291795</v>
      </c>
    </row>
    <row r="393" spans="1:9" x14ac:dyDescent="0.25">
      <c r="A393" t="s">
        <v>92</v>
      </c>
      <c r="B393" s="1" t="s">
        <v>15</v>
      </c>
      <c r="C393" s="2">
        <v>9854035</v>
      </c>
      <c r="D393" s="2">
        <v>7954199</v>
      </c>
      <c r="E393" s="17">
        <v>30.49</v>
      </c>
      <c r="F393" s="17">
        <v>2.08</v>
      </c>
      <c r="G393" s="17">
        <v>5.14</v>
      </c>
      <c r="H393" s="17">
        <v>-1.75</v>
      </c>
      <c r="I393" s="2">
        <v>270772</v>
      </c>
    </row>
    <row r="394" spans="1:9" x14ac:dyDescent="0.25">
      <c r="A394" t="s">
        <v>92</v>
      </c>
      <c r="B394" s="1" t="s">
        <v>16</v>
      </c>
      <c r="C394" s="2">
        <v>10954831</v>
      </c>
      <c r="D394" s="2">
        <v>8914045</v>
      </c>
      <c r="E394" s="17">
        <v>29.43</v>
      </c>
      <c r="F394" s="17">
        <v>2.71</v>
      </c>
      <c r="G394" s="17">
        <v>5.75</v>
      </c>
      <c r="H394" s="17">
        <v>0.7</v>
      </c>
      <c r="I394" s="2">
        <v>127960</v>
      </c>
    </row>
    <row r="395" spans="1:9" x14ac:dyDescent="0.25">
      <c r="A395" t="s">
        <v>92</v>
      </c>
      <c r="B395" s="1" t="s">
        <v>17</v>
      </c>
      <c r="C395" s="2">
        <v>11632495</v>
      </c>
      <c r="D395" s="2">
        <v>9762698</v>
      </c>
      <c r="E395" s="17">
        <v>27.8</v>
      </c>
      <c r="F395" s="17">
        <v>2.84</v>
      </c>
      <c r="G395" s="17">
        <v>5.85</v>
      </c>
      <c r="H395" s="17">
        <v>-0.27</v>
      </c>
      <c r="I395" s="2">
        <v>294286</v>
      </c>
    </row>
    <row r="396" spans="1:9" x14ac:dyDescent="0.25">
      <c r="A396" t="s">
        <v>92</v>
      </c>
      <c r="B396" s="1" t="s">
        <v>18</v>
      </c>
      <c r="C396" s="2">
        <v>12726871</v>
      </c>
      <c r="D396" s="2">
        <v>10740475</v>
      </c>
      <c r="E396" s="17">
        <v>26.79</v>
      </c>
      <c r="F396" s="17">
        <v>2.79</v>
      </c>
      <c r="G396" s="17">
        <v>4.37</v>
      </c>
      <c r="H396" s="17">
        <v>-0.02</v>
      </c>
      <c r="I396" s="2">
        <v>228403</v>
      </c>
    </row>
    <row r="397" spans="1:9" x14ac:dyDescent="0.25">
      <c r="A397" t="s">
        <v>92</v>
      </c>
      <c r="B397" s="1" t="s">
        <v>19</v>
      </c>
      <c r="C397" s="2">
        <v>14286910</v>
      </c>
      <c r="D397" s="7">
        <v>11291329</v>
      </c>
      <c r="E397" s="17">
        <v>39.67</v>
      </c>
      <c r="F397" s="17">
        <v>2.62</v>
      </c>
      <c r="G397" s="17">
        <v>2.0699999999999998</v>
      </c>
      <c r="H397" s="17">
        <v>0.08</v>
      </c>
      <c r="I397" s="2">
        <v>197983</v>
      </c>
    </row>
    <row r="398" spans="1:9" x14ac:dyDescent="0.25">
      <c r="A398" t="s">
        <v>92</v>
      </c>
      <c r="B398" s="1" t="s">
        <v>20</v>
      </c>
      <c r="C398" s="2">
        <v>14691788</v>
      </c>
      <c r="D398" s="2">
        <v>11685955</v>
      </c>
      <c r="E398" s="17">
        <v>37.31</v>
      </c>
      <c r="F398" s="17">
        <v>2.67</v>
      </c>
      <c r="G398" s="17">
        <v>2.16</v>
      </c>
      <c r="H398" s="17">
        <v>0.87</v>
      </c>
      <c r="I398" s="2">
        <v>203757</v>
      </c>
    </row>
    <row r="399" spans="1:9" x14ac:dyDescent="0.25">
      <c r="A399" t="s">
        <v>92</v>
      </c>
      <c r="B399" s="1" t="s">
        <v>21</v>
      </c>
      <c r="C399" s="2">
        <v>15704747</v>
      </c>
      <c r="D399" s="2">
        <v>12712820</v>
      </c>
      <c r="E399" s="17">
        <v>34.78</v>
      </c>
      <c r="F399" s="17">
        <v>2.65</v>
      </c>
      <c r="G399" s="17">
        <v>2.0099999999999998</v>
      </c>
      <c r="H399" s="17">
        <v>0.54</v>
      </c>
      <c r="I399" s="2">
        <v>215966</v>
      </c>
    </row>
    <row r="400" spans="1:9" x14ac:dyDescent="0.25">
      <c r="A400" t="s">
        <v>92</v>
      </c>
      <c r="B400" s="1" t="s">
        <v>22</v>
      </c>
      <c r="C400" s="2">
        <v>16630906</v>
      </c>
      <c r="D400" s="2">
        <v>13623612</v>
      </c>
      <c r="E400" s="17">
        <v>33.590000000000003</v>
      </c>
      <c r="F400" s="17">
        <v>2.72</v>
      </c>
      <c r="G400" s="17">
        <v>2.21</v>
      </c>
      <c r="H400" s="17">
        <v>0.61</v>
      </c>
      <c r="I400" s="2">
        <v>238349</v>
      </c>
    </row>
    <row r="401" spans="1:9" x14ac:dyDescent="0.25">
      <c r="A401" t="s">
        <v>92</v>
      </c>
      <c r="B401" s="1" t="s">
        <v>23</v>
      </c>
      <c r="C401" s="8">
        <v>18304587</v>
      </c>
      <c r="D401" s="8">
        <v>14136322</v>
      </c>
      <c r="E401" s="19">
        <v>43.45</v>
      </c>
      <c r="F401" s="19">
        <v>2.65</v>
      </c>
      <c r="G401" s="19">
        <v>1.99</v>
      </c>
      <c r="H401" s="19">
        <v>0.66</v>
      </c>
      <c r="I401" s="8">
        <v>214996</v>
      </c>
    </row>
    <row r="402" spans="1:9" x14ac:dyDescent="0.25">
      <c r="A402" t="s">
        <v>44</v>
      </c>
      <c r="B402" s="1" t="s">
        <v>4</v>
      </c>
      <c r="C402" s="2">
        <v>87038389</v>
      </c>
      <c r="D402" s="2">
        <v>71015990</v>
      </c>
      <c r="E402" s="17">
        <v>25.44</v>
      </c>
      <c r="F402" s="17">
        <v>8.83</v>
      </c>
      <c r="G402" s="17">
        <v>0.94</v>
      </c>
      <c r="H402" s="17">
        <v>2.37</v>
      </c>
      <c r="I402" s="2">
        <v>702442</v>
      </c>
    </row>
    <row r="403" spans="1:9" x14ac:dyDescent="0.25">
      <c r="A403" t="s">
        <v>44</v>
      </c>
      <c r="B403" s="1" t="s">
        <v>5</v>
      </c>
      <c r="C403" s="2">
        <v>90422307</v>
      </c>
      <c r="D403" s="2">
        <v>74585279</v>
      </c>
      <c r="E403" s="17">
        <v>23.62</v>
      </c>
      <c r="F403" s="17">
        <v>8.91</v>
      </c>
      <c r="G403" s="17">
        <v>1.07</v>
      </c>
      <c r="H403" s="17">
        <v>2.41</v>
      </c>
      <c r="I403" s="2">
        <v>811333</v>
      </c>
    </row>
    <row r="404" spans="1:9" x14ac:dyDescent="0.25">
      <c r="A404" t="s">
        <v>44</v>
      </c>
      <c r="B404" s="1" t="s">
        <v>6</v>
      </c>
      <c r="C404" s="2">
        <v>88010091</v>
      </c>
      <c r="D404" s="2">
        <v>71793511</v>
      </c>
      <c r="E404" s="17">
        <v>24.3</v>
      </c>
      <c r="F404" s="17">
        <v>8.86</v>
      </c>
      <c r="G404" s="17">
        <v>1.19</v>
      </c>
      <c r="H404" s="17">
        <v>2.34</v>
      </c>
      <c r="I404" s="2">
        <v>865555</v>
      </c>
    </row>
    <row r="405" spans="1:9" x14ac:dyDescent="0.25">
      <c r="A405" t="s">
        <v>44</v>
      </c>
      <c r="B405" s="1" t="s">
        <v>7</v>
      </c>
      <c r="C405" s="2">
        <v>91129570</v>
      </c>
      <c r="D405" s="2">
        <v>74540034</v>
      </c>
      <c r="E405" s="17">
        <v>24.46</v>
      </c>
      <c r="F405" s="17">
        <v>8.61</v>
      </c>
      <c r="G405" s="17">
        <v>1.22</v>
      </c>
      <c r="H405" s="17">
        <v>1.99</v>
      </c>
      <c r="I405" s="2">
        <v>918116</v>
      </c>
    </row>
    <row r="406" spans="1:9" x14ac:dyDescent="0.25">
      <c r="A406" t="s">
        <v>44</v>
      </c>
      <c r="B406" s="1" t="s">
        <v>8</v>
      </c>
      <c r="C406" s="2">
        <v>180862270</v>
      </c>
      <c r="D406" s="2">
        <v>154208703</v>
      </c>
      <c r="E406" s="17">
        <v>22.68</v>
      </c>
      <c r="F406" s="17">
        <v>4.8899999999999997</v>
      </c>
      <c r="G406" s="17">
        <v>0.73</v>
      </c>
      <c r="H406" s="17">
        <v>1.0900000000000001</v>
      </c>
      <c r="I406" s="2">
        <v>1093078</v>
      </c>
    </row>
    <row r="407" spans="1:9" x14ac:dyDescent="0.25">
      <c r="A407" t="s">
        <v>44</v>
      </c>
      <c r="B407" s="1" t="s">
        <v>9</v>
      </c>
      <c r="C407" s="2">
        <v>174361099</v>
      </c>
      <c r="D407" s="2">
        <v>147234023</v>
      </c>
      <c r="E407" s="17">
        <v>23.34</v>
      </c>
      <c r="F407" s="17">
        <v>6.72</v>
      </c>
      <c r="G407" s="17">
        <v>0.81</v>
      </c>
      <c r="H407" s="17">
        <v>2.1800000000000002</v>
      </c>
      <c r="I407" s="2">
        <v>1130178</v>
      </c>
    </row>
    <row r="408" spans="1:9" x14ac:dyDescent="0.25">
      <c r="A408" t="s">
        <v>44</v>
      </c>
      <c r="B408" s="1" t="s">
        <v>10</v>
      </c>
      <c r="C408" s="2">
        <v>168918673</v>
      </c>
      <c r="D408" s="2">
        <v>141379107</v>
      </c>
      <c r="E408" s="17">
        <v>23.91</v>
      </c>
      <c r="F408" s="17">
        <v>4.78</v>
      </c>
      <c r="G408" s="17">
        <v>0.81</v>
      </c>
      <c r="H408" s="17">
        <v>1.37</v>
      </c>
      <c r="I408" s="2">
        <v>1171608</v>
      </c>
    </row>
    <row r="409" spans="1:9" x14ac:dyDescent="0.25">
      <c r="A409" t="s">
        <v>44</v>
      </c>
      <c r="B409" s="1" t="s">
        <v>11</v>
      </c>
      <c r="C409" s="2">
        <v>167492734</v>
      </c>
      <c r="D409" s="2">
        <v>140194133</v>
      </c>
      <c r="E409" s="17">
        <v>23.51</v>
      </c>
      <c r="F409" s="17">
        <v>4.83</v>
      </c>
      <c r="G409" s="17">
        <v>0.78</v>
      </c>
      <c r="H409" s="17">
        <v>1.29</v>
      </c>
      <c r="I409" s="2">
        <v>1175080</v>
      </c>
    </row>
    <row r="410" spans="1:9" x14ac:dyDescent="0.25">
      <c r="A410" t="s">
        <v>44</v>
      </c>
      <c r="B410" s="1" t="s">
        <v>12</v>
      </c>
      <c r="C410" s="2">
        <v>184954549</v>
      </c>
      <c r="D410" s="2">
        <v>157810384</v>
      </c>
      <c r="E410" s="17">
        <v>21.95</v>
      </c>
      <c r="F410" s="17">
        <v>4.82</v>
      </c>
      <c r="G410" s="17">
        <v>0.94</v>
      </c>
      <c r="H410" s="17">
        <v>1.47</v>
      </c>
      <c r="I410" s="2">
        <v>1731987</v>
      </c>
    </row>
    <row r="411" spans="1:9" x14ac:dyDescent="0.25">
      <c r="A411" t="s">
        <v>44</v>
      </c>
      <c r="B411" s="1" t="s">
        <v>13</v>
      </c>
      <c r="C411" s="2">
        <v>171167512</v>
      </c>
      <c r="D411" s="2">
        <v>143383687</v>
      </c>
      <c r="E411" s="17">
        <v>22.52</v>
      </c>
      <c r="F411" s="17">
        <v>4.66</v>
      </c>
      <c r="G411" s="17">
        <v>1.08</v>
      </c>
      <c r="H411" s="17">
        <v>1.51</v>
      </c>
      <c r="I411" s="2">
        <v>1990321</v>
      </c>
    </row>
    <row r="412" spans="1:9" x14ac:dyDescent="0.25">
      <c r="A412" t="s">
        <v>44</v>
      </c>
      <c r="B412" s="1" t="s">
        <v>14</v>
      </c>
      <c r="C412" s="2">
        <v>172873156</v>
      </c>
      <c r="D412" s="2">
        <v>144587168</v>
      </c>
      <c r="E412" s="17">
        <v>24.34</v>
      </c>
      <c r="F412" s="17">
        <v>4.49</v>
      </c>
      <c r="G412" s="17">
        <v>1.05</v>
      </c>
      <c r="H412" s="17">
        <v>1.37</v>
      </c>
      <c r="I412" s="2">
        <v>2058341</v>
      </c>
    </row>
    <row r="413" spans="1:9" x14ac:dyDescent="0.25">
      <c r="A413" t="s">
        <v>44</v>
      </c>
      <c r="B413" s="1" t="s">
        <v>15</v>
      </c>
      <c r="C413" s="2">
        <v>168178044</v>
      </c>
      <c r="D413" s="2">
        <v>139870193</v>
      </c>
      <c r="E413" s="17">
        <v>25.19</v>
      </c>
      <c r="F413" s="17">
        <v>4.4400000000000004</v>
      </c>
      <c r="G413" s="17">
        <v>1.1499999999999999</v>
      </c>
      <c r="H413" s="17">
        <v>1.01</v>
      </c>
      <c r="I413" s="2">
        <v>2572835</v>
      </c>
    </row>
    <row r="414" spans="1:9" x14ac:dyDescent="0.25">
      <c r="A414" t="s">
        <v>44</v>
      </c>
      <c r="B414" s="1" t="s">
        <v>16</v>
      </c>
      <c r="C414" s="2">
        <v>158693638</v>
      </c>
      <c r="D414" s="2">
        <v>129708989</v>
      </c>
      <c r="E414" s="17">
        <v>26.81</v>
      </c>
      <c r="F414" s="17">
        <v>4.76</v>
      </c>
      <c r="G414" s="17">
        <v>1.36</v>
      </c>
      <c r="H414" s="17">
        <v>2.27</v>
      </c>
      <c r="I414" s="2">
        <v>2517793</v>
      </c>
    </row>
    <row r="415" spans="1:9" x14ac:dyDescent="0.25">
      <c r="A415" t="s">
        <v>44</v>
      </c>
      <c r="B415" s="1" t="s">
        <v>17</v>
      </c>
      <c r="C415" s="2">
        <v>159757227</v>
      </c>
      <c r="D415" s="2">
        <v>130167039</v>
      </c>
      <c r="E415" s="17">
        <v>26.46</v>
      </c>
      <c r="F415" s="17">
        <v>4.6900000000000004</v>
      </c>
      <c r="G415" s="17">
        <v>1.39</v>
      </c>
      <c r="H415" s="17">
        <v>1.99</v>
      </c>
      <c r="I415" s="2">
        <v>2725145</v>
      </c>
    </row>
    <row r="416" spans="1:9" x14ac:dyDescent="0.25">
      <c r="A416" t="s">
        <v>44</v>
      </c>
      <c r="B416" s="1" t="s">
        <v>18</v>
      </c>
      <c r="C416" s="2">
        <v>166453972</v>
      </c>
      <c r="D416" s="2">
        <v>136662710</v>
      </c>
      <c r="E416" s="17">
        <v>24.52</v>
      </c>
      <c r="F416" s="17">
        <v>4.57</v>
      </c>
      <c r="G416" s="17">
        <v>1.49</v>
      </c>
      <c r="H416" s="17">
        <v>1.51</v>
      </c>
      <c r="I416" s="2">
        <v>3180323</v>
      </c>
    </row>
    <row r="417" spans="1:9" x14ac:dyDescent="0.25">
      <c r="A417" t="s">
        <v>44</v>
      </c>
      <c r="B417" s="1" t="s">
        <v>19</v>
      </c>
      <c r="C417" s="2">
        <v>174601315</v>
      </c>
      <c r="D417" s="2">
        <v>144395241</v>
      </c>
      <c r="E417" s="17">
        <v>24.96</v>
      </c>
      <c r="F417" s="17">
        <v>4.46</v>
      </c>
      <c r="G417" s="17">
        <v>1.63</v>
      </c>
      <c r="H417" s="17">
        <v>1.41</v>
      </c>
      <c r="I417" s="2">
        <v>3254434</v>
      </c>
    </row>
    <row r="418" spans="1:9" x14ac:dyDescent="0.25">
      <c r="A418" t="s">
        <v>44</v>
      </c>
      <c r="B418" s="1" t="s">
        <v>20</v>
      </c>
      <c r="C418" s="2">
        <v>174447329</v>
      </c>
      <c r="D418" s="2">
        <v>143798249</v>
      </c>
      <c r="E418" s="17">
        <v>24.41</v>
      </c>
      <c r="F418" s="17">
        <v>4.16</v>
      </c>
      <c r="G418" s="17">
        <v>1.32</v>
      </c>
      <c r="H418" s="17">
        <v>1.41</v>
      </c>
      <c r="I418" s="2">
        <v>3168401</v>
      </c>
    </row>
    <row r="419" spans="1:9" x14ac:dyDescent="0.25">
      <c r="A419" t="s">
        <v>44</v>
      </c>
      <c r="B419" s="1" t="s">
        <v>21</v>
      </c>
      <c r="C419" s="2">
        <v>176694824</v>
      </c>
      <c r="D419" s="2">
        <v>145165961</v>
      </c>
      <c r="E419" s="17">
        <v>24.09</v>
      </c>
      <c r="F419" s="17">
        <v>4.08</v>
      </c>
      <c r="G419" s="17">
        <v>1.25</v>
      </c>
      <c r="H419" s="17">
        <v>0.37</v>
      </c>
      <c r="I419" s="2">
        <v>3129324</v>
      </c>
    </row>
    <row r="420" spans="1:9" x14ac:dyDescent="0.25">
      <c r="A420" t="s">
        <v>44</v>
      </c>
      <c r="B420" s="1" t="s">
        <v>22</v>
      </c>
      <c r="C420" s="2">
        <v>180585841</v>
      </c>
      <c r="D420" s="2">
        <v>148714540</v>
      </c>
      <c r="E420" s="17">
        <v>23.81</v>
      </c>
      <c r="F420" s="17">
        <v>4.03</v>
      </c>
      <c r="G420" s="17">
        <v>1.34</v>
      </c>
      <c r="H420" s="17">
        <v>1.71</v>
      </c>
      <c r="I420" s="2">
        <v>3266750</v>
      </c>
    </row>
    <row r="421" spans="1:9" x14ac:dyDescent="0.25">
      <c r="A421" t="s">
        <v>44</v>
      </c>
      <c r="B421" s="1" t="s">
        <v>23</v>
      </c>
      <c r="C421" s="7">
        <v>189241556</v>
      </c>
      <c r="D421" s="7">
        <v>157011678</v>
      </c>
      <c r="E421" s="16">
        <v>25.94</v>
      </c>
      <c r="F421" s="17">
        <v>3.99</v>
      </c>
      <c r="G421" s="17">
        <v>1.32</v>
      </c>
      <c r="H421" s="17">
        <v>1.52</v>
      </c>
      <c r="I421" s="7">
        <v>2810194</v>
      </c>
    </row>
    <row r="422" spans="1:9" x14ac:dyDescent="0.25">
      <c r="A422" t="s">
        <v>95</v>
      </c>
      <c r="B422" s="1" t="s">
        <v>4</v>
      </c>
      <c r="C422" s="2">
        <v>10508569</v>
      </c>
      <c r="D422" s="2">
        <v>9103733</v>
      </c>
      <c r="E422" s="17">
        <v>25.61</v>
      </c>
      <c r="F422" s="17">
        <v>4.6100000000000003</v>
      </c>
      <c r="G422" s="17">
        <v>0</v>
      </c>
      <c r="H422" s="17">
        <v>0.64</v>
      </c>
      <c r="I422" s="2">
        <v>27127</v>
      </c>
    </row>
    <row r="423" spans="1:9" x14ac:dyDescent="0.25">
      <c r="A423" t="s">
        <v>95</v>
      </c>
      <c r="B423" s="1" t="s">
        <v>5</v>
      </c>
      <c r="C423" s="2">
        <v>10042003</v>
      </c>
      <c r="D423" s="2">
        <v>8656261</v>
      </c>
      <c r="E423" s="17">
        <v>24.57</v>
      </c>
      <c r="F423" s="17">
        <v>4.71</v>
      </c>
      <c r="G423" s="17">
        <v>0.72</v>
      </c>
      <c r="H423" s="17">
        <v>0.59</v>
      </c>
      <c r="I423" s="2">
        <v>45443</v>
      </c>
    </row>
    <row r="424" spans="1:9" x14ac:dyDescent="0.25">
      <c r="A424" t="s">
        <v>95</v>
      </c>
      <c r="B424" s="1" t="s">
        <v>6</v>
      </c>
      <c r="C424" s="2">
        <v>10407053</v>
      </c>
      <c r="D424" s="2">
        <v>9011801</v>
      </c>
      <c r="E424" s="17">
        <v>24.13</v>
      </c>
      <c r="F424" s="17">
        <v>4.7</v>
      </c>
      <c r="G424" s="17">
        <v>0.71</v>
      </c>
      <c r="H424" s="17">
        <v>0.63</v>
      </c>
      <c r="I424" s="2">
        <v>48170</v>
      </c>
    </row>
    <row r="425" spans="1:9" x14ac:dyDescent="0.25">
      <c r="A425" t="s">
        <v>95</v>
      </c>
      <c r="B425" s="1" t="s">
        <v>7</v>
      </c>
      <c r="C425" s="2">
        <v>11793981</v>
      </c>
      <c r="D425" s="2">
        <v>10379604</v>
      </c>
      <c r="E425" s="17">
        <v>23.27</v>
      </c>
      <c r="F425" s="17">
        <v>4.62</v>
      </c>
      <c r="G425" s="17">
        <v>0.97</v>
      </c>
      <c r="H425" s="17">
        <v>0.42</v>
      </c>
      <c r="I425" s="2">
        <v>64532</v>
      </c>
    </row>
    <row r="426" spans="1:9" x14ac:dyDescent="0.25">
      <c r="A426" t="s">
        <v>95</v>
      </c>
      <c r="B426" s="1" t="s">
        <v>8</v>
      </c>
      <c r="C426" s="2">
        <v>11989767</v>
      </c>
      <c r="D426" s="2">
        <v>10562323</v>
      </c>
      <c r="E426" s="17">
        <v>22.32</v>
      </c>
      <c r="F426" s="17">
        <v>3.87</v>
      </c>
      <c r="G426" s="17">
        <v>0.56000000000000005</v>
      </c>
      <c r="H426" s="17">
        <v>0.39</v>
      </c>
      <c r="I426" s="2">
        <v>64219</v>
      </c>
    </row>
    <row r="427" spans="1:9" x14ac:dyDescent="0.25">
      <c r="A427" t="s">
        <v>95</v>
      </c>
      <c r="B427" s="1" t="s">
        <v>9</v>
      </c>
      <c r="C427" s="2">
        <v>12084529</v>
      </c>
      <c r="D427" s="2">
        <v>10639816</v>
      </c>
      <c r="E427" s="17">
        <v>22.24</v>
      </c>
      <c r="F427" s="17">
        <v>4.05</v>
      </c>
      <c r="G427" s="17">
        <v>0.62</v>
      </c>
      <c r="H427" s="17">
        <v>0.44</v>
      </c>
      <c r="I427" s="2">
        <v>64600</v>
      </c>
    </row>
    <row r="428" spans="1:9" x14ac:dyDescent="0.25">
      <c r="A428" t="s">
        <v>95</v>
      </c>
      <c r="B428" s="1" t="s">
        <v>10</v>
      </c>
      <c r="C428" s="2">
        <v>12079029</v>
      </c>
      <c r="D428" s="2">
        <v>10618123</v>
      </c>
      <c r="E428" s="17">
        <v>21.94</v>
      </c>
      <c r="F428" s="17">
        <v>3.97</v>
      </c>
      <c r="G428" s="17">
        <v>0.62</v>
      </c>
      <c r="H428" s="17">
        <v>0.49</v>
      </c>
      <c r="I428" s="2">
        <v>64988</v>
      </c>
    </row>
    <row r="429" spans="1:9" x14ac:dyDescent="0.25">
      <c r="A429" t="s">
        <v>95</v>
      </c>
      <c r="B429" s="1" t="s">
        <v>11</v>
      </c>
      <c r="C429" s="2">
        <v>13147503</v>
      </c>
      <c r="D429" s="2">
        <v>11683086</v>
      </c>
      <c r="E429" s="17">
        <v>21.56</v>
      </c>
      <c r="F429" s="17">
        <v>3.92</v>
      </c>
      <c r="G429" s="17">
        <v>2.09</v>
      </c>
      <c r="H429" s="17">
        <v>0.52</v>
      </c>
      <c r="I429" s="2">
        <v>33146</v>
      </c>
    </row>
    <row r="430" spans="1:9" x14ac:dyDescent="0.25">
      <c r="A430" t="s">
        <v>95</v>
      </c>
      <c r="B430" s="1" t="s">
        <v>12</v>
      </c>
      <c r="C430" s="2">
        <v>12811325</v>
      </c>
      <c r="D430" s="2">
        <v>11362504</v>
      </c>
      <c r="E430" s="17">
        <v>22.89</v>
      </c>
      <c r="F430" s="17">
        <v>3.68</v>
      </c>
      <c r="G430" s="17">
        <v>2.2799999999999998</v>
      </c>
      <c r="H430" s="17">
        <v>0.68</v>
      </c>
      <c r="I430" s="2">
        <v>28212</v>
      </c>
    </row>
    <row r="431" spans="1:9" x14ac:dyDescent="0.25">
      <c r="A431" t="s">
        <v>95</v>
      </c>
      <c r="B431" s="1" t="s">
        <v>13</v>
      </c>
      <c r="C431" s="2">
        <v>12675712</v>
      </c>
      <c r="D431" s="2">
        <v>11206036</v>
      </c>
      <c r="E431" s="17">
        <v>25.16</v>
      </c>
      <c r="F431" s="17">
        <v>4.7300000000000004</v>
      </c>
      <c r="G431" s="17">
        <v>2.4500000000000002</v>
      </c>
      <c r="H431" s="17">
        <v>0.7</v>
      </c>
      <c r="I431" s="2">
        <v>19829</v>
      </c>
    </row>
    <row r="432" spans="1:9" x14ac:dyDescent="0.25">
      <c r="A432" t="s">
        <v>95</v>
      </c>
      <c r="B432" s="1" t="s">
        <v>14</v>
      </c>
      <c r="C432" s="2">
        <v>12274400</v>
      </c>
      <c r="D432" s="2">
        <v>10788751</v>
      </c>
      <c r="E432" s="17">
        <v>23.23</v>
      </c>
      <c r="F432" s="17">
        <v>3.64</v>
      </c>
      <c r="G432" s="17">
        <v>1.68</v>
      </c>
      <c r="H432" s="17">
        <v>0.69</v>
      </c>
      <c r="I432" s="2">
        <v>24606</v>
      </c>
    </row>
    <row r="433" spans="1:9" x14ac:dyDescent="0.25">
      <c r="A433" t="s">
        <v>95</v>
      </c>
      <c r="B433" s="1" t="s">
        <v>15</v>
      </c>
      <c r="C433" s="2">
        <v>13737934</v>
      </c>
      <c r="D433" s="2">
        <v>12218080</v>
      </c>
      <c r="E433" s="17">
        <v>22.02</v>
      </c>
      <c r="F433" s="17">
        <v>3.62</v>
      </c>
      <c r="G433" s="17">
        <v>0.21</v>
      </c>
      <c r="H433" s="17">
        <v>0.56999999999999995</v>
      </c>
      <c r="I433" s="2">
        <v>31173</v>
      </c>
    </row>
    <row r="434" spans="1:9" x14ac:dyDescent="0.25">
      <c r="A434" t="s">
        <v>95</v>
      </c>
      <c r="B434" s="1" t="s">
        <v>16</v>
      </c>
      <c r="C434" s="2">
        <v>14466968</v>
      </c>
      <c r="D434" s="2">
        <v>12961115</v>
      </c>
      <c r="E434" s="17">
        <v>21.06</v>
      </c>
      <c r="F434" s="17">
        <v>3.46</v>
      </c>
      <c r="G434" s="17">
        <v>0.71</v>
      </c>
      <c r="H434" s="17">
        <v>0.45</v>
      </c>
      <c r="I434" s="2">
        <v>33001</v>
      </c>
    </row>
    <row r="435" spans="1:9" x14ac:dyDescent="0.25">
      <c r="A435" t="s">
        <v>95</v>
      </c>
      <c r="B435" s="1" t="s">
        <v>17</v>
      </c>
      <c r="C435" s="2">
        <v>15668143</v>
      </c>
      <c r="D435" s="2">
        <v>14134325</v>
      </c>
      <c r="E435" s="17">
        <v>19.399999999999999</v>
      </c>
      <c r="F435" s="17">
        <v>3.49</v>
      </c>
      <c r="G435" s="17">
        <v>0.57999999999999996</v>
      </c>
      <c r="H435" s="17">
        <v>0.47</v>
      </c>
      <c r="I435" s="2">
        <v>36280</v>
      </c>
    </row>
    <row r="436" spans="1:9" x14ac:dyDescent="0.25">
      <c r="A436" t="s">
        <v>95</v>
      </c>
      <c r="B436" s="1" t="s">
        <v>18</v>
      </c>
      <c r="C436" s="2">
        <v>16356627</v>
      </c>
      <c r="D436" s="2">
        <v>14803759</v>
      </c>
      <c r="E436" s="17">
        <v>19.72</v>
      </c>
      <c r="F436" s="17">
        <v>3.59</v>
      </c>
      <c r="G436" s="17">
        <v>0.59</v>
      </c>
      <c r="H436" s="17">
        <v>0.52</v>
      </c>
      <c r="I436" s="2">
        <v>52593</v>
      </c>
    </row>
    <row r="437" spans="1:9" x14ac:dyDescent="0.25">
      <c r="A437" t="s">
        <v>95</v>
      </c>
      <c r="B437" s="1" t="s">
        <v>19</v>
      </c>
      <c r="C437" s="2">
        <v>20742643</v>
      </c>
      <c r="D437" s="2">
        <v>18977960</v>
      </c>
      <c r="E437" s="17">
        <v>20.91</v>
      </c>
      <c r="F437" s="17">
        <v>3.46</v>
      </c>
      <c r="G437" s="17">
        <v>0.57999999999999996</v>
      </c>
      <c r="H437" s="17">
        <v>0.54</v>
      </c>
      <c r="I437" s="2">
        <v>58565</v>
      </c>
    </row>
    <row r="438" spans="1:9" x14ac:dyDescent="0.25">
      <c r="A438" t="s">
        <v>95</v>
      </c>
      <c r="B438" s="1" t="s">
        <v>20</v>
      </c>
      <c r="C438" s="2">
        <v>20543807</v>
      </c>
      <c r="D438" s="2">
        <v>18785703</v>
      </c>
      <c r="E438" s="17">
        <v>19.670000000000002</v>
      </c>
      <c r="F438" s="17">
        <v>3.03</v>
      </c>
      <c r="G438" s="17">
        <v>0.23</v>
      </c>
      <c r="H438" s="17">
        <v>0.57999999999999996</v>
      </c>
      <c r="I438" s="2">
        <v>69281</v>
      </c>
    </row>
    <row r="439" spans="1:9" x14ac:dyDescent="0.25">
      <c r="A439" t="s">
        <v>95</v>
      </c>
      <c r="B439" s="1" t="s">
        <v>21</v>
      </c>
      <c r="C439" s="2">
        <v>21433136</v>
      </c>
      <c r="D439" s="2">
        <v>19690317</v>
      </c>
      <c r="E439" s="17">
        <v>18.850000000000001</v>
      </c>
      <c r="F439" s="17">
        <v>3.17</v>
      </c>
      <c r="G439" s="17">
        <v>0.27</v>
      </c>
      <c r="H439" s="17">
        <v>0.62</v>
      </c>
      <c r="I439" s="2">
        <v>68365</v>
      </c>
    </row>
    <row r="440" spans="1:9" x14ac:dyDescent="0.25">
      <c r="A440" t="s">
        <v>95</v>
      </c>
      <c r="B440" s="1" t="s">
        <v>22</v>
      </c>
      <c r="C440" s="2">
        <v>21257655</v>
      </c>
      <c r="D440" s="2">
        <v>19492739</v>
      </c>
      <c r="E440" s="17">
        <v>17.7</v>
      </c>
      <c r="F440" s="17">
        <v>3.25</v>
      </c>
      <c r="G440" s="17">
        <v>0.47</v>
      </c>
      <c r="H440" s="17">
        <v>0.63</v>
      </c>
      <c r="I440" s="2">
        <v>70873</v>
      </c>
    </row>
    <row r="441" spans="1:9" x14ac:dyDescent="0.25">
      <c r="A441" t="s">
        <v>95</v>
      </c>
      <c r="B441" s="1" t="s">
        <v>23</v>
      </c>
      <c r="C441" s="2">
        <v>22116366</v>
      </c>
      <c r="D441" s="2">
        <v>20243766</v>
      </c>
      <c r="E441" s="17">
        <v>18.54</v>
      </c>
      <c r="F441" s="17">
        <v>3.35</v>
      </c>
      <c r="G441" s="17">
        <v>0.41</v>
      </c>
      <c r="H441" s="17">
        <v>0.64</v>
      </c>
      <c r="I441" s="2">
        <v>79534</v>
      </c>
    </row>
    <row r="442" spans="1:9" x14ac:dyDescent="0.25">
      <c r="A442" t="s">
        <v>97</v>
      </c>
      <c r="B442" s="1" t="s">
        <v>4</v>
      </c>
      <c r="C442" s="2">
        <v>2471729</v>
      </c>
      <c r="D442" s="2">
        <v>2012141</v>
      </c>
      <c r="E442" s="17">
        <v>25.99</v>
      </c>
      <c r="F442" s="17">
        <v>3.84</v>
      </c>
      <c r="G442" s="17">
        <v>2.54</v>
      </c>
      <c r="H442" s="17">
        <v>0.34</v>
      </c>
      <c r="I442" s="2">
        <v>4687</v>
      </c>
    </row>
    <row r="443" spans="1:9" x14ac:dyDescent="0.25">
      <c r="A443" t="s">
        <v>97</v>
      </c>
      <c r="B443" s="1" t="s">
        <v>5</v>
      </c>
      <c r="C443" s="2">
        <v>2460269</v>
      </c>
      <c r="D443" s="2">
        <v>1997125</v>
      </c>
      <c r="E443" s="17">
        <v>25.39</v>
      </c>
      <c r="F443" s="17">
        <v>4.26</v>
      </c>
      <c r="G443" s="17">
        <v>2.63</v>
      </c>
      <c r="H443" s="17">
        <v>0.53</v>
      </c>
      <c r="I443" s="2">
        <v>4703</v>
      </c>
    </row>
    <row r="444" spans="1:9" x14ac:dyDescent="0.25">
      <c r="A444" t="s">
        <v>97</v>
      </c>
      <c r="B444" s="1" t="s">
        <v>6</v>
      </c>
      <c r="C444" s="2">
        <v>2352896</v>
      </c>
      <c r="D444" s="2">
        <v>1887548</v>
      </c>
      <c r="E444" s="17">
        <v>27.55</v>
      </c>
      <c r="F444" s="17">
        <v>4.28</v>
      </c>
      <c r="G444" s="17">
        <v>3.32</v>
      </c>
      <c r="H444" s="17">
        <v>0.53</v>
      </c>
      <c r="I444" s="2">
        <v>3772</v>
      </c>
    </row>
    <row r="445" spans="1:9" x14ac:dyDescent="0.25">
      <c r="A445" t="s">
        <v>97</v>
      </c>
      <c r="B445" s="1" t="s">
        <v>7</v>
      </c>
      <c r="C445" s="2">
        <v>2534266</v>
      </c>
      <c r="D445" s="2">
        <v>2060207</v>
      </c>
      <c r="E445" s="17">
        <v>28.1</v>
      </c>
      <c r="F445" s="17">
        <v>4.2</v>
      </c>
      <c r="G445" s="17">
        <v>2.58</v>
      </c>
      <c r="H445" s="17">
        <v>0.81</v>
      </c>
      <c r="I445" s="2">
        <v>8015</v>
      </c>
    </row>
    <row r="446" spans="1:9" x14ac:dyDescent="0.25">
      <c r="A446" t="s">
        <v>97</v>
      </c>
      <c r="B446" s="1" t="s">
        <v>8</v>
      </c>
      <c r="C446" s="2">
        <v>2351547</v>
      </c>
      <c r="D446" s="2">
        <v>1876330</v>
      </c>
      <c r="E446" s="17">
        <v>28.15</v>
      </c>
      <c r="F446" s="17">
        <v>3.78</v>
      </c>
      <c r="G446" s="17">
        <v>2.95</v>
      </c>
      <c r="H446" s="17">
        <v>0.26</v>
      </c>
      <c r="I446" s="2">
        <v>7169</v>
      </c>
    </row>
    <row r="447" spans="1:9" x14ac:dyDescent="0.25">
      <c r="A447" t="s">
        <v>97</v>
      </c>
      <c r="B447" s="1" t="s">
        <v>9</v>
      </c>
      <c r="C447" s="2">
        <v>2420296</v>
      </c>
      <c r="D447" s="2">
        <v>1945319</v>
      </c>
      <c r="E447" s="17">
        <v>26.82</v>
      </c>
      <c r="F447" s="17">
        <v>3.6</v>
      </c>
      <c r="G447" s="17">
        <v>3.87</v>
      </c>
      <c r="H447" s="17">
        <v>0.15</v>
      </c>
      <c r="I447" s="2">
        <v>8200</v>
      </c>
    </row>
    <row r="448" spans="1:9" x14ac:dyDescent="0.25">
      <c r="A448" t="s">
        <v>97</v>
      </c>
      <c r="B448" s="1" t="s">
        <v>10</v>
      </c>
      <c r="C448" s="2">
        <v>4522928</v>
      </c>
      <c r="D448" s="2">
        <v>2982206</v>
      </c>
      <c r="E448" s="17">
        <v>44.58</v>
      </c>
      <c r="F448" s="17">
        <v>5.7</v>
      </c>
      <c r="G448" s="17">
        <v>3.5</v>
      </c>
      <c r="H448" s="17">
        <v>0.18</v>
      </c>
      <c r="I448" s="2">
        <v>20401</v>
      </c>
    </row>
    <row r="449" spans="1:9" x14ac:dyDescent="0.25">
      <c r="A449" t="s">
        <v>97</v>
      </c>
      <c r="B449" s="1" t="s">
        <v>11</v>
      </c>
      <c r="C449" s="2">
        <v>5108848</v>
      </c>
      <c r="D449" s="2">
        <v>3087019</v>
      </c>
      <c r="E449" s="17">
        <v>41.27</v>
      </c>
      <c r="F449" s="17">
        <v>5.47</v>
      </c>
      <c r="G449" s="17">
        <v>2.95</v>
      </c>
      <c r="H449" s="17">
        <v>-0.27</v>
      </c>
      <c r="I449" s="2">
        <v>19762</v>
      </c>
    </row>
    <row r="450" spans="1:9" x14ac:dyDescent="0.25">
      <c r="A450" t="s">
        <v>97</v>
      </c>
      <c r="B450" s="1" t="s">
        <v>12</v>
      </c>
      <c r="C450" s="2">
        <v>4838999</v>
      </c>
      <c r="D450" s="2">
        <v>2833415</v>
      </c>
      <c r="E450" s="17">
        <v>51.84</v>
      </c>
      <c r="F450" s="17">
        <v>5.81</v>
      </c>
      <c r="G450" s="17">
        <v>3.76</v>
      </c>
      <c r="H450" s="17">
        <v>0.28000000000000003</v>
      </c>
      <c r="I450" s="2">
        <v>34546</v>
      </c>
    </row>
    <row r="451" spans="1:9" x14ac:dyDescent="0.25">
      <c r="A451" t="s">
        <v>97</v>
      </c>
      <c r="B451" s="1" t="s">
        <v>13</v>
      </c>
      <c r="C451" s="2">
        <v>5020968</v>
      </c>
      <c r="D451" s="2">
        <v>3010452</v>
      </c>
      <c r="E451" s="17">
        <v>44.99</v>
      </c>
      <c r="F451" s="17">
        <v>5.66</v>
      </c>
      <c r="G451" s="17">
        <v>3.51</v>
      </c>
      <c r="H451" s="17">
        <v>0.4</v>
      </c>
      <c r="I451" s="2">
        <v>35758</v>
      </c>
    </row>
    <row r="452" spans="1:9" x14ac:dyDescent="0.25">
      <c r="A452" t="s">
        <v>97</v>
      </c>
      <c r="B452" s="1" t="s">
        <v>14</v>
      </c>
      <c r="C452" s="2">
        <v>5316027</v>
      </c>
      <c r="D452" s="2">
        <v>3300998</v>
      </c>
      <c r="E452" s="17">
        <v>43.04</v>
      </c>
      <c r="F452" s="17">
        <v>5.26</v>
      </c>
      <c r="G452" s="17">
        <v>3.42</v>
      </c>
      <c r="H452" s="17">
        <v>0.35</v>
      </c>
      <c r="I452" s="2">
        <v>40976</v>
      </c>
    </row>
    <row r="453" spans="1:9" x14ac:dyDescent="0.25">
      <c r="A453" t="s">
        <v>97</v>
      </c>
      <c r="B453" s="1" t="s">
        <v>15</v>
      </c>
      <c r="C453" s="2">
        <v>6275182</v>
      </c>
      <c r="D453" s="2">
        <v>3753255</v>
      </c>
      <c r="E453" s="17">
        <v>53.98</v>
      </c>
      <c r="F453" s="17">
        <v>5.25</v>
      </c>
      <c r="G453" s="17">
        <v>3.52</v>
      </c>
      <c r="H453" s="17">
        <v>0.35</v>
      </c>
      <c r="I453" s="7">
        <v>43014</v>
      </c>
    </row>
    <row r="454" spans="1:9" x14ac:dyDescent="0.25">
      <c r="A454" t="s">
        <v>97</v>
      </c>
      <c r="B454" s="1" t="s">
        <v>16</v>
      </c>
      <c r="C454" s="2">
        <v>6466745</v>
      </c>
      <c r="D454" s="2">
        <v>3933965</v>
      </c>
      <c r="E454" s="17">
        <v>50.95</v>
      </c>
      <c r="F454" s="17">
        <v>4.47</v>
      </c>
      <c r="G454" s="17">
        <v>3.09</v>
      </c>
      <c r="H454" s="17">
        <v>0.49</v>
      </c>
      <c r="I454" s="2">
        <v>53190</v>
      </c>
    </row>
    <row r="455" spans="1:9" x14ac:dyDescent="0.25">
      <c r="A455" t="s">
        <v>97</v>
      </c>
      <c r="B455" s="1" t="s">
        <v>17</v>
      </c>
      <c r="C455" s="2">
        <v>6802935</v>
      </c>
      <c r="D455" s="2">
        <v>4274679</v>
      </c>
      <c r="E455" s="17">
        <v>46.37</v>
      </c>
      <c r="F455" s="17">
        <v>4.6900000000000004</v>
      </c>
      <c r="G455" s="17">
        <v>2.89</v>
      </c>
      <c r="H455" s="17">
        <v>0.3</v>
      </c>
      <c r="I455" s="2">
        <v>65360</v>
      </c>
    </row>
    <row r="456" spans="1:9" x14ac:dyDescent="0.25">
      <c r="A456" t="s">
        <v>97</v>
      </c>
      <c r="B456" s="1" t="s">
        <v>18</v>
      </c>
      <c r="C456" s="2">
        <v>6752158</v>
      </c>
      <c r="D456" s="2">
        <v>4217589</v>
      </c>
      <c r="E456" s="17">
        <v>45.26</v>
      </c>
      <c r="F456" s="17">
        <v>4.7699999999999996</v>
      </c>
      <c r="G456" s="17">
        <v>3.43</v>
      </c>
      <c r="H456" s="17">
        <v>0.38</v>
      </c>
      <c r="I456" s="2">
        <v>70577</v>
      </c>
    </row>
    <row r="457" spans="1:9" x14ac:dyDescent="0.25">
      <c r="A457" t="s">
        <v>97</v>
      </c>
      <c r="B457" s="1" t="s">
        <v>19</v>
      </c>
      <c r="C457" s="2">
        <v>7721345</v>
      </c>
      <c r="D457" s="7">
        <v>4681639</v>
      </c>
      <c r="E457" s="17">
        <v>50.88</v>
      </c>
      <c r="F457" s="17">
        <v>5.09</v>
      </c>
      <c r="G457" s="17">
        <v>3.58</v>
      </c>
      <c r="H457" s="17">
        <v>0.38</v>
      </c>
      <c r="I457" s="2">
        <v>86752</v>
      </c>
    </row>
    <row r="458" spans="1:9" x14ac:dyDescent="0.25">
      <c r="A458" t="s">
        <v>97</v>
      </c>
      <c r="B458" s="1" t="s">
        <v>20</v>
      </c>
      <c r="C458" s="2">
        <v>7081912</v>
      </c>
      <c r="D458" s="2">
        <v>4040631</v>
      </c>
      <c r="E458" s="17">
        <v>52.17</v>
      </c>
      <c r="F458" s="17">
        <v>5.87</v>
      </c>
      <c r="G458" s="17">
        <v>4.13</v>
      </c>
      <c r="H458" s="17">
        <v>0.16</v>
      </c>
      <c r="I458" s="2">
        <v>115877</v>
      </c>
    </row>
    <row r="459" spans="1:9" x14ac:dyDescent="0.25">
      <c r="A459" t="s">
        <v>97</v>
      </c>
      <c r="B459" s="1" t="s">
        <v>21</v>
      </c>
      <c r="C459" s="2">
        <v>8510614</v>
      </c>
      <c r="D459" s="2">
        <v>5464729</v>
      </c>
      <c r="E459" s="17">
        <v>45.24</v>
      </c>
      <c r="F459" s="17">
        <v>5.81</v>
      </c>
      <c r="G459" s="17">
        <v>3.23</v>
      </c>
      <c r="H459" s="17">
        <v>0.21</v>
      </c>
      <c r="I459" s="2">
        <v>114565</v>
      </c>
    </row>
    <row r="460" spans="1:9" x14ac:dyDescent="0.25">
      <c r="A460" t="s">
        <v>97</v>
      </c>
      <c r="B460" s="1" t="s">
        <v>22</v>
      </c>
      <c r="C460" s="2">
        <v>9449631</v>
      </c>
      <c r="D460" s="2">
        <v>6398632</v>
      </c>
      <c r="E460" s="17">
        <v>45.9</v>
      </c>
      <c r="F460" s="17">
        <v>5.51</v>
      </c>
      <c r="G460" s="17">
        <v>2.67</v>
      </c>
      <c r="H460" s="17">
        <v>0.21</v>
      </c>
      <c r="I460" s="2">
        <v>126877</v>
      </c>
    </row>
    <row r="461" spans="1:9" x14ac:dyDescent="0.25">
      <c r="A461" t="s">
        <v>97</v>
      </c>
      <c r="B461" s="1" t="s">
        <v>23</v>
      </c>
      <c r="C461" s="8">
        <v>10183411</v>
      </c>
      <c r="D461" s="8">
        <v>6631051</v>
      </c>
      <c r="E461" s="19">
        <v>47.67</v>
      </c>
      <c r="F461" s="16">
        <v>5.68</v>
      </c>
      <c r="G461" s="19">
        <v>2.75</v>
      </c>
      <c r="H461" s="16">
        <v>0.22</v>
      </c>
      <c r="I461" s="8">
        <v>134469</v>
      </c>
    </row>
    <row r="462" spans="1:9" x14ac:dyDescent="0.25">
      <c r="A462" t="s">
        <v>98</v>
      </c>
      <c r="B462" s="1" t="s">
        <v>4</v>
      </c>
      <c r="C462" s="2">
        <v>750122</v>
      </c>
      <c r="D462" s="2">
        <v>614823</v>
      </c>
      <c r="E462" s="17">
        <v>20.45</v>
      </c>
      <c r="F462" s="17">
        <v>4.66</v>
      </c>
      <c r="G462" s="17">
        <v>8.5</v>
      </c>
      <c r="H462" s="17">
        <v>-1.94</v>
      </c>
      <c r="I462" s="2">
        <v>21604</v>
      </c>
    </row>
    <row r="463" spans="1:9" x14ac:dyDescent="0.25">
      <c r="A463" t="s">
        <v>98</v>
      </c>
      <c r="B463" s="1" t="s">
        <v>5</v>
      </c>
      <c r="C463" s="2">
        <v>758789</v>
      </c>
      <c r="D463" s="2">
        <v>626651</v>
      </c>
      <c r="E463" s="17">
        <v>20.72</v>
      </c>
      <c r="F463" s="17">
        <v>4.9000000000000004</v>
      </c>
      <c r="G463" s="17">
        <v>8.3000000000000007</v>
      </c>
      <c r="H463" s="17">
        <v>-1.78</v>
      </c>
      <c r="I463" s="2">
        <v>20796</v>
      </c>
    </row>
    <row r="464" spans="1:9" x14ac:dyDescent="0.25">
      <c r="A464" t="s">
        <v>98</v>
      </c>
      <c r="B464" s="1" t="s">
        <v>6</v>
      </c>
      <c r="C464" s="2">
        <v>733303</v>
      </c>
      <c r="D464" s="2">
        <v>604603</v>
      </c>
      <c r="E464" s="17">
        <v>20.87</v>
      </c>
      <c r="F464" s="17">
        <v>4.87</v>
      </c>
      <c r="G464" s="17">
        <v>8.8699999999999992</v>
      </c>
      <c r="H464" s="17">
        <v>-1.8</v>
      </c>
      <c r="I464" s="2">
        <v>20128</v>
      </c>
    </row>
    <row r="465" spans="1:9" x14ac:dyDescent="0.25">
      <c r="A465" t="s">
        <v>98</v>
      </c>
      <c r="B465" s="1" t="s">
        <v>7</v>
      </c>
      <c r="C465" s="2">
        <v>664673</v>
      </c>
      <c r="D465" s="2">
        <v>549114</v>
      </c>
      <c r="E465" s="17">
        <v>18.63</v>
      </c>
      <c r="F465" s="17">
        <v>4.84</v>
      </c>
      <c r="G465" s="17">
        <v>6.17</v>
      </c>
      <c r="H465" s="17">
        <v>-2.76</v>
      </c>
      <c r="I465" s="2">
        <v>9094</v>
      </c>
    </row>
    <row r="466" spans="1:9" x14ac:dyDescent="0.25">
      <c r="A466" t="s">
        <v>98</v>
      </c>
      <c r="B466" s="1" t="s">
        <v>8</v>
      </c>
      <c r="C466" s="2">
        <v>678937</v>
      </c>
      <c r="D466" s="2">
        <v>569405</v>
      </c>
      <c r="E466" s="17">
        <v>17.79</v>
      </c>
      <c r="F466" s="17">
        <v>3.45</v>
      </c>
      <c r="G466" s="17">
        <v>6.64</v>
      </c>
      <c r="H466" s="17">
        <v>-3.59</v>
      </c>
      <c r="I466" s="2">
        <v>9526</v>
      </c>
    </row>
    <row r="467" spans="1:9" x14ac:dyDescent="0.25">
      <c r="A467" t="s">
        <v>98</v>
      </c>
      <c r="B467" s="1" t="s">
        <v>9</v>
      </c>
      <c r="C467" s="2">
        <v>694121</v>
      </c>
      <c r="D467" s="2">
        <v>592723</v>
      </c>
      <c r="E467" s="17">
        <v>16.02</v>
      </c>
      <c r="F467" s="17">
        <v>3.16</v>
      </c>
      <c r="G467" s="17">
        <v>6.41</v>
      </c>
      <c r="H467" s="17">
        <v>-4.16</v>
      </c>
      <c r="I467" s="2">
        <v>375055</v>
      </c>
    </row>
    <row r="468" spans="1:9" x14ac:dyDescent="0.25">
      <c r="A468" t="s">
        <v>98</v>
      </c>
      <c r="B468" s="1" t="s">
        <v>10</v>
      </c>
      <c r="C468" s="2">
        <v>718949</v>
      </c>
      <c r="D468" s="2">
        <v>622341</v>
      </c>
      <c r="E468" s="17">
        <v>15.47</v>
      </c>
      <c r="F468" s="17">
        <v>2.62</v>
      </c>
      <c r="G468" s="17">
        <v>8.18</v>
      </c>
      <c r="H468" s="17">
        <v>-3.66</v>
      </c>
      <c r="I468" s="2">
        <v>14031</v>
      </c>
    </row>
    <row r="469" spans="1:9" x14ac:dyDescent="0.25">
      <c r="A469" t="s">
        <v>98</v>
      </c>
      <c r="B469" s="1" t="s">
        <v>11</v>
      </c>
      <c r="C469" s="2">
        <v>1321057</v>
      </c>
      <c r="D469" s="2">
        <v>639877</v>
      </c>
      <c r="E469" s="17">
        <v>148.28</v>
      </c>
      <c r="F469" s="17">
        <v>2.0499999999999998</v>
      </c>
      <c r="G469" s="17">
        <v>2.0499999999999998</v>
      </c>
      <c r="H469" s="17">
        <v>-15.89</v>
      </c>
      <c r="I469" s="2">
        <v>33124</v>
      </c>
    </row>
    <row r="470" spans="1:9" x14ac:dyDescent="0.25">
      <c r="A470" t="s">
        <v>98</v>
      </c>
      <c r="B470" s="1" t="s">
        <v>12</v>
      </c>
      <c r="C470" s="2">
        <v>1212735</v>
      </c>
      <c r="D470" s="2">
        <v>558370</v>
      </c>
      <c r="E470" s="17">
        <v>116.15</v>
      </c>
      <c r="F470" s="17">
        <v>3.79</v>
      </c>
      <c r="G470" s="17">
        <v>2.04</v>
      </c>
      <c r="H470" s="17">
        <v>-8.15</v>
      </c>
      <c r="I470" s="2">
        <v>37537</v>
      </c>
    </row>
    <row r="471" spans="1:9" x14ac:dyDescent="0.25">
      <c r="A471" t="s">
        <v>98</v>
      </c>
      <c r="B471" s="1" t="s">
        <v>13</v>
      </c>
      <c r="C471" s="2">
        <v>1706564</v>
      </c>
      <c r="D471" s="2">
        <v>434803</v>
      </c>
      <c r="E471" s="17">
        <v>215.5</v>
      </c>
      <c r="F471" s="17">
        <v>4.1399999999999997</v>
      </c>
      <c r="G471" s="17">
        <v>0.92</v>
      </c>
      <c r="H471" s="17">
        <v>-6.81</v>
      </c>
      <c r="I471" s="2">
        <v>18359</v>
      </c>
    </row>
    <row r="472" spans="1:9" x14ac:dyDescent="0.25">
      <c r="A472" t="s">
        <v>98</v>
      </c>
      <c r="B472" s="1" t="s">
        <v>14</v>
      </c>
      <c r="C472" s="2">
        <v>1727087</v>
      </c>
      <c r="D472" s="2">
        <v>511120</v>
      </c>
      <c r="E472" s="17">
        <v>133</v>
      </c>
      <c r="F472" s="17">
        <v>4.37</v>
      </c>
      <c r="G472" s="17">
        <v>0.37</v>
      </c>
      <c r="H472" s="17">
        <v>-8.9499999999999993</v>
      </c>
      <c r="I472" s="2">
        <v>43451</v>
      </c>
    </row>
    <row r="473" spans="1:9" x14ac:dyDescent="0.25">
      <c r="A473" t="s">
        <v>98</v>
      </c>
      <c r="B473" s="1" t="s">
        <v>15</v>
      </c>
      <c r="C473" s="2">
        <v>2179873</v>
      </c>
      <c r="D473" s="2">
        <v>947540</v>
      </c>
      <c r="E473" s="17">
        <v>91.38</v>
      </c>
      <c r="F473" s="17">
        <v>4.74</v>
      </c>
      <c r="G473" s="17">
        <v>0</v>
      </c>
      <c r="H473" s="17">
        <v>-11.27</v>
      </c>
      <c r="I473" s="2">
        <v>81753</v>
      </c>
    </row>
    <row r="474" spans="1:9" x14ac:dyDescent="0.25">
      <c r="A474" t="s">
        <v>98</v>
      </c>
      <c r="B474" s="1" t="s">
        <v>16</v>
      </c>
      <c r="C474" s="2">
        <v>9243671</v>
      </c>
      <c r="D474" s="2">
        <v>1101071</v>
      </c>
      <c r="E474" s="17">
        <v>538.01</v>
      </c>
      <c r="F474" s="17">
        <v>7.72</v>
      </c>
      <c r="G474" s="17">
        <v>0</v>
      </c>
      <c r="H474" s="17">
        <v>-3.33</v>
      </c>
      <c r="I474" s="2">
        <v>125734</v>
      </c>
    </row>
    <row r="475" spans="1:9" x14ac:dyDescent="0.25">
      <c r="A475" t="s">
        <v>98</v>
      </c>
      <c r="B475" s="1" t="s">
        <v>17</v>
      </c>
      <c r="C475" s="2">
        <v>10093317</v>
      </c>
      <c r="D475" s="2">
        <v>1975145</v>
      </c>
      <c r="E475" s="17">
        <v>342.8</v>
      </c>
      <c r="F475" s="17">
        <v>5.04</v>
      </c>
      <c r="G475" s="17">
        <v>0</v>
      </c>
      <c r="H475" s="17">
        <v>-1.3</v>
      </c>
      <c r="I475" s="2">
        <v>120400</v>
      </c>
    </row>
    <row r="476" spans="1:9" x14ac:dyDescent="0.25">
      <c r="A476" t="s">
        <v>98</v>
      </c>
      <c r="B476" s="1" t="s">
        <v>18</v>
      </c>
      <c r="C476" s="2">
        <v>10978255</v>
      </c>
      <c r="D476" s="2">
        <v>2845504</v>
      </c>
      <c r="E476" s="17">
        <v>224.24</v>
      </c>
      <c r="F476" s="17">
        <v>6.09</v>
      </c>
      <c r="G476" s="17">
        <v>0.59</v>
      </c>
      <c r="H476" s="17">
        <v>-0.52</v>
      </c>
      <c r="I476" s="2">
        <v>164965</v>
      </c>
    </row>
    <row r="477" spans="1:9" x14ac:dyDescent="0.25">
      <c r="A477" t="s">
        <v>98</v>
      </c>
      <c r="B477" s="1" t="s">
        <v>19</v>
      </c>
      <c r="C477" s="2">
        <v>12312422</v>
      </c>
      <c r="D477" s="2">
        <v>4062967</v>
      </c>
      <c r="E477" s="17">
        <v>169.92</v>
      </c>
      <c r="F477" s="17">
        <v>7.42</v>
      </c>
      <c r="G477" s="17">
        <v>0.57999999999999996</v>
      </c>
      <c r="H477" s="17">
        <v>0.1</v>
      </c>
      <c r="I477" s="2">
        <v>127171</v>
      </c>
    </row>
    <row r="478" spans="1:9" x14ac:dyDescent="0.25">
      <c r="A478" t="s">
        <v>98</v>
      </c>
      <c r="B478" s="1" t="s">
        <v>20</v>
      </c>
      <c r="C478" s="2">
        <v>12825240</v>
      </c>
      <c r="D478" s="2">
        <v>4557215</v>
      </c>
      <c r="E478" s="17">
        <v>130.6</v>
      </c>
      <c r="F478" s="17">
        <v>11.08</v>
      </c>
      <c r="G478" s="17">
        <v>1.49</v>
      </c>
      <c r="H478" s="17">
        <v>0.77</v>
      </c>
      <c r="I478" s="2">
        <v>174269</v>
      </c>
    </row>
    <row r="479" spans="1:9" x14ac:dyDescent="0.25">
      <c r="A479" t="s">
        <v>98</v>
      </c>
      <c r="B479" s="1" t="s">
        <v>21</v>
      </c>
      <c r="C479" s="2">
        <v>14611943</v>
      </c>
      <c r="D479" s="2">
        <v>6334884</v>
      </c>
      <c r="E479" s="17">
        <v>109.8</v>
      </c>
      <c r="F479" s="17">
        <v>10.83</v>
      </c>
      <c r="G479" s="17">
        <v>2.7</v>
      </c>
      <c r="H479" s="17">
        <v>0.56999999999999995</v>
      </c>
      <c r="I479" s="2">
        <v>212789</v>
      </c>
    </row>
    <row r="480" spans="1:9" x14ac:dyDescent="0.25">
      <c r="A480" t="s">
        <v>98</v>
      </c>
      <c r="B480" s="1" t="s">
        <v>22</v>
      </c>
      <c r="C480" s="2">
        <v>15823104</v>
      </c>
      <c r="D480" s="2">
        <v>7534412</v>
      </c>
      <c r="E480" s="17">
        <v>97.5</v>
      </c>
      <c r="F480" s="17">
        <v>10.47</v>
      </c>
      <c r="G480" s="17">
        <v>2.1</v>
      </c>
      <c r="H480" s="17">
        <v>0.5</v>
      </c>
      <c r="I480" s="2">
        <v>213666</v>
      </c>
    </row>
    <row r="481" spans="1:9" x14ac:dyDescent="0.25">
      <c r="A481" t="s">
        <v>98</v>
      </c>
      <c r="B481" s="1" t="s">
        <v>23</v>
      </c>
      <c r="C481" s="8">
        <v>16965295</v>
      </c>
      <c r="D481" s="8">
        <v>8701538</v>
      </c>
      <c r="E481" s="19">
        <v>82.75</v>
      </c>
      <c r="F481" s="16">
        <v>10.45</v>
      </c>
      <c r="G481" s="19">
        <v>1.82</v>
      </c>
      <c r="H481" s="16">
        <v>0.14000000000000001</v>
      </c>
      <c r="I481" s="8">
        <v>270170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3543-7699-48D9-AB04-181AA4497196}">
  <dimension ref="A1:E481"/>
  <sheetViews>
    <sheetView topLeftCell="A463" workbookViewId="0">
      <selection activeCell="E468" sqref="E468"/>
    </sheetView>
  </sheetViews>
  <sheetFormatPr defaultRowHeight="15" x14ac:dyDescent="0.25"/>
  <cols>
    <col min="3" max="3" width="10.85546875" bestFit="1" customWidth="1"/>
    <col min="4" max="4" width="15.5703125" customWidth="1"/>
    <col min="5" max="5" width="16.42578125" customWidth="1"/>
  </cols>
  <sheetData>
    <row r="1" spans="1:5" x14ac:dyDescent="0.25">
      <c r="A1" t="s">
        <v>0</v>
      </c>
      <c r="B1" t="s">
        <v>1</v>
      </c>
      <c r="C1" s="3" t="s">
        <v>177</v>
      </c>
      <c r="D1" t="s">
        <v>2</v>
      </c>
      <c r="E1" t="s">
        <v>56</v>
      </c>
    </row>
    <row r="2" spans="1:5" x14ac:dyDescent="0.25">
      <c r="A2" t="s">
        <v>24</v>
      </c>
      <c r="B2" s="1" t="s">
        <v>4</v>
      </c>
      <c r="C2" s="7">
        <v>31495704</v>
      </c>
      <c r="D2" s="2">
        <v>724495578</v>
      </c>
      <c r="E2">
        <f>(C2/D2)*100</f>
        <v>4.3472596598788344</v>
      </c>
    </row>
    <row r="3" spans="1:5" x14ac:dyDescent="0.25">
      <c r="A3" t="s">
        <v>24</v>
      </c>
      <c r="B3" s="1" t="s">
        <v>5</v>
      </c>
      <c r="C3" s="7">
        <v>33899778</v>
      </c>
      <c r="D3" s="2">
        <v>758966857</v>
      </c>
      <c r="E3">
        <f t="shared" ref="E3:E66" si="0">(C3/D3)*100</f>
        <v>4.4665689532211017</v>
      </c>
    </row>
    <row r="4" spans="1:5" x14ac:dyDescent="0.25">
      <c r="A4" t="s">
        <v>24</v>
      </c>
      <c r="B4" s="1" t="s">
        <v>6</v>
      </c>
      <c r="C4" s="7">
        <v>34549730</v>
      </c>
      <c r="D4" s="2">
        <v>772744690</v>
      </c>
      <c r="E4">
        <f t="shared" si="0"/>
        <v>4.4710407521532112</v>
      </c>
    </row>
    <row r="5" spans="1:5" x14ac:dyDescent="0.25">
      <c r="A5" t="s">
        <v>24</v>
      </c>
      <c r="B5" s="1" t="s">
        <v>7</v>
      </c>
      <c r="C5" s="7">
        <v>34569880</v>
      </c>
      <c r="D5" s="2">
        <v>804356813</v>
      </c>
      <c r="E5">
        <f t="shared" si="0"/>
        <v>4.2978289536785459</v>
      </c>
    </row>
    <row r="6" spans="1:5" x14ac:dyDescent="0.25">
      <c r="A6" t="s">
        <v>24</v>
      </c>
      <c r="B6" s="1" t="s">
        <v>8</v>
      </c>
      <c r="C6" s="7">
        <v>36601273</v>
      </c>
      <c r="D6" s="2">
        <v>814573961</v>
      </c>
      <c r="E6">
        <f t="shared" si="0"/>
        <v>4.4933026038626345</v>
      </c>
    </row>
    <row r="7" spans="1:5" x14ac:dyDescent="0.25">
      <c r="A7" t="s">
        <v>24</v>
      </c>
      <c r="B7" s="1" t="s">
        <v>9</v>
      </c>
      <c r="C7" s="7">
        <v>38285277</v>
      </c>
      <c r="D7" s="2">
        <v>844555967</v>
      </c>
      <c r="E7">
        <f t="shared" si="0"/>
        <v>4.5331841223022229</v>
      </c>
    </row>
    <row r="8" spans="1:5" x14ac:dyDescent="0.25">
      <c r="A8" t="s">
        <v>24</v>
      </c>
      <c r="B8" s="1" t="s">
        <v>10</v>
      </c>
      <c r="C8" s="7">
        <v>40280942</v>
      </c>
      <c r="D8" s="2">
        <v>857284886</v>
      </c>
      <c r="E8">
        <f t="shared" si="0"/>
        <v>4.6986646630324476</v>
      </c>
    </row>
    <row r="9" spans="1:5" x14ac:dyDescent="0.25">
      <c r="A9" t="s">
        <v>24</v>
      </c>
      <c r="B9" s="1" t="s">
        <v>11</v>
      </c>
      <c r="C9" s="7">
        <v>37537934</v>
      </c>
      <c r="D9" s="2">
        <v>859570854</v>
      </c>
      <c r="E9">
        <f t="shared" si="0"/>
        <v>4.3670552375429894</v>
      </c>
    </row>
    <row r="10" spans="1:5" x14ac:dyDescent="0.25">
      <c r="A10" t="s">
        <v>24</v>
      </c>
      <c r="B10" s="1" t="s">
        <v>12</v>
      </c>
      <c r="C10" s="7">
        <v>55632256</v>
      </c>
      <c r="D10" s="2">
        <v>884269043</v>
      </c>
      <c r="E10">
        <f t="shared" si="0"/>
        <v>6.29132688070366</v>
      </c>
    </row>
    <row r="11" spans="1:5" x14ac:dyDescent="0.25">
      <c r="A11" t="s">
        <v>24</v>
      </c>
      <c r="B11" s="1" t="s">
        <v>13</v>
      </c>
      <c r="C11" s="7">
        <v>51848042</v>
      </c>
      <c r="D11" s="2">
        <v>869055785</v>
      </c>
      <c r="E11">
        <f t="shared" si="0"/>
        <v>5.9660200064142028</v>
      </c>
    </row>
    <row r="12" spans="1:5" x14ac:dyDescent="0.25">
      <c r="A12" t="s">
        <v>24</v>
      </c>
      <c r="B12" s="1" t="s">
        <v>14</v>
      </c>
      <c r="C12" s="7">
        <v>57051766</v>
      </c>
      <c r="D12" s="2">
        <v>877560684</v>
      </c>
      <c r="E12">
        <f t="shared" si="0"/>
        <v>6.5011761625364706</v>
      </c>
    </row>
    <row r="13" spans="1:5" x14ac:dyDescent="0.25">
      <c r="A13" t="s">
        <v>24</v>
      </c>
      <c r="B13" s="1" t="s">
        <v>15</v>
      </c>
      <c r="C13" s="7">
        <v>64129266</v>
      </c>
      <c r="D13" s="2">
        <v>880685363</v>
      </c>
      <c r="E13">
        <f t="shared" si="0"/>
        <v>7.281745410363996</v>
      </c>
    </row>
    <row r="14" spans="1:5" x14ac:dyDescent="0.25">
      <c r="A14" t="s">
        <v>24</v>
      </c>
      <c r="B14" s="1" t="s">
        <v>16</v>
      </c>
      <c r="C14" s="7">
        <v>71305988</v>
      </c>
      <c r="D14" s="2">
        <v>896526155</v>
      </c>
      <c r="E14">
        <f t="shared" si="0"/>
        <v>7.9535870317135364</v>
      </c>
    </row>
    <row r="15" spans="1:5" x14ac:dyDescent="0.25">
      <c r="A15" t="s">
        <v>24</v>
      </c>
      <c r="B15" s="1" t="s">
        <v>17</v>
      </c>
      <c r="C15" s="7">
        <v>77048953</v>
      </c>
      <c r="D15" s="2">
        <v>912082842</v>
      </c>
      <c r="E15">
        <f t="shared" si="0"/>
        <v>8.447582769022203</v>
      </c>
    </row>
    <row r="16" spans="1:5" x14ac:dyDescent="0.25">
      <c r="A16" t="s">
        <v>24</v>
      </c>
      <c r="B16" s="1" t="s">
        <v>18</v>
      </c>
      <c r="C16" s="7">
        <v>79557890</v>
      </c>
      <c r="D16" s="2">
        <v>931051034</v>
      </c>
      <c r="E16">
        <f t="shared" si="0"/>
        <v>8.5449547978269038</v>
      </c>
    </row>
    <row r="17" spans="1:5" x14ac:dyDescent="0.25">
      <c r="A17" t="s">
        <v>24</v>
      </c>
      <c r="B17" s="1" t="s">
        <v>19</v>
      </c>
      <c r="C17" s="7">
        <v>80911213</v>
      </c>
      <c r="D17" s="2">
        <v>943702693</v>
      </c>
      <c r="E17">
        <f t="shared" si="0"/>
        <v>8.5738033387173971</v>
      </c>
    </row>
    <row r="18" spans="1:5" x14ac:dyDescent="0.25">
      <c r="A18" t="s">
        <v>24</v>
      </c>
      <c r="B18" s="1" t="s">
        <v>20</v>
      </c>
      <c r="C18" s="7">
        <v>84729866</v>
      </c>
      <c r="D18" s="2">
        <v>974801659</v>
      </c>
      <c r="E18">
        <f t="shared" si="0"/>
        <v>8.6920108534612162</v>
      </c>
    </row>
    <row r="19" spans="1:5" x14ac:dyDescent="0.25">
      <c r="A19" t="s">
        <v>24</v>
      </c>
      <c r="B19" s="1" t="s">
        <v>21</v>
      </c>
      <c r="C19" s="7">
        <v>88419050</v>
      </c>
      <c r="D19" s="2">
        <v>1003615576</v>
      </c>
      <c r="E19">
        <f t="shared" si="0"/>
        <v>8.8100515889163518</v>
      </c>
    </row>
    <row r="20" spans="1:5" x14ac:dyDescent="0.25">
      <c r="A20" t="s">
        <v>24</v>
      </c>
      <c r="B20" s="1" t="s">
        <v>22</v>
      </c>
      <c r="C20" s="7">
        <v>87180615</v>
      </c>
      <c r="D20" s="2">
        <v>1007118308</v>
      </c>
      <c r="E20">
        <f t="shared" si="0"/>
        <v>8.6564422776832295</v>
      </c>
    </row>
    <row r="21" spans="1:5" x14ac:dyDescent="0.25">
      <c r="A21" t="s">
        <v>24</v>
      </c>
      <c r="B21" s="1" t="s">
        <v>23</v>
      </c>
      <c r="C21" s="8">
        <v>84578819</v>
      </c>
      <c r="D21" s="2">
        <v>1029802549</v>
      </c>
      <c r="E21">
        <f t="shared" si="0"/>
        <v>8.2131102784831036</v>
      </c>
    </row>
    <row r="22" spans="1:5" x14ac:dyDescent="0.25">
      <c r="A22" t="s">
        <v>25</v>
      </c>
      <c r="B22" s="1" t="s">
        <v>4</v>
      </c>
      <c r="C22" s="7">
        <v>29538097</v>
      </c>
      <c r="D22" s="2">
        <v>614632699</v>
      </c>
      <c r="E22">
        <f t="shared" si="0"/>
        <v>4.8058128127673854</v>
      </c>
    </row>
    <row r="23" spans="1:5" x14ac:dyDescent="0.25">
      <c r="A23" t="s">
        <v>25</v>
      </c>
      <c r="B23" s="1" t="s">
        <v>5</v>
      </c>
      <c r="C23" s="7">
        <v>30132332</v>
      </c>
      <c r="D23" s="2">
        <v>671171582</v>
      </c>
      <c r="E23">
        <f t="shared" si="0"/>
        <v>4.4895124895201537</v>
      </c>
    </row>
    <row r="24" spans="1:5" x14ac:dyDescent="0.25">
      <c r="A24" t="s">
        <v>25</v>
      </c>
      <c r="B24" s="1" t="s">
        <v>6</v>
      </c>
      <c r="C24" s="7">
        <v>29842874</v>
      </c>
      <c r="D24" s="2">
        <v>684657415</v>
      </c>
      <c r="E24">
        <f t="shared" si="0"/>
        <v>4.3588038844215244</v>
      </c>
    </row>
    <row r="25" spans="1:5" x14ac:dyDescent="0.25">
      <c r="A25" t="s">
        <v>25</v>
      </c>
      <c r="B25" s="1" t="s">
        <v>7</v>
      </c>
      <c r="C25" s="7">
        <v>29420088</v>
      </c>
      <c r="D25" s="2">
        <v>718966846</v>
      </c>
      <c r="E25">
        <f t="shared" si="0"/>
        <v>4.0919950848470696</v>
      </c>
    </row>
    <row r="26" spans="1:5" x14ac:dyDescent="0.25">
      <c r="A26" t="s">
        <v>25</v>
      </c>
      <c r="B26" s="1" t="s">
        <v>8</v>
      </c>
      <c r="C26" s="7">
        <v>28021288</v>
      </c>
      <c r="D26" s="2">
        <v>684530093</v>
      </c>
      <c r="E26">
        <f t="shared" si="0"/>
        <v>4.093507106049171</v>
      </c>
    </row>
    <row r="27" spans="1:5" x14ac:dyDescent="0.25">
      <c r="A27" t="s">
        <v>25</v>
      </c>
      <c r="B27" s="1" t="s">
        <v>9</v>
      </c>
      <c r="C27" s="7">
        <v>28986012</v>
      </c>
      <c r="D27" s="2">
        <v>725293118</v>
      </c>
      <c r="E27">
        <f t="shared" si="0"/>
        <v>3.9964548512371243</v>
      </c>
    </row>
    <row r="28" spans="1:5" x14ac:dyDescent="0.25">
      <c r="A28" t="s">
        <v>25</v>
      </c>
      <c r="B28" s="1" t="s">
        <v>10</v>
      </c>
      <c r="C28" s="7">
        <v>29692767</v>
      </c>
      <c r="D28" s="2">
        <v>728122173</v>
      </c>
      <c r="E28">
        <f t="shared" si="0"/>
        <v>4.0779924168028323</v>
      </c>
    </row>
    <row r="29" spans="1:5" x14ac:dyDescent="0.25">
      <c r="A29" t="s">
        <v>25</v>
      </c>
      <c r="B29" s="1" t="s">
        <v>11</v>
      </c>
      <c r="C29" s="7">
        <v>27812363</v>
      </c>
      <c r="D29" s="2">
        <v>792351117</v>
      </c>
      <c r="E29">
        <f t="shared" si="0"/>
        <v>3.5101058613135012</v>
      </c>
    </row>
    <row r="30" spans="1:5" x14ac:dyDescent="0.25">
      <c r="A30" t="s">
        <v>25</v>
      </c>
      <c r="B30" s="1" t="s">
        <v>12</v>
      </c>
      <c r="C30" s="7">
        <v>51547903</v>
      </c>
      <c r="D30" s="2">
        <v>786108510</v>
      </c>
      <c r="E30">
        <f t="shared" si="0"/>
        <v>6.5573521141502455</v>
      </c>
    </row>
    <row r="31" spans="1:5" x14ac:dyDescent="0.25">
      <c r="A31" t="s">
        <v>25</v>
      </c>
      <c r="B31" s="1" t="s">
        <v>13</v>
      </c>
      <c r="C31" s="7">
        <v>52195095</v>
      </c>
      <c r="D31" s="2">
        <v>754846865</v>
      </c>
      <c r="E31">
        <f t="shared" si="0"/>
        <v>6.9146601012908757</v>
      </c>
    </row>
    <row r="32" spans="1:5" x14ac:dyDescent="0.25">
      <c r="A32" t="s">
        <v>25</v>
      </c>
      <c r="B32" s="1" t="s">
        <v>14</v>
      </c>
      <c r="C32" s="7">
        <v>55521984</v>
      </c>
      <c r="D32" s="2">
        <v>751156414</v>
      </c>
      <c r="E32">
        <f t="shared" si="0"/>
        <v>7.3915343016694255</v>
      </c>
    </row>
    <row r="33" spans="1:5" x14ac:dyDescent="0.25">
      <c r="A33" t="s">
        <v>25</v>
      </c>
      <c r="B33" s="1" t="s">
        <v>15</v>
      </c>
      <c r="C33" s="7">
        <v>58491446</v>
      </c>
      <c r="D33" s="2">
        <v>763603416</v>
      </c>
      <c r="E33">
        <f t="shared" si="0"/>
        <v>7.6599246119663773</v>
      </c>
    </row>
    <row r="34" spans="1:5" x14ac:dyDescent="0.25">
      <c r="A34" t="s">
        <v>25</v>
      </c>
      <c r="B34" s="1" t="s">
        <v>16</v>
      </c>
      <c r="C34" s="7">
        <v>60015157</v>
      </c>
      <c r="D34" s="2">
        <v>778954674</v>
      </c>
      <c r="E34">
        <f t="shared" si="0"/>
        <v>7.7045762742287627</v>
      </c>
    </row>
    <row r="35" spans="1:5" x14ac:dyDescent="0.25">
      <c r="A35" t="s">
        <v>25</v>
      </c>
      <c r="B35" s="1" t="s">
        <v>17</v>
      </c>
      <c r="C35" s="7">
        <v>60225575</v>
      </c>
      <c r="D35" s="2">
        <v>805204153</v>
      </c>
      <c r="E35">
        <f t="shared" si="0"/>
        <v>7.4795410301367387</v>
      </c>
    </row>
    <row r="36" spans="1:5" x14ac:dyDescent="0.25">
      <c r="A36" t="s">
        <v>25</v>
      </c>
      <c r="B36" s="1" t="s">
        <v>18</v>
      </c>
      <c r="C36" s="7">
        <v>60830979</v>
      </c>
      <c r="D36" s="2">
        <v>808863845</v>
      </c>
      <c r="E36">
        <f t="shared" si="0"/>
        <v>7.5205461804266944</v>
      </c>
    </row>
    <row r="37" spans="1:5" x14ac:dyDescent="0.25">
      <c r="A37" t="s">
        <v>25</v>
      </c>
      <c r="B37" s="1" t="s">
        <v>19</v>
      </c>
      <c r="C37" s="7">
        <v>60488261</v>
      </c>
      <c r="D37" s="2">
        <v>828113863</v>
      </c>
      <c r="E37">
        <f t="shared" si="0"/>
        <v>7.3043410698221818</v>
      </c>
    </row>
    <row r="38" spans="1:5" x14ac:dyDescent="0.25">
      <c r="A38" t="s">
        <v>25</v>
      </c>
      <c r="B38" s="1" t="s">
        <v>20</v>
      </c>
      <c r="C38" s="7">
        <v>61057181</v>
      </c>
      <c r="D38" s="2">
        <v>842354021</v>
      </c>
      <c r="E38">
        <f t="shared" si="0"/>
        <v>7.2483990671185978</v>
      </c>
    </row>
    <row r="39" spans="1:5" x14ac:dyDescent="0.25">
      <c r="A39" t="s">
        <v>25</v>
      </c>
      <c r="B39" s="1" t="s">
        <v>21</v>
      </c>
      <c r="C39" s="7">
        <v>59804555</v>
      </c>
      <c r="D39" s="2">
        <v>891122770</v>
      </c>
      <c r="E39">
        <f t="shared" si="0"/>
        <v>6.7111465460589672</v>
      </c>
    </row>
    <row r="40" spans="1:5" x14ac:dyDescent="0.25">
      <c r="A40" t="s">
        <v>25</v>
      </c>
      <c r="B40" s="1" t="s">
        <v>22</v>
      </c>
      <c r="C40" s="7">
        <v>59528046</v>
      </c>
      <c r="D40" s="2">
        <v>907790606</v>
      </c>
      <c r="E40">
        <f t="shared" si="0"/>
        <v>6.5574644203797812</v>
      </c>
    </row>
    <row r="41" spans="1:5" x14ac:dyDescent="0.25">
      <c r="A41" t="s">
        <v>25</v>
      </c>
      <c r="B41" s="1" t="s">
        <v>23</v>
      </c>
      <c r="C41" s="7">
        <v>54267417</v>
      </c>
      <c r="D41" s="2">
        <v>932639051</v>
      </c>
      <c r="E41">
        <f t="shared" si="0"/>
        <v>5.8186944822665376</v>
      </c>
    </row>
    <row r="42" spans="1:5" x14ac:dyDescent="0.25">
      <c r="A42" t="s">
        <v>26</v>
      </c>
      <c r="B42" s="1" t="s">
        <v>4</v>
      </c>
      <c r="C42" s="7">
        <v>13895121</v>
      </c>
      <c r="D42" s="2">
        <v>414960819</v>
      </c>
      <c r="E42">
        <f t="shared" si="0"/>
        <v>3.3485380700484879</v>
      </c>
    </row>
    <row r="43" spans="1:5" x14ac:dyDescent="0.25">
      <c r="A43" t="s">
        <v>26</v>
      </c>
      <c r="B43" s="1" t="s">
        <v>5</v>
      </c>
      <c r="C43" s="7">
        <v>13647366</v>
      </c>
      <c r="D43" s="2">
        <v>431869943</v>
      </c>
      <c r="E43">
        <f t="shared" si="0"/>
        <v>3.1600638620965569</v>
      </c>
    </row>
    <row r="44" spans="1:5" x14ac:dyDescent="0.25">
      <c r="A44" t="s">
        <v>26</v>
      </c>
      <c r="B44" s="1" t="s">
        <v>6</v>
      </c>
      <c r="C44" s="7">
        <v>14022560</v>
      </c>
      <c r="D44" s="2">
        <v>459289448</v>
      </c>
      <c r="E44">
        <f t="shared" si="0"/>
        <v>3.0530986638299602</v>
      </c>
    </row>
    <row r="45" spans="1:5" x14ac:dyDescent="0.25">
      <c r="A45" t="s">
        <v>26</v>
      </c>
      <c r="B45" s="1" t="s">
        <v>7</v>
      </c>
      <c r="C45" s="7">
        <v>14059789</v>
      </c>
      <c r="D45" s="2">
        <v>483421821</v>
      </c>
      <c r="E45">
        <f t="shared" si="0"/>
        <v>2.9083894001549426</v>
      </c>
    </row>
    <row r="46" spans="1:5" x14ac:dyDescent="0.25">
      <c r="A46" t="s">
        <v>26</v>
      </c>
      <c r="B46" s="1" t="s">
        <v>8</v>
      </c>
      <c r="C46" s="7">
        <v>14154011</v>
      </c>
      <c r="D46" s="2">
        <v>490803207</v>
      </c>
      <c r="E46">
        <f t="shared" si="0"/>
        <v>2.8838464782077105</v>
      </c>
    </row>
    <row r="47" spans="1:5" x14ac:dyDescent="0.25">
      <c r="A47" t="s">
        <v>26</v>
      </c>
      <c r="B47" s="1" t="s">
        <v>9</v>
      </c>
      <c r="C47" s="7">
        <v>14116915</v>
      </c>
      <c r="D47" s="2">
        <v>516388092</v>
      </c>
      <c r="E47">
        <f t="shared" si="0"/>
        <v>2.7337801197785945</v>
      </c>
    </row>
    <row r="48" spans="1:5" x14ac:dyDescent="0.25">
      <c r="A48" t="s">
        <v>26</v>
      </c>
      <c r="B48" s="1" t="s">
        <v>10</v>
      </c>
      <c r="C48" s="7">
        <v>15078109</v>
      </c>
      <c r="D48" s="2">
        <v>525552922</v>
      </c>
      <c r="E48">
        <f t="shared" si="0"/>
        <v>2.8689991756910067</v>
      </c>
    </row>
    <row r="49" spans="1:5" x14ac:dyDescent="0.25">
      <c r="A49" t="s">
        <v>26</v>
      </c>
      <c r="B49" s="1" t="s">
        <v>11</v>
      </c>
      <c r="C49" s="7">
        <v>15837399</v>
      </c>
      <c r="D49" s="2">
        <v>522750099</v>
      </c>
      <c r="E49">
        <f t="shared" si="0"/>
        <v>3.0296309900842315</v>
      </c>
    </row>
    <row r="50" spans="1:5" x14ac:dyDescent="0.25">
      <c r="A50" t="s">
        <v>26</v>
      </c>
      <c r="B50" s="1" t="s">
        <v>12</v>
      </c>
      <c r="C50" s="7">
        <v>31529285</v>
      </c>
      <c r="D50" s="2">
        <v>545693336</v>
      </c>
      <c r="E50">
        <f t="shared" si="0"/>
        <v>5.7778394786921128</v>
      </c>
    </row>
    <row r="51" spans="1:5" x14ac:dyDescent="0.25">
      <c r="A51" t="s">
        <v>26</v>
      </c>
      <c r="B51" s="1" t="s">
        <v>13</v>
      </c>
      <c r="C51" s="7">
        <v>35307431</v>
      </c>
      <c r="D51" s="2">
        <v>543900121</v>
      </c>
      <c r="E51">
        <f t="shared" si="0"/>
        <v>6.4915284326623635</v>
      </c>
    </row>
    <row r="52" spans="1:5" x14ac:dyDescent="0.25">
      <c r="A52" t="s">
        <v>26</v>
      </c>
      <c r="B52" s="1" t="s">
        <v>14</v>
      </c>
      <c r="C52" s="7">
        <v>40421071</v>
      </c>
      <c r="D52" s="2">
        <v>548613540</v>
      </c>
      <c r="E52">
        <f t="shared" si="0"/>
        <v>7.3678588027557614</v>
      </c>
    </row>
    <row r="53" spans="1:5" x14ac:dyDescent="0.25">
      <c r="A53" t="s">
        <v>26</v>
      </c>
      <c r="B53" s="1" t="s">
        <v>15</v>
      </c>
      <c r="C53" s="7">
        <v>42809275</v>
      </c>
      <c r="D53" s="2">
        <v>551786774</v>
      </c>
      <c r="E53">
        <f t="shared" si="0"/>
        <v>7.7583003104021486</v>
      </c>
    </row>
    <row r="54" spans="1:5" x14ac:dyDescent="0.25">
      <c r="A54" t="s">
        <v>26</v>
      </c>
      <c r="B54" s="1" t="s">
        <v>16</v>
      </c>
      <c r="C54" s="7">
        <v>46115912</v>
      </c>
      <c r="D54" s="2">
        <v>558070101</v>
      </c>
      <c r="E54">
        <f t="shared" si="0"/>
        <v>8.2634622276601775</v>
      </c>
    </row>
    <row r="55" spans="1:5" x14ac:dyDescent="0.25">
      <c r="A55" t="s">
        <v>26</v>
      </c>
      <c r="B55" s="1" t="s">
        <v>17</v>
      </c>
      <c r="C55" s="7">
        <v>48267760</v>
      </c>
      <c r="D55" s="2">
        <v>568536688</v>
      </c>
      <c r="E55">
        <f t="shared" si="0"/>
        <v>8.4898232636132018</v>
      </c>
    </row>
    <row r="56" spans="1:5" x14ac:dyDescent="0.25">
      <c r="A56" t="s">
        <v>26</v>
      </c>
      <c r="B56" s="1" t="s">
        <v>18</v>
      </c>
      <c r="C56" s="7">
        <v>49246228</v>
      </c>
      <c r="D56" s="2">
        <v>569568199</v>
      </c>
      <c r="E56">
        <f t="shared" si="0"/>
        <v>8.6462390432721463</v>
      </c>
    </row>
    <row r="57" spans="1:5" x14ac:dyDescent="0.25">
      <c r="A57" t="s">
        <v>26</v>
      </c>
      <c r="B57" s="1" t="s">
        <v>19</v>
      </c>
      <c r="C57" s="7">
        <v>50213082</v>
      </c>
      <c r="D57" s="2">
        <v>581497289</v>
      </c>
      <c r="E57">
        <f t="shared" si="0"/>
        <v>8.6351360444605625</v>
      </c>
    </row>
    <row r="58" spans="1:5" x14ac:dyDescent="0.25">
      <c r="A58" t="s">
        <v>26</v>
      </c>
      <c r="B58" s="1" t="s">
        <v>20</v>
      </c>
      <c r="C58" s="7">
        <v>51166986</v>
      </c>
      <c r="D58" s="2">
        <v>590845696</v>
      </c>
      <c r="E58">
        <f t="shared" si="0"/>
        <v>8.659957472212847</v>
      </c>
    </row>
    <row r="59" spans="1:5" x14ac:dyDescent="0.25">
      <c r="A59" t="s">
        <v>26</v>
      </c>
      <c r="B59" s="1" t="s">
        <v>21</v>
      </c>
      <c r="C59" s="7">
        <v>51250401</v>
      </c>
      <c r="D59" s="2">
        <v>616605643</v>
      </c>
      <c r="E59">
        <f t="shared" si="0"/>
        <v>8.3116983410416179</v>
      </c>
    </row>
    <row r="60" spans="1:5" x14ac:dyDescent="0.25">
      <c r="A60" t="s">
        <v>26</v>
      </c>
      <c r="B60" s="1" t="s">
        <v>22</v>
      </c>
      <c r="C60" s="7">
        <v>51012190</v>
      </c>
      <c r="D60" s="2">
        <v>619029583</v>
      </c>
      <c r="E60">
        <f t="shared" si="0"/>
        <v>8.240670785518823</v>
      </c>
    </row>
    <row r="61" spans="1:5" x14ac:dyDescent="0.25">
      <c r="A61" t="s">
        <v>26</v>
      </c>
      <c r="B61" s="1" t="s">
        <v>23</v>
      </c>
      <c r="C61" s="7">
        <v>50180236</v>
      </c>
      <c r="D61" s="2">
        <v>642629631</v>
      </c>
      <c r="E61">
        <f t="shared" si="0"/>
        <v>7.8085780019066684</v>
      </c>
    </row>
    <row r="62" spans="1:5" x14ac:dyDescent="0.25">
      <c r="A62" t="s">
        <v>27</v>
      </c>
      <c r="B62" s="1" t="s">
        <v>4</v>
      </c>
      <c r="C62" s="7">
        <v>2380154</v>
      </c>
      <c r="D62" s="2">
        <v>202503051</v>
      </c>
      <c r="E62">
        <f t="shared" si="0"/>
        <v>1.1753669824954884</v>
      </c>
    </row>
    <row r="63" spans="1:5" x14ac:dyDescent="0.25">
      <c r="A63" t="s">
        <v>27</v>
      </c>
      <c r="B63" s="1" t="s">
        <v>5</v>
      </c>
      <c r="C63" s="7">
        <v>2451736</v>
      </c>
      <c r="D63" s="2">
        <v>211352662</v>
      </c>
      <c r="E63">
        <f t="shared" si="0"/>
        <v>1.1600213485837241</v>
      </c>
    </row>
    <row r="64" spans="1:5" x14ac:dyDescent="0.25">
      <c r="A64" t="s">
        <v>27</v>
      </c>
      <c r="B64" s="1" t="s">
        <v>6</v>
      </c>
      <c r="C64" s="7">
        <v>2690677</v>
      </c>
      <c r="D64" s="2">
        <v>220077345</v>
      </c>
      <c r="E64">
        <f t="shared" si="0"/>
        <v>1.222605170922977</v>
      </c>
    </row>
    <row r="65" spans="1:5" x14ac:dyDescent="0.25">
      <c r="A65" t="s">
        <v>27</v>
      </c>
      <c r="B65" s="1" t="s">
        <v>7</v>
      </c>
      <c r="C65" s="7">
        <v>3298132</v>
      </c>
      <c r="D65" s="2">
        <v>237757674</v>
      </c>
      <c r="E65">
        <f t="shared" si="0"/>
        <v>1.3871821441187215</v>
      </c>
    </row>
    <row r="66" spans="1:5" x14ac:dyDescent="0.25">
      <c r="A66" t="s">
        <v>27</v>
      </c>
      <c r="B66" s="1" t="s">
        <v>8</v>
      </c>
      <c r="C66" s="7">
        <v>3185142</v>
      </c>
      <c r="D66" s="2">
        <v>242134710</v>
      </c>
      <c r="E66">
        <f t="shared" si="0"/>
        <v>1.3154421354955677</v>
      </c>
    </row>
    <row r="67" spans="1:5" x14ac:dyDescent="0.25">
      <c r="A67" t="s">
        <v>27</v>
      </c>
      <c r="B67" s="1" t="s">
        <v>9</v>
      </c>
      <c r="C67" s="7">
        <v>3152613</v>
      </c>
      <c r="D67" s="2">
        <v>251041472</v>
      </c>
      <c r="E67">
        <f t="shared" ref="E67:E130" si="1">(C67/D67)*100</f>
        <v>1.2558136211055997</v>
      </c>
    </row>
    <row r="68" spans="1:5" x14ac:dyDescent="0.25">
      <c r="A68" t="s">
        <v>27</v>
      </c>
      <c r="B68" s="1" t="s">
        <v>10</v>
      </c>
      <c r="C68" s="7">
        <v>4793992</v>
      </c>
      <c r="D68" s="2">
        <v>256933913</v>
      </c>
      <c r="E68">
        <f t="shared" si="1"/>
        <v>1.8658463353570613</v>
      </c>
    </row>
    <row r="69" spans="1:5" x14ac:dyDescent="0.25">
      <c r="A69" t="s">
        <v>27</v>
      </c>
      <c r="B69" s="1" t="s">
        <v>11</v>
      </c>
      <c r="C69" s="7">
        <v>6116166</v>
      </c>
      <c r="D69" s="2">
        <v>255825159</v>
      </c>
      <c r="E69">
        <f t="shared" si="1"/>
        <v>2.3907601675721035</v>
      </c>
    </row>
    <row r="70" spans="1:5" x14ac:dyDescent="0.25">
      <c r="A70" t="s">
        <v>27</v>
      </c>
      <c r="B70" s="1" t="s">
        <v>12</v>
      </c>
      <c r="C70" s="7">
        <v>13136109</v>
      </c>
      <c r="D70" s="2">
        <v>253251917</v>
      </c>
      <c r="E70">
        <f t="shared" si="1"/>
        <v>5.1869731750145052</v>
      </c>
    </row>
    <row r="71" spans="1:5" x14ac:dyDescent="0.25">
      <c r="A71" t="s">
        <v>27</v>
      </c>
      <c r="B71" s="1" t="s">
        <v>13</v>
      </c>
      <c r="C71" s="7">
        <v>12797735</v>
      </c>
      <c r="D71" s="2">
        <v>251836914</v>
      </c>
      <c r="E71">
        <f t="shared" si="1"/>
        <v>5.0817550122933923</v>
      </c>
    </row>
    <row r="72" spans="1:5" x14ac:dyDescent="0.25">
      <c r="A72" t="s">
        <v>27</v>
      </c>
      <c r="B72" s="1" t="s">
        <v>14</v>
      </c>
      <c r="C72" s="7">
        <v>12945634</v>
      </c>
      <c r="D72" s="2">
        <v>254917931</v>
      </c>
      <c r="E72">
        <f t="shared" si="1"/>
        <v>5.0783536290352203</v>
      </c>
    </row>
    <row r="73" spans="1:5" x14ac:dyDescent="0.25">
      <c r="A73" t="s">
        <v>27</v>
      </c>
      <c r="B73" s="1" t="s">
        <v>15</v>
      </c>
      <c r="C73" s="7">
        <v>13060943</v>
      </c>
      <c r="D73" s="2">
        <v>260114163</v>
      </c>
      <c r="E73">
        <f t="shared" si="1"/>
        <v>5.0212348490997014</v>
      </c>
    </row>
    <row r="74" spans="1:5" x14ac:dyDescent="0.25">
      <c r="A74" t="s">
        <v>27</v>
      </c>
      <c r="B74" s="1" t="s">
        <v>16</v>
      </c>
      <c r="C74" s="7">
        <v>12878910</v>
      </c>
      <c r="D74" s="2">
        <v>261339795</v>
      </c>
      <c r="E74">
        <f t="shared" si="1"/>
        <v>4.9280324873599906</v>
      </c>
    </row>
    <row r="75" spans="1:5" x14ac:dyDescent="0.25">
      <c r="A75" t="s">
        <v>27</v>
      </c>
      <c r="B75" s="1" t="s">
        <v>17</v>
      </c>
      <c r="C75" s="7">
        <v>13172149</v>
      </c>
      <c r="D75" s="2">
        <v>265906880</v>
      </c>
      <c r="E75">
        <f t="shared" si="1"/>
        <v>4.9536698711970146</v>
      </c>
    </row>
    <row r="76" spans="1:5" x14ac:dyDescent="0.25">
      <c r="A76" t="s">
        <v>27</v>
      </c>
      <c r="B76" s="1" t="s">
        <v>18</v>
      </c>
      <c r="C76" s="7">
        <v>13349533</v>
      </c>
      <c r="D76" s="2">
        <v>270277025</v>
      </c>
      <c r="E76">
        <f t="shared" si="1"/>
        <v>4.9392037669498547</v>
      </c>
    </row>
    <row r="77" spans="1:5" x14ac:dyDescent="0.25">
      <c r="A77" t="s">
        <v>27</v>
      </c>
      <c r="B77" s="1" t="s">
        <v>19</v>
      </c>
      <c r="C77" s="7">
        <v>14435760</v>
      </c>
      <c r="D77" s="2">
        <v>274835291</v>
      </c>
      <c r="E77">
        <f t="shared" si="1"/>
        <v>5.252513222546809</v>
      </c>
    </row>
    <row r="78" spans="1:5" x14ac:dyDescent="0.25">
      <c r="A78" t="s">
        <v>27</v>
      </c>
      <c r="B78" s="1" t="s">
        <v>20</v>
      </c>
      <c r="C78" s="7">
        <v>14651025</v>
      </c>
      <c r="D78" s="2">
        <v>277136834</v>
      </c>
      <c r="E78">
        <f t="shared" si="1"/>
        <v>5.2865672124983574</v>
      </c>
    </row>
    <row r="79" spans="1:5" x14ac:dyDescent="0.25">
      <c r="A79" t="s">
        <v>27</v>
      </c>
      <c r="B79" s="1" t="s">
        <v>21</v>
      </c>
      <c r="C79" s="7">
        <v>15178347</v>
      </c>
      <c r="D79" s="2">
        <v>286152181</v>
      </c>
      <c r="E79">
        <f t="shared" si="1"/>
        <v>5.3042919145180303</v>
      </c>
    </row>
    <row r="80" spans="1:5" x14ac:dyDescent="0.25">
      <c r="A80" t="s">
        <v>27</v>
      </c>
      <c r="B80" s="1" t="s">
        <v>22</v>
      </c>
      <c r="C80" s="7">
        <v>15043329</v>
      </c>
      <c r="D80" s="2">
        <v>289693214</v>
      </c>
      <c r="E80">
        <f t="shared" si="1"/>
        <v>5.1928482522203643</v>
      </c>
    </row>
    <row r="81" spans="1:5" x14ac:dyDescent="0.25">
      <c r="A81" t="s">
        <v>27</v>
      </c>
      <c r="B81" s="1" t="s">
        <v>23</v>
      </c>
      <c r="C81" s="7">
        <v>15674923</v>
      </c>
      <c r="D81" s="2">
        <v>298281704</v>
      </c>
      <c r="E81">
        <f t="shared" si="1"/>
        <v>5.2550735730006428</v>
      </c>
    </row>
    <row r="82" spans="1:5" x14ac:dyDescent="0.25">
      <c r="A82" t="s">
        <v>28</v>
      </c>
      <c r="B82" s="1" t="s">
        <v>4</v>
      </c>
      <c r="C82" s="10" t="s">
        <v>178</v>
      </c>
      <c r="D82" s="2">
        <v>99411653</v>
      </c>
      <c r="E82">
        <f t="shared" si="1"/>
        <v>8.8868615835207976</v>
      </c>
    </row>
    <row r="83" spans="1:5" x14ac:dyDescent="0.25">
      <c r="A83" t="s">
        <v>28</v>
      </c>
      <c r="B83" s="1" t="s">
        <v>5</v>
      </c>
      <c r="C83" s="10" t="s">
        <v>179</v>
      </c>
      <c r="D83" s="2">
        <v>102777896</v>
      </c>
      <c r="E83">
        <f t="shared" si="1"/>
        <v>8.961748934809874</v>
      </c>
    </row>
    <row r="84" spans="1:5" x14ac:dyDescent="0.25">
      <c r="A84" t="s">
        <v>28</v>
      </c>
      <c r="B84" s="1" t="s">
        <v>6</v>
      </c>
      <c r="C84" s="10" t="s">
        <v>180</v>
      </c>
      <c r="D84" s="2">
        <v>106593467</v>
      </c>
      <c r="E84">
        <f t="shared" si="1"/>
        <v>9.0345133440495005</v>
      </c>
    </row>
    <row r="85" spans="1:5" x14ac:dyDescent="0.25">
      <c r="A85" t="s">
        <v>28</v>
      </c>
      <c r="B85" s="1" t="s">
        <v>7</v>
      </c>
      <c r="C85" s="10" t="s">
        <v>181</v>
      </c>
      <c r="D85" s="2">
        <v>106285955</v>
      </c>
      <c r="E85">
        <f t="shared" si="1"/>
        <v>7.6820535695426546</v>
      </c>
    </row>
    <row r="86" spans="1:5" x14ac:dyDescent="0.25">
      <c r="A86" t="s">
        <v>28</v>
      </c>
      <c r="B86" s="1" t="s">
        <v>8</v>
      </c>
      <c r="C86" s="10" t="s">
        <v>182</v>
      </c>
      <c r="D86" s="2">
        <v>104261970</v>
      </c>
      <c r="E86">
        <f t="shared" si="1"/>
        <v>6.5336076039998092</v>
      </c>
    </row>
    <row r="87" spans="1:5" x14ac:dyDescent="0.25">
      <c r="A87" t="s">
        <v>28</v>
      </c>
      <c r="B87" s="1" t="s">
        <v>9</v>
      </c>
      <c r="C87" s="10" t="s">
        <v>183</v>
      </c>
      <c r="D87" s="2">
        <v>106726622</v>
      </c>
      <c r="E87">
        <f t="shared" si="1"/>
        <v>5.5273406854383529</v>
      </c>
    </row>
    <row r="88" spans="1:5" x14ac:dyDescent="0.25">
      <c r="A88" t="s">
        <v>28</v>
      </c>
      <c r="B88" s="1" t="s">
        <v>10</v>
      </c>
      <c r="C88" s="10" t="s">
        <v>184</v>
      </c>
      <c r="D88" s="2">
        <v>107287065</v>
      </c>
      <c r="E88">
        <f t="shared" si="1"/>
        <v>5.3660970220408206</v>
      </c>
    </row>
    <row r="89" spans="1:5" x14ac:dyDescent="0.25">
      <c r="A89" t="s">
        <v>28</v>
      </c>
      <c r="B89" s="1" t="s">
        <v>11</v>
      </c>
      <c r="C89" s="10" t="s">
        <v>185</v>
      </c>
      <c r="D89" s="2">
        <v>107871057</v>
      </c>
      <c r="E89">
        <f t="shared" si="1"/>
        <v>3.6213671290900575</v>
      </c>
    </row>
    <row r="90" spans="1:5" x14ac:dyDescent="0.25">
      <c r="A90" t="s">
        <v>28</v>
      </c>
      <c r="B90" s="1" t="s">
        <v>12</v>
      </c>
      <c r="C90" s="10" t="s">
        <v>186</v>
      </c>
      <c r="D90" s="2">
        <v>110215382</v>
      </c>
      <c r="E90">
        <f t="shared" si="1"/>
        <v>4.6704243151831566</v>
      </c>
    </row>
    <row r="91" spans="1:5" x14ac:dyDescent="0.25">
      <c r="A91" t="s">
        <v>28</v>
      </c>
      <c r="B91" s="1" t="s">
        <v>13</v>
      </c>
      <c r="C91" s="10" t="s">
        <v>187</v>
      </c>
      <c r="D91" s="2">
        <v>103429867</v>
      </c>
      <c r="E91">
        <f t="shared" si="1"/>
        <v>4.0701454252087554</v>
      </c>
    </row>
    <row r="92" spans="1:5" x14ac:dyDescent="0.25">
      <c r="A92" t="s">
        <v>28</v>
      </c>
      <c r="B92" s="1" t="s">
        <v>14</v>
      </c>
      <c r="C92" s="10" t="s">
        <v>188</v>
      </c>
      <c r="D92" s="2">
        <v>102685817</v>
      </c>
      <c r="E92">
        <f t="shared" si="1"/>
        <v>4.3349696482426587</v>
      </c>
    </row>
    <row r="93" spans="1:5" x14ac:dyDescent="0.25">
      <c r="A93" t="s">
        <v>28</v>
      </c>
      <c r="B93" s="1" t="s">
        <v>15</v>
      </c>
      <c r="C93" s="10" t="s">
        <v>189</v>
      </c>
      <c r="D93" s="2">
        <v>117955677</v>
      </c>
      <c r="E93">
        <f t="shared" si="1"/>
        <v>6.7385896144701878</v>
      </c>
    </row>
    <row r="94" spans="1:5" x14ac:dyDescent="0.25">
      <c r="A94" t="s">
        <v>28</v>
      </c>
      <c r="B94" s="1" t="s">
        <v>16</v>
      </c>
      <c r="C94" s="10" t="s">
        <v>190</v>
      </c>
      <c r="D94" s="2">
        <v>117531205</v>
      </c>
      <c r="E94">
        <f t="shared" si="1"/>
        <v>7.0229833855613073</v>
      </c>
    </row>
    <row r="95" spans="1:5" x14ac:dyDescent="0.25">
      <c r="A95" t="s">
        <v>28</v>
      </c>
      <c r="B95" s="1" t="s">
        <v>17</v>
      </c>
      <c r="C95" s="10" t="s">
        <v>191</v>
      </c>
      <c r="D95" s="2">
        <v>120645470</v>
      </c>
      <c r="E95">
        <f t="shared" si="1"/>
        <v>7.0303642565278253</v>
      </c>
    </row>
    <row r="96" spans="1:5" x14ac:dyDescent="0.25">
      <c r="A96" t="s">
        <v>28</v>
      </c>
      <c r="B96" s="1" t="s">
        <v>18</v>
      </c>
      <c r="C96" s="10" t="s">
        <v>192</v>
      </c>
      <c r="D96" s="2">
        <v>123981977</v>
      </c>
      <c r="E96">
        <f t="shared" si="1"/>
        <v>6.9887254661215801</v>
      </c>
    </row>
    <row r="97" spans="1:5" x14ac:dyDescent="0.25">
      <c r="A97" t="s">
        <v>28</v>
      </c>
      <c r="B97" s="1" t="s">
        <v>19</v>
      </c>
      <c r="C97" s="10" t="s">
        <v>193</v>
      </c>
      <c r="D97" s="2">
        <v>125463678</v>
      </c>
      <c r="E97">
        <f t="shared" si="1"/>
        <v>7.2029213108195353</v>
      </c>
    </row>
    <row r="98" spans="1:5" x14ac:dyDescent="0.25">
      <c r="A98" t="s">
        <v>28</v>
      </c>
      <c r="B98" s="1" t="s">
        <v>20</v>
      </c>
      <c r="C98" s="10" t="s">
        <v>198</v>
      </c>
      <c r="D98" s="2">
        <v>129485086</v>
      </c>
      <c r="E98">
        <f t="shared" si="1"/>
        <v>7.1100149711450165</v>
      </c>
    </row>
    <row r="99" spans="1:5" x14ac:dyDescent="0.25">
      <c r="A99" t="s">
        <v>28</v>
      </c>
      <c r="B99" s="1" t="s">
        <v>21</v>
      </c>
      <c r="C99" s="10" t="s">
        <v>204</v>
      </c>
      <c r="D99" s="2">
        <v>134673292</v>
      </c>
      <c r="E99">
        <f t="shared" si="1"/>
        <v>7.0852675079777505</v>
      </c>
    </row>
    <row r="100" spans="1:5" x14ac:dyDescent="0.25">
      <c r="A100" t="s">
        <v>28</v>
      </c>
      <c r="B100" s="1" t="s">
        <v>22</v>
      </c>
      <c r="C100" s="10" t="s">
        <v>211</v>
      </c>
      <c r="D100" s="2">
        <v>135656971</v>
      </c>
      <c r="E100">
        <f t="shared" si="1"/>
        <v>7.3101352086064191</v>
      </c>
    </row>
    <row r="101" spans="1:5" x14ac:dyDescent="0.25">
      <c r="A101" t="s">
        <v>28</v>
      </c>
      <c r="B101" s="1" t="s">
        <v>23</v>
      </c>
      <c r="C101" s="8">
        <v>10154795</v>
      </c>
      <c r="D101" s="2">
        <v>136323646</v>
      </c>
      <c r="E101">
        <f t="shared" si="1"/>
        <v>7.4490341902974047</v>
      </c>
    </row>
    <row r="102" spans="1:5" x14ac:dyDescent="0.25">
      <c r="A102" t="s">
        <v>29</v>
      </c>
      <c r="B102" s="1" t="s">
        <v>4</v>
      </c>
      <c r="C102" s="10" t="s">
        <v>212</v>
      </c>
      <c r="D102" s="2">
        <v>470052360</v>
      </c>
      <c r="E102">
        <f t="shared" si="1"/>
        <v>2.8212018763186295</v>
      </c>
    </row>
    <row r="103" spans="1:5" x14ac:dyDescent="0.25">
      <c r="A103" t="s">
        <v>29</v>
      </c>
      <c r="B103" s="1" t="s">
        <v>5</v>
      </c>
      <c r="C103" s="10" t="s">
        <v>213</v>
      </c>
      <c r="D103" s="2">
        <v>494419514</v>
      </c>
      <c r="E103">
        <f t="shared" si="1"/>
        <v>2.6865215922687065</v>
      </c>
    </row>
    <row r="104" spans="1:5" x14ac:dyDescent="0.25">
      <c r="A104" t="s">
        <v>29</v>
      </c>
      <c r="B104" s="1" t="s">
        <v>6</v>
      </c>
      <c r="C104" s="10" t="s">
        <v>214</v>
      </c>
      <c r="D104" s="2">
        <v>515563085</v>
      </c>
      <c r="E104">
        <f t="shared" si="1"/>
        <v>2.6875126251523613</v>
      </c>
    </row>
    <row r="105" spans="1:5" x14ac:dyDescent="0.25">
      <c r="A105" t="s">
        <v>29</v>
      </c>
      <c r="B105" s="1" t="s">
        <v>7</v>
      </c>
      <c r="C105" s="10" t="s">
        <v>215</v>
      </c>
      <c r="D105" s="2">
        <v>537914433</v>
      </c>
      <c r="E105">
        <f t="shared" si="1"/>
        <v>2.5223920697439253</v>
      </c>
    </row>
    <row r="106" spans="1:5" x14ac:dyDescent="0.25">
      <c r="A106" t="s">
        <v>29</v>
      </c>
      <c r="B106" s="1" t="s">
        <v>8</v>
      </c>
      <c r="C106" s="10" t="s">
        <v>216</v>
      </c>
      <c r="D106" s="2">
        <v>532123564</v>
      </c>
      <c r="E106">
        <f t="shared" si="1"/>
        <v>2.5272834938766215</v>
      </c>
    </row>
    <row r="107" spans="1:5" x14ac:dyDescent="0.25">
      <c r="A107" t="s">
        <v>29</v>
      </c>
      <c r="B107" s="1" t="s">
        <v>9</v>
      </c>
      <c r="C107" s="10" t="s">
        <v>217</v>
      </c>
      <c r="D107" s="2">
        <v>551677550</v>
      </c>
      <c r="E107">
        <f t="shared" si="1"/>
        <v>2.5867585150057311</v>
      </c>
    </row>
    <row r="108" spans="1:5" x14ac:dyDescent="0.25">
      <c r="A108" t="s">
        <v>29</v>
      </c>
      <c r="B108" s="1" t="s">
        <v>10</v>
      </c>
      <c r="C108" s="10" t="s">
        <v>218</v>
      </c>
      <c r="D108" s="2">
        <v>570625590</v>
      </c>
      <c r="E108">
        <f t="shared" si="1"/>
        <v>2.6537579571221119</v>
      </c>
    </row>
    <row r="109" spans="1:5" x14ac:dyDescent="0.25">
      <c r="A109" t="s">
        <v>29</v>
      </c>
      <c r="B109" s="1" t="s">
        <v>11</v>
      </c>
      <c r="C109" s="10" t="s">
        <v>219</v>
      </c>
      <c r="D109" s="2">
        <v>588250950</v>
      </c>
      <c r="E109">
        <f t="shared" si="1"/>
        <v>2.5337891932006231</v>
      </c>
    </row>
    <row r="110" spans="1:5" x14ac:dyDescent="0.25">
      <c r="A110" t="s">
        <v>29</v>
      </c>
      <c r="B110" s="1" t="s">
        <v>12</v>
      </c>
      <c r="C110" s="10" t="s">
        <v>220</v>
      </c>
      <c r="D110" s="2">
        <v>597728368</v>
      </c>
      <c r="E110">
        <f t="shared" si="1"/>
        <v>3.6882151124538893</v>
      </c>
    </row>
    <row r="111" spans="1:5" x14ac:dyDescent="0.25">
      <c r="A111" t="s">
        <v>29</v>
      </c>
      <c r="B111" s="1" t="s">
        <v>13</v>
      </c>
      <c r="C111" s="10" t="s">
        <v>221</v>
      </c>
      <c r="D111" s="2">
        <v>582184109</v>
      </c>
      <c r="E111">
        <f t="shared" si="1"/>
        <v>4.2629952649566389</v>
      </c>
    </row>
    <row r="112" spans="1:5" x14ac:dyDescent="0.25">
      <c r="A112" t="s">
        <v>29</v>
      </c>
      <c r="B112" s="1" t="s">
        <v>14</v>
      </c>
      <c r="C112" s="10" t="s">
        <v>222</v>
      </c>
      <c r="D112" s="2">
        <v>569164386</v>
      </c>
      <c r="E112">
        <f t="shared" si="1"/>
        <v>4.7102221536398101</v>
      </c>
    </row>
    <row r="113" spans="1:5" x14ac:dyDescent="0.25">
      <c r="A113" t="s">
        <v>29</v>
      </c>
      <c r="B113" s="1" t="s">
        <v>15</v>
      </c>
      <c r="C113" s="10" t="s">
        <v>223</v>
      </c>
      <c r="D113" s="2">
        <v>575648735</v>
      </c>
      <c r="E113">
        <f t="shared" si="1"/>
        <v>4.6807838464198133</v>
      </c>
    </row>
    <row r="114" spans="1:5" x14ac:dyDescent="0.25">
      <c r="A114" t="s">
        <v>29</v>
      </c>
      <c r="B114" s="1" t="s">
        <v>16</v>
      </c>
      <c r="C114" s="10" t="s">
        <v>224</v>
      </c>
      <c r="D114" s="2">
        <v>573933771</v>
      </c>
      <c r="E114">
        <f t="shared" si="1"/>
        <v>5.1406882624441348</v>
      </c>
    </row>
    <row r="115" spans="1:5" x14ac:dyDescent="0.25">
      <c r="A115" t="s">
        <v>29</v>
      </c>
      <c r="B115" s="1" t="s">
        <v>17</v>
      </c>
      <c r="C115" s="10" t="s">
        <v>225</v>
      </c>
      <c r="D115" s="2">
        <v>579912255</v>
      </c>
      <c r="E115">
        <f t="shared" si="1"/>
        <v>5.5062909474123805</v>
      </c>
    </row>
    <row r="116" spans="1:5" x14ac:dyDescent="0.25">
      <c r="A116" t="s">
        <v>29</v>
      </c>
      <c r="B116" s="1" t="s">
        <v>18</v>
      </c>
      <c r="C116" s="10" t="s">
        <v>226</v>
      </c>
      <c r="D116" s="2">
        <v>591363643</v>
      </c>
      <c r="E116">
        <f t="shared" si="1"/>
        <v>5.4367013225397081</v>
      </c>
    </row>
    <row r="117" spans="1:5" x14ac:dyDescent="0.25">
      <c r="A117" t="s">
        <v>29</v>
      </c>
      <c r="B117" s="1" t="s">
        <v>19</v>
      </c>
      <c r="C117" s="10" t="s">
        <v>227</v>
      </c>
      <c r="D117" s="2">
        <v>620640134</v>
      </c>
      <c r="E117">
        <f t="shared" si="1"/>
        <v>5.1865145736772478</v>
      </c>
    </row>
    <row r="118" spans="1:5" x14ac:dyDescent="0.25">
      <c r="A118" t="s">
        <v>29</v>
      </c>
      <c r="B118" s="1" t="s">
        <v>20</v>
      </c>
      <c r="C118" s="10" t="s">
        <v>234</v>
      </c>
      <c r="D118" s="2">
        <v>619851707</v>
      </c>
      <c r="E118">
        <f t="shared" si="1"/>
        <v>5.6362319576543491</v>
      </c>
    </row>
    <row r="119" spans="1:5" x14ac:dyDescent="0.25">
      <c r="A119" t="s">
        <v>29</v>
      </c>
      <c r="B119" s="1" t="s">
        <v>21</v>
      </c>
      <c r="C119" s="10" t="s">
        <v>239</v>
      </c>
      <c r="D119" s="2">
        <v>656872451</v>
      </c>
      <c r="E119">
        <f t="shared" si="1"/>
        <v>5.4380899892542454</v>
      </c>
    </row>
    <row r="120" spans="1:5" x14ac:dyDescent="0.25">
      <c r="A120" t="s">
        <v>29</v>
      </c>
      <c r="B120" s="1" t="s">
        <v>22</v>
      </c>
      <c r="C120" s="10" t="s">
        <v>246</v>
      </c>
      <c r="D120" s="2">
        <v>662674349</v>
      </c>
      <c r="E120">
        <f t="shared" si="1"/>
        <v>5.3586797276198777</v>
      </c>
    </row>
    <row r="121" spans="1:5" x14ac:dyDescent="0.25">
      <c r="A121" t="s">
        <v>29</v>
      </c>
      <c r="B121" s="1" t="s">
        <v>23</v>
      </c>
      <c r="C121" s="7">
        <v>33892635</v>
      </c>
      <c r="D121" s="2">
        <v>691141340</v>
      </c>
      <c r="E121">
        <f t="shared" si="1"/>
        <v>4.9038645264657443</v>
      </c>
    </row>
    <row r="122" spans="1:5" x14ac:dyDescent="0.25">
      <c r="A122" t="s">
        <v>30</v>
      </c>
      <c r="B122" s="1" t="s">
        <v>4</v>
      </c>
      <c r="C122" s="10" t="s">
        <v>247</v>
      </c>
      <c r="D122" s="2">
        <v>107539050</v>
      </c>
      <c r="E122">
        <f t="shared" si="1"/>
        <v>1.8587564238292973</v>
      </c>
    </row>
    <row r="123" spans="1:5" x14ac:dyDescent="0.25">
      <c r="A123" t="s">
        <v>30</v>
      </c>
      <c r="B123" s="1" t="s">
        <v>5</v>
      </c>
      <c r="C123" s="10" t="s">
        <v>248</v>
      </c>
      <c r="D123" s="2">
        <v>111298493</v>
      </c>
      <c r="E123">
        <f t="shared" si="1"/>
        <v>1.8585912030273402</v>
      </c>
    </row>
    <row r="124" spans="1:5" x14ac:dyDescent="0.25">
      <c r="A124" t="s">
        <v>30</v>
      </c>
      <c r="B124" s="1" t="s">
        <v>6</v>
      </c>
      <c r="C124" s="10" t="s">
        <v>249</v>
      </c>
      <c r="D124" s="2">
        <v>184056660</v>
      </c>
      <c r="E124">
        <f t="shared" si="1"/>
        <v>1.1531997809804873</v>
      </c>
    </row>
    <row r="125" spans="1:5" x14ac:dyDescent="0.25">
      <c r="A125" t="s">
        <v>30</v>
      </c>
      <c r="B125" s="1" t="s">
        <v>7</v>
      </c>
      <c r="C125" s="10" t="s">
        <v>250</v>
      </c>
      <c r="D125" s="2">
        <v>118938088</v>
      </c>
      <c r="E125">
        <f t="shared" si="1"/>
        <v>1.6895924878160142</v>
      </c>
    </row>
    <row r="126" spans="1:5" x14ac:dyDescent="0.25">
      <c r="A126" t="s">
        <v>30</v>
      </c>
      <c r="B126" s="1" t="s">
        <v>8</v>
      </c>
      <c r="C126" s="10" t="s">
        <v>251</v>
      </c>
      <c r="D126" s="2">
        <v>121382357</v>
      </c>
      <c r="E126">
        <f t="shared" si="1"/>
        <v>1.7979911199120975</v>
      </c>
    </row>
    <row r="127" spans="1:5" x14ac:dyDescent="0.25">
      <c r="A127" t="s">
        <v>30</v>
      </c>
      <c r="B127" s="1" t="s">
        <v>9</v>
      </c>
      <c r="C127" s="10" t="s">
        <v>252</v>
      </c>
      <c r="D127" s="2">
        <v>121035591</v>
      </c>
      <c r="E127">
        <f t="shared" si="1"/>
        <v>2.020860954857485</v>
      </c>
    </row>
    <row r="128" spans="1:5" x14ac:dyDescent="0.25">
      <c r="A128" t="s">
        <v>30</v>
      </c>
      <c r="B128" s="1" t="s">
        <v>10</v>
      </c>
      <c r="C128" s="10" t="s">
        <v>253</v>
      </c>
      <c r="D128" s="2">
        <v>115726478</v>
      </c>
      <c r="E128">
        <f t="shared" si="1"/>
        <v>2.3587877616045656</v>
      </c>
    </row>
    <row r="129" spans="1:5" x14ac:dyDescent="0.25">
      <c r="A129" t="s">
        <v>30</v>
      </c>
      <c r="B129" s="1" t="s">
        <v>11</v>
      </c>
      <c r="C129" s="10" t="s">
        <v>254</v>
      </c>
      <c r="D129" s="2">
        <v>108246585</v>
      </c>
      <c r="E129">
        <f t="shared" si="1"/>
        <v>2.208292298551497</v>
      </c>
    </row>
    <row r="130" spans="1:5" x14ac:dyDescent="0.25">
      <c r="A130" t="s">
        <v>30</v>
      </c>
      <c r="B130" s="1" t="s">
        <v>12</v>
      </c>
      <c r="C130" s="10" t="s">
        <v>255</v>
      </c>
      <c r="D130" s="2">
        <v>109100984</v>
      </c>
      <c r="E130">
        <f t="shared" si="1"/>
        <v>3.0252366926406458</v>
      </c>
    </row>
    <row r="131" spans="1:5" x14ac:dyDescent="0.25">
      <c r="A131" t="s">
        <v>30</v>
      </c>
      <c r="B131" s="1" t="s">
        <v>13</v>
      </c>
      <c r="C131" s="10" t="s">
        <v>256</v>
      </c>
      <c r="D131" s="2">
        <v>103208523</v>
      </c>
      <c r="E131">
        <f t="shared" ref="E131:E194" si="2">(C131/D131)*100</f>
        <v>3.5040487886838569</v>
      </c>
    </row>
    <row r="132" spans="1:5" x14ac:dyDescent="0.25">
      <c r="A132" t="s">
        <v>30</v>
      </c>
      <c r="B132" s="1" t="s">
        <v>14</v>
      </c>
      <c r="C132" s="10" t="s">
        <v>257</v>
      </c>
      <c r="D132" s="2">
        <v>97827874</v>
      </c>
      <c r="E132">
        <f t="shared" si="2"/>
        <v>3.0808693644921692</v>
      </c>
    </row>
    <row r="133" spans="1:5" x14ac:dyDescent="0.25">
      <c r="A133" t="s">
        <v>30</v>
      </c>
      <c r="B133" s="1" t="s">
        <v>15</v>
      </c>
      <c r="C133" s="10" t="s">
        <v>258</v>
      </c>
      <c r="D133" s="2">
        <v>94381957</v>
      </c>
      <c r="E133">
        <f t="shared" si="2"/>
        <v>3.1797730153020667</v>
      </c>
    </row>
    <row r="134" spans="1:5" x14ac:dyDescent="0.25">
      <c r="A134" t="s">
        <v>30</v>
      </c>
      <c r="B134" s="1" t="s">
        <v>16</v>
      </c>
      <c r="C134" s="10" t="s">
        <v>259</v>
      </c>
      <c r="D134" s="2">
        <v>92178499</v>
      </c>
      <c r="E134">
        <f t="shared" si="2"/>
        <v>3.424152089957551</v>
      </c>
    </row>
    <row r="135" spans="1:5" x14ac:dyDescent="0.25">
      <c r="A135" t="s">
        <v>30</v>
      </c>
      <c r="B135" s="1" t="s">
        <v>17</v>
      </c>
      <c r="C135" s="10" t="s">
        <v>260</v>
      </c>
      <c r="D135" s="2">
        <v>89033010</v>
      </c>
      <c r="E135">
        <f t="shared" si="2"/>
        <v>3.8424602290768335</v>
      </c>
    </row>
    <row r="136" spans="1:5" x14ac:dyDescent="0.25">
      <c r="A136" t="s">
        <v>30</v>
      </c>
      <c r="B136" s="1" t="s">
        <v>18</v>
      </c>
      <c r="C136" s="10" t="s">
        <v>261</v>
      </c>
      <c r="D136" s="2">
        <v>88781717</v>
      </c>
      <c r="E136">
        <f t="shared" si="2"/>
        <v>3.9452233166429975</v>
      </c>
    </row>
    <row r="137" spans="1:5" x14ac:dyDescent="0.25">
      <c r="A137" t="s">
        <v>30</v>
      </c>
      <c r="B137" s="1" t="s">
        <v>19</v>
      </c>
      <c r="C137" s="10" t="s">
        <v>262</v>
      </c>
      <c r="D137" s="2">
        <v>90708235</v>
      </c>
      <c r="E137">
        <f t="shared" si="2"/>
        <v>3.380322635535792</v>
      </c>
    </row>
    <row r="138" spans="1:5" x14ac:dyDescent="0.25">
      <c r="A138" t="s">
        <v>30</v>
      </c>
      <c r="B138" s="1" t="s">
        <v>20</v>
      </c>
      <c r="C138" s="10" t="s">
        <v>269</v>
      </c>
      <c r="D138" s="2">
        <v>89193327</v>
      </c>
      <c r="E138">
        <f t="shared" si="2"/>
        <v>3.4982291892755613</v>
      </c>
    </row>
    <row r="139" spans="1:5" x14ac:dyDescent="0.25">
      <c r="A139" t="s">
        <v>30</v>
      </c>
      <c r="B139" s="1" t="s">
        <v>21</v>
      </c>
      <c r="C139" s="10" t="s">
        <v>275</v>
      </c>
      <c r="D139" s="2">
        <v>96509030</v>
      </c>
      <c r="E139">
        <f t="shared" si="2"/>
        <v>3.3058999764063528</v>
      </c>
    </row>
    <row r="140" spans="1:5" x14ac:dyDescent="0.25">
      <c r="A140" t="s">
        <v>30</v>
      </c>
      <c r="B140" s="1" t="s">
        <v>22</v>
      </c>
      <c r="C140" s="10" t="s">
        <v>281</v>
      </c>
      <c r="D140" s="2">
        <v>100914804</v>
      </c>
      <c r="E140">
        <f t="shared" si="2"/>
        <v>2.7907600157455592</v>
      </c>
    </row>
    <row r="141" spans="1:5" x14ac:dyDescent="0.25">
      <c r="A141" t="s">
        <v>30</v>
      </c>
      <c r="B141" s="1" t="s">
        <v>23</v>
      </c>
      <c r="C141" s="7">
        <v>3154611</v>
      </c>
      <c r="D141" s="2">
        <v>95958897</v>
      </c>
      <c r="E141">
        <f t="shared" si="2"/>
        <v>3.2874606718332746</v>
      </c>
    </row>
    <row r="142" spans="1:5" x14ac:dyDescent="0.25">
      <c r="A142" t="s">
        <v>31</v>
      </c>
      <c r="B142" s="1" t="s">
        <v>4</v>
      </c>
      <c r="C142" s="10" t="s">
        <v>282</v>
      </c>
      <c r="D142" s="2">
        <v>127843341</v>
      </c>
      <c r="E142">
        <f t="shared" si="2"/>
        <v>2.3360090378113632</v>
      </c>
    </row>
    <row r="143" spans="1:5" x14ac:dyDescent="0.25">
      <c r="A143" t="s">
        <v>31</v>
      </c>
      <c r="B143" s="1" t="s">
        <v>5</v>
      </c>
      <c r="C143" s="10" t="s">
        <v>283</v>
      </c>
      <c r="D143" s="2">
        <v>133839523</v>
      </c>
      <c r="E143">
        <f t="shared" si="2"/>
        <v>2.4596785211196548</v>
      </c>
    </row>
    <row r="144" spans="1:5" x14ac:dyDescent="0.25">
      <c r="A144" t="s">
        <v>31</v>
      </c>
      <c r="B144" s="1" t="s">
        <v>6</v>
      </c>
      <c r="C144" s="10" t="s">
        <v>284</v>
      </c>
      <c r="D144" s="2">
        <v>132648354</v>
      </c>
      <c r="E144">
        <f t="shared" si="2"/>
        <v>2.6192884383623789</v>
      </c>
    </row>
    <row r="145" spans="1:5" x14ac:dyDescent="0.25">
      <c r="A145" t="s">
        <v>31</v>
      </c>
      <c r="B145" s="1" t="s">
        <v>7</v>
      </c>
      <c r="C145" s="10" t="s">
        <v>285</v>
      </c>
      <c r="D145" s="2">
        <v>136248157</v>
      </c>
      <c r="E145">
        <f t="shared" si="2"/>
        <v>2.6383843122369721</v>
      </c>
    </row>
    <row r="146" spans="1:5" x14ac:dyDescent="0.25">
      <c r="A146" t="s">
        <v>31</v>
      </c>
      <c r="B146" s="1" t="s">
        <v>8</v>
      </c>
      <c r="C146" s="10" t="s">
        <v>286</v>
      </c>
      <c r="D146" s="2">
        <v>137075803</v>
      </c>
      <c r="E146">
        <f t="shared" si="2"/>
        <v>2.6997339566925609</v>
      </c>
    </row>
    <row r="147" spans="1:5" x14ac:dyDescent="0.25">
      <c r="A147" t="s">
        <v>31</v>
      </c>
      <c r="B147" s="1" t="s">
        <v>9</v>
      </c>
      <c r="C147" s="10" t="s">
        <v>287</v>
      </c>
      <c r="D147" s="2">
        <v>136104941</v>
      </c>
      <c r="E147">
        <f t="shared" si="2"/>
        <v>2.5229840847585394</v>
      </c>
    </row>
    <row r="148" spans="1:5" x14ac:dyDescent="0.25">
      <c r="A148" t="s">
        <v>31</v>
      </c>
      <c r="B148" s="1" t="s">
        <v>10</v>
      </c>
      <c r="C148" s="10" t="s">
        <v>288</v>
      </c>
      <c r="D148" s="2">
        <v>135545876</v>
      </c>
      <c r="E148">
        <f t="shared" si="2"/>
        <v>2.6854088869513077</v>
      </c>
    </row>
    <row r="149" spans="1:5" x14ac:dyDescent="0.25">
      <c r="A149" t="s">
        <v>31</v>
      </c>
      <c r="B149" s="1" t="s">
        <v>11</v>
      </c>
      <c r="C149" s="10" t="s">
        <v>289</v>
      </c>
      <c r="D149" s="2">
        <v>132491854</v>
      </c>
      <c r="E149">
        <f t="shared" si="2"/>
        <v>2.8049475403974644</v>
      </c>
    </row>
    <row r="150" spans="1:5" x14ac:dyDescent="0.25">
      <c r="A150" t="s">
        <v>31</v>
      </c>
      <c r="B150" s="1" t="s">
        <v>12</v>
      </c>
      <c r="C150" s="10" t="s">
        <v>290</v>
      </c>
      <c r="D150" s="2">
        <v>131705526</v>
      </c>
      <c r="E150">
        <f t="shared" si="2"/>
        <v>4.8625818479324856</v>
      </c>
    </row>
    <row r="151" spans="1:5" x14ac:dyDescent="0.25">
      <c r="A151" t="s">
        <v>31</v>
      </c>
      <c r="B151" s="1" t="s">
        <v>13</v>
      </c>
      <c r="C151" s="10" t="s">
        <v>291</v>
      </c>
      <c r="D151" s="2">
        <v>121709076</v>
      </c>
      <c r="E151">
        <f t="shared" si="2"/>
        <v>4.5176129674996464</v>
      </c>
    </row>
    <row r="152" spans="1:5" x14ac:dyDescent="0.25">
      <c r="A152" t="s">
        <v>31</v>
      </c>
      <c r="B152" s="1" t="s">
        <v>14</v>
      </c>
      <c r="C152" s="10" t="s">
        <v>292</v>
      </c>
      <c r="D152" s="2">
        <v>116775318</v>
      </c>
      <c r="E152">
        <f t="shared" si="2"/>
        <v>4.3746564663604683</v>
      </c>
    </row>
    <row r="153" spans="1:5" x14ac:dyDescent="0.25">
      <c r="A153" t="s">
        <v>31</v>
      </c>
      <c r="B153" s="1" t="s">
        <v>15</v>
      </c>
      <c r="C153" s="10" t="s">
        <v>293</v>
      </c>
      <c r="D153" s="2">
        <v>113587709</v>
      </c>
      <c r="E153">
        <f t="shared" si="2"/>
        <v>4.6527252345586083</v>
      </c>
    </row>
    <row r="154" spans="1:5" x14ac:dyDescent="0.25">
      <c r="A154" t="s">
        <v>31</v>
      </c>
      <c r="B154" s="1" t="s">
        <v>16</v>
      </c>
      <c r="C154" s="10" t="s">
        <v>294</v>
      </c>
      <c r="D154" s="2">
        <v>112469011</v>
      </c>
      <c r="E154">
        <f t="shared" si="2"/>
        <v>5.3221522504541268</v>
      </c>
    </row>
    <row r="155" spans="1:5" x14ac:dyDescent="0.25">
      <c r="A155" t="s">
        <v>31</v>
      </c>
      <c r="B155" s="1" t="s">
        <v>17</v>
      </c>
      <c r="C155" s="10" t="s">
        <v>295</v>
      </c>
      <c r="D155" s="2">
        <v>110891662</v>
      </c>
      <c r="E155">
        <f t="shared" si="2"/>
        <v>5.5995021519291504</v>
      </c>
    </row>
    <row r="156" spans="1:5" x14ac:dyDescent="0.25">
      <c r="A156" t="s">
        <v>31</v>
      </c>
      <c r="B156" s="1" t="s">
        <v>18</v>
      </c>
      <c r="C156" s="10" t="s">
        <v>296</v>
      </c>
      <c r="D156" s="2">
        <v>109449083</v>
      </c>
      <c r="E156">
        <f t="shared" si="2"/>
        <v>5.3174716868116656</v>
      </c>
    </row>
    <row r="157" spans="1:5" x14ac:dyDescent="0.25">
      <c r="A157" t="s">
        <v>31</v>
      </c>
      <c r="B157" s="1" t="s">
        <v>19</v>
      </c>
      <c r="C157" s="10" t="s">
        <v>297</v>
      </c>
      <c r="D157" s="2">
        <v>111281807</v>
      </c>
      <c r="E157">
        <f t="shared" si="2"/>
        <v>4.9891407676368873</v>
      </c>
    </row>
    <row r="158" spans="1:5" x14ac:dyDescent="0.25">
      <c r="A158" t="s">
        <v>31</v>
      </c>
      <c r="B158" s="1" t="s">
        <v>20</v>
      </c>
      <c r="C158" s="10" t="s">
        <v>304</v>
      </c>
      <c r="D158" s="2">
        <v>109717554</v>
      </c>
      <c r="E158">
        <f t="shared" si="2"/>
        <v>4.8627888660368788</v>
      </c>
    </row>
    <row r="159" spans="1:5" x14ac:dyDescent="0.25">
      <c r="A159" t="s">
        <v>31</v>
      </c>
      <c r="B159" s="1" t="s">
        <v>21</v>
      </c>
      <c r="C159" s="10" t="s">
        <v>311</v>
      </c>
      <c r="D159" s="2">
        <v>116426349</v>
      </c>
      <c r="E159">
        <f t="shared" si="2"/>
        <v>4.811091344966937</v>
      </c>
    </row>
    <row r="160" spans="1:5" x14ac:dyDescent="0.25">
      <c r="A160" t="s">
        <v>31</v>
      </c>
      <c r="B160" s="1" t="s">
        <v>22</v>
      </c>
      <c r="C160" s="10" t="s">
        <v>317</v>
      </c>
      <c r="D160" s="2">
        <v>114731259</v>
      </c>
      <c r="E160">
        <f t="shared" si="2"/>
        <v>4.8756372489558411</v>
      </c>
    </row>
    <row r="161" spans="1:5" x14ac:dyDescent="0.25">
      <c r="A161" t="s">
        <v>31</v>
      </c>
      <c r="B161" s="1" t="s">
        <v>23</v>
      </c>
      <c r="C161" s="8">
        <v>6364830</v>
      </c>
      <c r="D161" s="2">
        <v>120287068</v>
      </c>
      <c r="E161">
        <f t="shared" si="2"/>
        <v>5.2913668159240528</v>
      </c>
    </row>
    <row r="162" spans="1:5" x14ac:dyDescent="0.25">
      <c r="A162" t="s">
        <v>32</v>
      </c>
      <c r="B162" s="1" t="s">
        <v>4</v>
      </c>
      <c r="C162" s="10" t="s">
        <v>318</v>
      </c>
      <c r="D162" s="2">
        <v>176642758</v>
      </c>
      <c r="E162">
        <f t="shared" si="2"/>
        <v>3.5531391555831568</v>
      </c>
    </row>
    <row r="163" spans="1:5" x14ac:dyDescent="0.25">
      <c r="A163" t="s">
        <v>32</v>
      </c>
      <c r="B163" s="1" t="s">
        <v>5</v>
      </c>
      <c r="C163" s="10" t="s">
        <v>319</v>
      </c>
      <c r="D163" s="2">
        <v>183661279</v>
      </c>
      <c r="E163">
        <f t="shared" si="2"/>
        <v>3.4987260433920855</v>
      </c>
    </row>
    <row r="164" spans="1:5" x14ac:dyDescent="0.25">
      <c r="A164" t="s">
        <v>32</v>
      </c>
      <c r="B164" s="1" t="s">
        <v>6</v>
      </c>
      <c r="C164" s="10" t="s">
        <v>320</v>
      </c>
      <c r="D164" s="2">
        <v>180856764</v>
      </c>
      <c r="E164">
        <f t="shared" si="2"/>
        <v>3.3685933913978472</v>
      </c>
    </row>
    <row r="165" spans="1:5" x14ac:dyDescent="0.25">
      <c r="A165" t="s">
        <v>32</v>
      </c>
      <c r="B165" s="1" t="s">
        <v>7</v>
      </c>
      <c r="C165" s="10" t="s">
        <v>321</v>
      </c>
      <c r="D165" s="2">
        <v>186513788</v>
      </c>
      <c r="E165">
        <f t="shared" si="2"/>
        <v>3.1908386311900974</v>
      </c>
    </row>
    <row r="166" spans="1:5" x14ac:dyDescent="0.25">
      <c r="A166" t="s">
        <v>32</v>
      </c>
      <c r="B166" s="1" t="s">
        <v>8</v>
      </c>
      <c r="C166" s="10" t="s">
        <v>322</v>
      </c>
      <c r="D166" s="2">
        <v>185935010</v>
      </c>
      <c r="E166">
        <f t="shared" si="2"/>
        <v>3.3705319939477776</v>
      </c>
    </row>
    <row r="167" spans="1:5" x14ac:dyDescent="0.25">
      <c r="A167" t="s">
        <v>32</v>
      </c>
      <c r="B167" s="1" t="s">
        <v>9</v>
      </c>
      <c r="C167" s="10" t="s">
        <v>323</v>
      </c>
      <c r="D167" s="2">
        <v>188247439</v>
      </c>
      <c r="E167">
        <f t="shared" si="2"/>
        <v>2.8327859482858622</v>
      </c>
    </row>
    <row r="168" spans="1:5" x14ac:dyDescent="0.25">
      <c r="A168" t="s">
        <v>32</v>
      </c>
      <c r="B168" s="1" t="s">
        <v>10</v>
      </c>
      <c r="C168" s="10" t="s">
        <v>324</v>
      </c>
      <c r="D168" s="2">
        <v>188950045</v>
      </c>
      <c r="E168">
        <f t="shared" si="2"/>
        <v>2.8741321548772323</v>
      </c>
    </row>
    <row r="169" spans="1:5" x14ac:dyDescent="0.25">
      <c r="A169" t="s">
        <v>32</v>
      </c>
      <c r="B169" s="1" t="s">
        <v>11</v>
      </c>
      <c r="C169" s="10" t="s">
        <v>325</v>
      </c>
      <c r="D169" s="2">
        <v>191451100</v>
      </c>
      <c r="E169">
        <f t="shared" si="2"/>
        <v>3.1261131432517235</v>
      </c>
    </row>
    <row r="170" spans="1:5" x14ac:dyDescent="0.25">
      <c r="A170" t="s">
        <v>32</v>
      </c>
      <c r="B170" s="1" t="s">
        <v>12</v>
      </c>
      <c r="C170" s="10" t="s">
        <v>326</v>
      </c>
      <c r="D170" s="2">
        <v>191314879</v>
      </c>
      <c r="E170">
        <f t="shared" si="2"/>
        <v>5.3632164176838542</v>
      </c>
    </row>
    <row r="171" spans="1:5" x14ac:dyDescent="0.25">
      <c r="A171" t="s">
        <v>32</v>
      </c>
      <c r="B171" s="1" t="s">
        <v>13</v>
      </c>
      <c r="C171" s="10" t="s">
        <v>327</v>
      </c>
      <c r="D171" s="2">
        <v>183036862</v>
      </c>
      <c r="E171">
        <f t="shared" si="2"/>
        <v>5.854529455383692</v>
      </c>
    </row>
    <row r="172" spans="1:5" x14ac:dyDescent="0.25">
      <c r="A172" t="s">
        <v>32</v>
      </c>
      <c r="B172" s="1" t="s">
        <v>14</v>
      </c>
      <c r="C172" s="10" t="s">
        <v>328</v>
      </c>
      <c r="D172" s="2">
        <v>177812233</v>
      </c>
      <c r="E172">
        <f t="shared" si="2"/>
        <v>6.2952221065690122</v>
      </c>
    </row>
    <row r="173" spans="1:5" x14ac:dyDescent="0.25">
      <c r="A173" t="s">
        <v>32</v>
      </c>
      <c r="B173" s="1" t="s">
        <v>15</v>
      </c>
      <c r="C173" s="10" t="s">
        <v>329</v>
      </c>
      <c r="D173" s="2">
        <v>171935239</v>
      </c>
      <c r="E173">
        <f t="shared" si="2"/>
        <v>6.8738712719618817</v>
      </c>
    </row>
    <row r="174" spans="1:5" x14ac:dyDescent="0.25">
      <c r="A174" t="s">
        <v>32</v>
      </c>
      <c r="B174" s="1" t="s">
        <v>16</v>
      </c>
      <c r="C174" s="10" t="s">
        <v>330</v>
      </c>
      <c r="D174" s="2">
        <v>170353995</v>
      </c>
      <c r="E174">
        <f t="shared" si="2"/>
        <v>7.3838057041163019</v>
      </c>
    </row>
    <row r="175" spans="1:5" x14ac:dyDescent="0.25">
      <c r="A175" t="s">
        <v>32</v>
      </c>
      <c r="B175" s="1" t="s">
        <v>17</v>
      </c>
      <c r="C175" s="10" t="s">
        <v>331</v>
      </c>
      <c r="D175" s="2">
        <v>170189837</v>
      </c>
      <c r="E175">
        <f t="shared" si="2"/>
        <v>7.1706667184833135</v>
      </c>
    </row>
    <row r="176" spans="1:5" x14ac:dyDescent="0.25">
      <c r="A176" t="s">
        <v>32</v>
      </c>
      <c r="B176" s="1" t="s">
        <v>18</v>
      </c>
      <c r="C176" s="10" t="s">
        <v>332</v>
      </c>
      <c r="D176" s="2">
        <v>173780448</v>
      </c>
      <c r="E176">
        <f t="shared" si="2"/>
        <v>7.2765199684604331</v>
      </c>
    </row>
    <row r="177" spans="1:5" x14ac:dyDescent="0.25">
      <c r="A177" t="s">
        <v>32</v>
      </c>
      <c r="B177" s="1" t="s">
        <v>19</v>
      </c>
      <c r="C177" s="10" t="s">
        <v>333</v>
      </c>
      <c r="D177" s="2">
        <v>178056198</v>
      </c>
      <c r="E177">
        <f t="shared" si="2"/>
        <v>7.3395956708005192</v>
      </c>
    </row>
    <row r="178" spans="1:5" x14ac:dyDescent="0.25">
      <c r="A178" t="s">
        <v>32</v>
      </c>
      <c r="B178" s="1" t="s">
        <v>20</v>
      </c>
      <c r="C178" s="10" t="s">
        <v>339</v>
      </c>
      <c r="D178" s="2">
        <v>178258238</v>
      </c>
      <c r="E178">
        <f t="shared" si="2"/>
        <v>7.6723786532659428</v>
      </c>
    </row>
    <row r="179" spans="1:5" x14ac:dyDescent="0.25">
      <c r="A179" t="s">
        <v>32</v>
      </c>
      <c r="B179" s="1" t="s">
        <v>21</v>
      </c>
      <c r="C179" s="10" t="s">
        <v>345</v>
      </c>
      <c r="D179" s="2">
        <v>184713731</v>
      </c>
      <c r="E179">
        <f t="shared" si="2"/>
        <v>7.6575379228304357</v>
      </c>
    </row>
    <row r="180" spans="1:5" x14ac:dyDescent="0.25">
      <c r="A180" t="s">
        <v>32</v>
      </c>
      <c r="B180" s="1" t="s">
        <v>22</v>
      </c>
      <c r="C180" s="10" t="s">
        <v>351</v>
      </c>
      <c r="D180" s="2">
        <v>189579296</v>
      </c>
      <c r="E180">
        <f t="shared" si="2"/>
        <v>7.4954635341614519</v>
      </c>
    </row>
    <row r="181" spans="1:5" x14ac:dyDescent="0.25">
      <c r="A181" t="s">
        <v>32</v>
      </c>
      <c r="B181" s="1" t="s">
        <v>23</v>
      </c>
      <c r="C181" s="7">
        <v>13086850</v>
      </c>
      <c r="D181" s="2">
        <v>191347651</v>
      </c>
      <c r="E181">
        <f t="shared" si="2"/>
        <v>6.8393052810457542</v>
      </c>
    </row>
    <row r="182" spans="1:5" x14ac:dyDescent="0.25">
      <c r="A182" t="s">
        <v>33</v>
      </c>
      <c r="B182" s="1" t="s">
        <v>4</v>
      </c>
      <c r="C182" s="9">
        <v>539170</v>
      </c>
      <c r="D182" s="2">
        <v>71007594</v>
      </c>
      <c r="E182">
        <f t="shared" si="2"/>
        <v>0.75931315177359759</v>
      </c>
    </row>
    <row r="183" spans="1:5" x14ac:dyDescent="0.25">
      <c r="A183" t="s">
        <v>33</v>
      </c>
      <c r="B183" s="1" t="s">
        <v>5</v>
      </c>
      <c r="C183" s="9">
        <v>481447</v>
      </c>
      <c r="D183" s="2">
        <v>71890852</v>
      </c>
      <c r="E183">
        <f t="shared" si="2"/>
        <v>0.66969160415569984</v>
      </c>
    </row>
    <row r="184" spans="1:5" x14ac:dyDescent="0.25">
      <c r="A184" t="s">
        <v>33</v>
      </c>
      <c r="B184" s="1" t="s">
        <v>6</v>
      </c>
      <c r="C184" s="9">
        <v>459020</v>
      </c>
      <c r="D184" s="2">
        <v>74216000</v>
      </c>
      <c r="E184">
        <f t="shared" si="2"/>
        <v>0.61849196938665518</v>
      </c>
    </row>
    <row r="185" spans="1:5" x14ac:dyDescent="0.25">
      <c r="A185" t="s">
        <v>33</v>
      </c>
      <c r="B185" s="1" t="s">
        <v>7</v>
      </c>
      <c r="C185" s="9">
        <v>627193</v>
      </c>
      <c r="D185" s="2">
        <v>74991717</v>
      </c>
      <c r="E185">
        <f t="shared" si="2"/>
        <v>0.83634969979417861</v>
      </c>
    </row>
    <row r="186" spans="1:5" x14ac:dyDescent="0.25">
      <c r="A186" t="s">
        <v>33</v>
      </c>
      <c r="B186" s="1" t="s">
        <v>8</v>
      </c>
      <c r="C186" s="9">
        <v>649205</v>
      </c>
      <c r="D186" s="2">
        <v>75410928</v>
      </c>
      <c r="E186">
        <f t="shared" si="2"/>
        <v>0.86088981692414668</v>
      </c>
    </row>
    <row r="187" spans="1:5" x14ac:dyDescent="0.25">
      <c r="A187" t="s">
        <v>33</v>
      </c>
      <c r="B187" s="1" t="s">
        <v>9</v>
      </c>
      <c r="C187" s="10" t="s">
        <v>380</v>
      </c>
      <c r="D187" s="2">
        <v>77802714</v>
      </c>
      <c r="E187">
        <f t="shared" si="2"/>
        <v>1.6647555508153611</v>
      </c>
    </row>
    <row r="188" spans="1:5" x14ac:dyDescent="0.25">
      <c r="A188" t="s">
        <v>33</v>
      </c>
      <c r="B188" s="1" t="s">
        <v>10</v>
      </c>
      <c r="C188" s="10" t="s">
        <v>385</v>
      </c>
      <c r="D188" s="2">
        <v>81481133</v>
      </c>
      <c r="E188">
        <f t="shared" si="2"/>
        <v>1.6827613332279019</v>
      </c>
    </row>
    <row r="189" spans="1:5" x14ac:dyDescent="0.25">
      <c r="A189" t="s">
        <v>33</v>
      </c>
      <c r="B189" s="1" t="s">
        <v>11</v>
      </c>
      <c r="C189" s="9">
        <v>679864</v>
      </c>
      <c r="D189" s="2">
        <v>81514657</v>
      </c>
      <c r="E189">
        <f t="shared" si="2"/>
        <v>0.83403896307875036</v>
      </c>
    </row>
    <row r="190" spans="1:5" x14ac:dyDescent="0.25">
      <c r="A190" t="s">
        <v>33</v>
      </c>
      <c r="B190" s="1" t="s">
        <v>12</v>
      </c>
      <c r="C190" s="11" t="s">
        <v>391</v>
      </c>
      <c r="D190" s="2">
        <v>82323287</v>
      </c>
      <c r="E190">
        <f t="shared" si="2"/>
        <v>2.3103960851320235</v>
      </c>
    </row>
    <row r="191" spans="1:5" x14ac:dyDescent="0.25">
      <c r="A191" t="s">
        <v>33</v>
      </c>
      <c r="B191" s="1" t="s">
        <v>13</v>
      </c>
      <c r="C191" s="10" t="s">
        <v>395</v>
      </c>
      <c r="D191" s="2">
        <v>85467829</v>
      </c>
      <c r="E191">
        <f t="shared" si="2"/>
        <v>2.0912570506500172</v>
      </c>
    </row>
    <row r="192" spans="1:5" x14ac:dyDescent="0.25">
      <c r="A192" t="s">
        <v>33</v>
      </c>
      <c r="B192" s="1" t="s">
        <v>14</v>
      </c>
      <c r="C192" s="10" t="s">
        <v>400</v>
      </c>
      <c r="D192" s="2">
        <v>88596458</v>
      </c>
      <c r="E192">
        <f t="shared" si="2"/>
        <v>2.0806531565855604</v>
      </c>
    </row>
    <row r="193" spans="1:5" x14ac:dyDescent="0.25">
      <c r="A193" t="s">
        <v>33</v>
      </c>
      <c r="B193" s="1" t="s">
        <v>15</v>
      </c>
      <c r="C193" s="10" t="s">
        <v>406</v>
      </c>
      <c r="D193" s="2">
        <v>89095582</v>
      </c>
      <c r="E193">
        <f t="shared" si="2"/>
        <v>1.9453736774512569</v>
      </c>
    </row>
    <row r="194" spans="1:5" x14ac:dyDescent="0.25">
      <c r="A194" t="s">
        <v>33</v>
      </c>
      <c r="B194" s="1" t="s">
        <v>16</v>
      </c>
      <c r="C194" s="10" t="s">
        <v>411</v>
      </c>
      <c r="D194" s="2">
        <v>90814201</v>
      </c>
      <c r="E194">
        <f t="shared" si="2"/>
        <v>1.965685961383947</v>
      </c>
    </row>
    <row r="195" spans="1:5" x14ac:dyDescent="0.25">
      <c r="A195" t="s">
        <v>33</v>
      </c>
      <c r="B195" s="1" t="s">
        <v>17</v>
      </c>
      <c r="C195" s="10" t="s">
        <v>417</v>
      </c>
      <c r="D195" s="2">
        <v>91251411</v>
      </c>
      <c r="E195">
        <f t="shared" ref="E195:E258" si="3">(C195/D195)*100</f>
        <v>2.0174767489348739</v>
      </c>
    </row>
    <row r="196" spans="1:5" x14ac:dyDescent="0.25">
      <c r="A196" t="s">
        <v>33</v>
      </c>
      <c r="B196" s="1" t="s">
        <v>18</v>
      </c>
      <c r="C196" s="10" t="s">
        <v>420</v>
      </c>
      <c r="D196" s="2">
        <v>94734918</v>
      </c>
      <c r="E196">
        <f t="shared" si="3"/>
        <v>2.0417688016576951</v>
      </c>
    </row>
    <row r="197" spans="1:5" x14ac:dyDescent="0.25">
      <c r="A197" t="s">
        <v>33</v>
      </c>
      <c r="B197" s="1" t="s">
        <v>19</v>
      </c>
      <c r="C197" s="10" t="s">
        <v>426</v>
      </c>
      <c r="D197" s="2">
        <v>95443112</v>
      </c>
      <c r="E197">
        <f t="shared" si="3"/>
        <v>1.8772135175139721</v>
      </c>
    </row>
    <row r="198" spans="1:5" x14ac:dyDescent="0.25">
      <c r="A198" t="s">
        <v>33</v>
      </c>
      <c r="B198" s="1" t="s">
        <v>20</v>
      </c>
      <c r="C198" s="10" t="s">
        <v>431</v>
      </c>
      <c r="D198" s="2">
        <v>98256294</v>
      </c>
      <c r="E198">
        <f t="shared" si="3"/>
        <v>1.8634836766792771</v>
      </c>
    </row>
    <row r="199" spans="1:5" x14ac:dyDescent="0.25">
      <c r="A199" t="s">
        <v>33</v>
      </c>
      <c r="B199" s="1" t="s">
        <v>21</v>
      </c>
      <c r="C199" s="10" t="s">
        <v>437</v>
      </c>
      <c r="D199" s="2">
        <v>103021079</v>
      </c>
      <c r="E199">
        <f t="shared" si="3"/>
        <v>1.6843319996677573</v>
      </c>
    </row>
    <row r="200" spans="1:5" x14ac:dyDescent="0.25">
      <c r="A200" t="s">
        <v>33</v>
      </c>
      <c r="B200" s="1" t="s">
        <v>22</v>
      </c>
      <c r="C200" s="10" t="s">
        <v>442</v>
      </c>
      <c r="D200" s="2">
        <v>105768240</v>
      </c>
      <c r="E200">
        <f t="shared" si="3"/>
        <v>1.597759403011717</v>
      </c>
    </row>
    <row r="201" spans="1:5" x14ac:dyDescent="0.25">
      <c r="A201" t="s">
        <v>33</v>
      </c>
      <c r="B201" s="1" t="s">
        <v>23</v>
      </c>
      <c r="C201" s="8">
        <v>1557092</v>
      </c>
      <c r="D201" s="2">
        <v>107993106</v>
      </c>
      <c r="E201">
        <f t="shared" si="3"/>
        <v>1.4418438895534684</v>
      </c>
    </row>
    <row r="202" spans="1:5" x14ac:dyDescent="0.25">
      <c r="A202" t="s">
        <v>34</v>
      </c>
      <c r="B202" s="1" t="s">
        <v>4</v>
      </c>
      <c r="C202" s="10" t="s">
        <v>443</v>
      </c>
      <c r="D202" s="2">
        <v>110381295</v>
      </c>
      <c r="E202">
        <f t="shared" si="3"/>
        <v>3.9180297712578929</v>
      </c>
    </row>
    <row r="203" spans="1:5" x14ac:dyDescent="0.25">
      <c r="A203" t="s">
        <v>34</v>
      </c>
      <c r="B203" s="1" t="s">
        <v>5</v>
      </c>
      <c r="C203" s="10" t="s">
        <v>444</v>
      </c>
      <c r="D203" s="2">
        <v>116534559</v>
      </c>
      <c r="E203">
        <f t="shared" si="3"/>
        <v>3.7531956507425406</v>
      </c>
    </row>
    <row r="204" spans="1:5" x14ac:dyDescent="0.25">
      <c r="A204" t="s">
        <v>34</v>
      </c>
      <c r="B204" s="1" t="s">
        <v>6</v>
      </c>
      <c r="C204" s="10" t="s">
        <v>445</v>
      </c>
      <c r="D204" s="2">
        <v>119524010</v>
      </c>
      <c r="E204">
        <f t="shared" si="3"/>
        <v>3.8627853934954159</v>
      </c>
    </row>
    <row r="205" spans="1:5" x14ac:dyDescent="0.25">
      <c r="A205" t="s">
        <v>34</v>
      </c>
      <c r="B205" s="1" t="s">
        <v>7</v>
      </c>
      <c r="C205" s="10" t="s">
        <v>446</v>
      </c>
      <c r="D205" s="2">
        <v>117408472</v>
      </c>
      <c r="E205">
        <f t="shared" si="3"/>
        <v>3.6998198903397705</v>
      </c>
    </row>
    <row r="206" spans="1:5" x14ac:dyDescent="0.25">
      <c r="A206" t="s">
        <v>34</v>
      </c>
      <c r="B206" s="1" t="s">
        <v>8</v>
      </c>
      <c r="C206" s="10" t="s">
        <v>447</v>
      </c>
      <c r="D206" s="2">
        <v>117077135</v>
      </c>
      <c r="E206">
        <f t="shared" si="3"/>
        <v>3.7621538996491504</v>
      </c>
    </row>
    <row r="207" spans="1:5" x14ac:dyDescent="0.25">
      <c r="A207" t="s">
        <v>34</v>
      </c>
      <c r="B207" s="1" t="s">
        <v>9</v>
      </c>
      <c r="C207" s="10" t="s">
        <v>448</v>
      </c>
      <c r="D207" s="2">
        <v>118834441</v>
      </c>
      <c r="E207">
        <f t="shared" si="3"/>
        <v>3.7982019034363956</v>
      </c>
    </row>
    <row r="208" spans="1:5" x14ac:dyDescent="0.25">
      <c r="A208" t="s">
        <v>34</v>
      </c>
      <c r="B208" s="1" t="s">
        <v>10</v>
      </c>
      <c r="C208" s="10" t="s">
        <v>449</v>
      </c>
      <c r="D208" s="2">
        <v>119553224</v>
      </c>
      <c r="E208">
        <f t="shared" si="3"/>
        <v>3.9666935289005676</v>
      </c>
    </row>
    <row r="209" spans="1:5" x14ac:dyDescent="0.25">
      <c r="A209" t="s">
        <v>34</v>
      </c>
      <c r="B209" s="1" t="s">
        <v>11</v>
      </c>
      <c r="C209" s="10" t="s">
        <v>450</v>
      </c>
      <c r="D209" s="2">
        <v>118651323</v>
      </c>
      <c r="E209">
        <f t="shared" si="3"/>
        <v>3.8849697445008684</v>
      </c>
    </row>
    <row r="210" spans="1:5" x14ac:dyDescent="0.25">
      <c r="A210" t="s">
        <v>34</v>
      </c>
      <c r="B210" s="1" t="s">
        <v>12</v>
      </c>
      <c r="C210" s="10" t="s">
        <v>451</v>
      </c>
      <c r="D210" s="2">
        <v>123482586</v>
      </c>
      <c r="E210">
        <f t="shared" si="3"/>
        <v>3.6960029327536108</v>
      </c>
    </row>
    <row r="211" spans="1:5" x14ac:dyDescent="0.25">
      <c r="A211" t="s">
        <v>34</v>
      </c>
      <c r="B211" s="1" t="s">
        <v>13</v>
      </c>
      <c r="C211" s="10" t="s">
        <v>452</v>
      </c>
      <c r="D211" s="2">
        <v>117156524</v>
      </c>
      <c r="E211">
        <f t="shared" si="3"/>
        <v>3.9945696920813387</v>
      </c>
    </row>
    <row r="212" spans="1:5" x14ac:dyDescent="0.25">
      <c r="A212" t="s">
        <v>34</v>
      </c>
      <c r="B212" s="1" t="s">
        <v>14</v>
      </c>
      <c r="C212" s="10" t="s">
        <v>453</v>
      </c>
      <c r="D212" s="2">
        <v>118577108</v>
      </c>
      <c r="E212">
        <f t="shared" si="3"/>
        <v>4.6464584040960082</v>
      </c>
    </row>
    <row r="213" spans="1:5" x14ac:dyDescent="0.25">
      <c r="A213" t="s">
        <v>34</v>
      </c>
      <c r="B213" s="1" t="s">
        <v>15</v>
      </c>
      <c r="C213" s="10" t="s">
        <v>454</v>
      </c>
      <c r="D213" s="2">
        <v>114549272</v>
      </c>
      <c r="E213">
        <f t="shared" si="3"/>
        <v>4.5092979726662952</v>
      </c>
    </row>
    <row r="214" spans="1:5" x14ac:dyDescent="0.25">
      <c r="A214" t="s">
        <v>34</v>
      </c>
      <c r="B214" s="1" t="s">
        <v>16</v>
      </c>
      <c r="C214" s="10" t="s">
        <v>455</v>
      </c>
      <c r="D214" s="2">
        <v>114571797</v>
      </c>
      <c r="E214">
        <f t="shared" si="3"/>
        <v>5.4343190584677661</v>
      </c>
    </row>
    <row r="215" spans="1:5" x14ac:dyDescent="0.25">
      <c r="A215" t="s">
        <v>34</v>
      </c>
      <c r="B215" s="1" t="s">
        <v>17</v>
      </c>
      <c r="C215" s="10" t="s">
        <v>456</v>
      </c>
      <c r="D215" s="2">
        <v>115176963</v>
      </c>
      <c r="E215">
        <f t="shared" si="3"/>
        <v>5.5593851697582961</v>
      </c>
    </row>
    <row r="216" spans="1:5" x14ac:dyDescent="0.25">
      <c r="A216" t="s">
        <v>34</v>
      </c>
      <c r="B216" s="1" t="s">
        <v>18</v>
      </c>
      <c r="C216" s="10" t="s">
        <v>457</v>
      </c>
      <c r="D216" s="2">
        <v>117039077</v>
      </c>
      <c r="E216">
        <f t="shared" si="3"/>
        <v>5.544463581167852</v>
      </c>
    </row>
    <row r="217" spans="1:5" x14ac:dyDescent="0.25">
      <c r="A217" t="s">
        <v>34</v>
      </c>
      <c r="B217" s="1" t="s">
        <v>19</v>
      </c>
      <c r="C217" s="10" t="s">
        <v>458</v>
      </c>
      <c r="D217" s="2">
        <v>120500106</v>
      </c>
      <c r="E217">
        <f t="shared" si="3"/>
        <v>6.2625040346437535</v>
      </c>
    </row>
    <row r="218" spans="1:5" x14ac:dyDescent="0.25">
      <c r="A218" t="s">
        <v>34</v>
      </c>
      <c r="B218" s="1" t="s">
        <v>20</v>
      </c>
      <c r="C218" s="10" t="s">
        <v>464</v>
      </c>
      <c r="D218" s="2">
        <v>122995313</v>
      </c>
      <c r="E218">
        <f t="shared" si="3"/>
        <v>6.5260120928347893</v>
      </c>
    </row>
    <row r="219" spans="1:5" x14ac:dyDescent="0.25">
      <c r="A219" t="s">
        <v>34</v>
      </c>
      <c r="B219" s="1" t="s">
        <v>21</v>
      </c>
      <c r="C219" s="10" t="s">
        <v>470</v>
      </c>
      <c r="D219" s="2">
        <v>126816000</v>
      </c>
      <c r="E219">
        <f t="shared" si="3"/>
        <v>6.1024602573807725</v>
      </c>
    </row>
    <row r="220" spans="1:5" x14ac:dyDescent="0.25">
      <c r="A220" t="s">
        <v>34</v>
      </c>
      <c r="B220" s="1" t="s">
        <v>22</v>
      </c>
      <c r="C220" s="10" t="s">
        <v>474</v>
      </c>
      <c r="D220" s="2">
        <v>131164973</v>
      </c>
      <c r="E220">
        <f t="shared" si="3"/>
        <v>6.1931061427504739</v>
      </c>
    </row>
    <row r="221" spans="1:5" x14ac:dyDescent="0.25">
      <c r="A221" t="s">
        <v>34</v>
      </c>
      <c r="B221" s="1" t="s">
        <v>23</v>
      </c>
      <c r="C221" s="11" t="s">
        <v>479</v>
      </c>
      <c r="D221" s="2">
        <v>137161734</v>
      </c>
      <c r="E221">
        <f t="shared" si="3"/>
        <v>5.3680365399871661</v>
      </c>
    </row>
    <row r="222" spans="1:5" x14ac:dyDescent="0.25">
      <c r="A222" t="s">
        <v>35</v>
      </c>
      <c r="B222" s="1" t="s">
        <v>4</v>
      </c>
      <c r="C222" s="9">
        <v>47727</v>
      </c>
      <c r="D222" s="2">
        <v>4665321</v>
      </c>
      <c r="E222">
        <f t="shared" si="3"/>
        <v>1.023016422664164</v>
      </c>
    </row>
    <row r="223" spans="1:5" x14ac:dyDescent="0.25">
      <c r="A223" t="s">
        <v>35</v>
      </c>
      <c r="B223" s="1" t="s">
        <v>5</v>
      </c>
      <c r="C223" s="9">
        <v>48145</v>
      </c>
      <c r="D223" s="2">
        <v>4749586</v>
      </c>
      <c r="E223">
        <f t="shared" si="3"/>
        <v>1.0136672964759454</v>
      </c>
    </row>
    <row r="224" spans="1:5" x14ac:dyDescent="0.25">
      <c r="A224" t="s">
        <v>35</v>
      </c>
      <c r="B224" s="1" t="s">
        <v>6</v>
      </c>
      <c r="C224" s="9">
        <v>46669</v>
      </c>
      <c r="D224" s="2">
        <v>4729122</v>
      </c>
      <c r="E224">
        <f t="shared" si="3"/>
        <v>0.98684280084125553</v>
      </c>
    </row>
    <row r="225" spans="1:5" x14ac:dyDescent="0.25">
      <c r="A225" t="s">
        <v>35</v>
      </c>
      <c r="B225" s="1" t="s">
        <v>7</v>
      </c>
      <c r="C225" s="9">
        <v>44686</v>
      </c>
      <c r="D225" s="2">
        <v>4766544</v>
      </c>
      <c r="E225">
        <f t="shared" si="3"/>
        <v>0.93749265715369468</v>
      </c>
    </row>
    <row r="226" spans="1:5" x14ac:dyDescent="0.25">
      <c r="A226" t="s">
        <v>35</v>
      </c>
      <c r="B226" s="1" t="s">
        <v>8</v>
      </c>
      <c r="C226" s="9">
        <v>52449</v>
      </c>
      <c r="D226" s="2">
        <v>4718968</v>
      </c>
      <c r="E226">
        <f t="shared" si="3"/>
        <v>1.1114506392075556</v>
      </c>
    </row>
    <row r="227" spans="1:5" x14ac:dyDescent="0.25">
      <c r="A227" t="s">
        <v>35</v>
      </c>
      <c r="B227" s="1" t="s">
        <v>9</v>
      </c>
      <c r="C227" s="9">
        <v>54204</v>
      </c>
      <c r="D227" s="2">
        <v>4689739</v>
      </c>
      <c r="E227">
        <f t="shared" si="3"/>
        <v>1.1557999283115756</v>
      </c>
    </row>
    <row r="228" spans="1:5" x14ac:dyDescent="0.25">
      <c r="A228" t="s">
        <v>35</v>
      </c>
      <c r="B228" s="1" t="s">
        <v>10</v>
      </c>
      <c r="C228" s="9">
        <v>50461</v>
      </c>
      <c r="D228" s="2">
        <v>4926273</v>
      </c>
      <c r="E228">
        <f t="shared" si="3"/>
        <v>1.0243240681139676</v>
      </c>
    </row>
    <row r="229" spans="1:5" x14ac:dyDescent="0.25">
      <c r="A229" t="s">
        <v>35</v>
      </c>
      <c r="B229" s="1" t="s">
        <v>11</v>
      </c>
      <c r="C229" s="9">
        <v>45578</v>
      </c>
      <c r="D229" s="2">
        <v>5165686</v>
      </c>
      <c r="E229">
        <f t="shared" si="3"/>
        <v>0.88232230917636101</v>
      </c>
    </row>
    <row r="230" spans="1:5" x14ac:dyDescent="0.25">
      <c r="A230" t="s">
        <v>35</v>
      </c>
      <c r="B230" s="1" t="s">
        <v>12</v>
      </c>
      <c r="C230" s="9">
        <v>74127</v>
      </c>
      <c r="D230" s="2">
        <v>5218425</v>
      </c>
      <c r="E230">
        <f t="shared" si="3"/>
        <v>1.4204860661981344</v>
      </c>
    </row>
    <row r="231" spans="1:5" x14ac:dyDescent="0.25">
      <c r="A231" t="s">
        <v>35</v>
      </c>
      <c r="B231" s="1" t="s">
        <v>13</v>
      </c>
      <c r="C231" s="9">
        <v>63624</v>
      </c>
      <c r="D231" s="2">
        <v>4916138</v>
      </c>
      <c r="E231">
        <f t="shared" si="3"/>
        <v>1.2941866155913444</v>
      </c>
    </row>
    <row r="232" spans="1:5" x14ac:dyDescent="0.25">
      <c r="A232" t="s">
        <v>35</v>
      </c>
      <c r="B232" s="1" t="s">
        <v>14</v>
      </c>
      <c r="C232" s="9">
        <v>61416</v>
      </c>
      <c r="D232" s="2">
        <v>4664302</v>
      </c>
      <c r="E232">
        <f t="shared" si="3"/>
        <v>1.3167243458935549</v>
      </c>
    </row>
    <row r="233" spans="1:5" x14ac:dyDescent="0.25">
      <c r="A233" t="s">
        <v>35</v>
      </c>
      <c r="B233" s="1" t="s">
        <v>15</v>
      </c>
      <c r="C233" s="9">
        <v>66035</v>
      </c>
      <c r="D233" s="2">
        <v>4576091</v>
      </c>
      <c r="E233">
        <f t="shared" si="3"/>
        <v>1.4430438555526977</v>
      </c>
    </row>
    <row r="234" spans="1:5" x14ac:dyDescent="0.25">
      <c r="A234" t="s">
        <v>35</v>
      </c>
      <c r="B234" s="1" t="s">
        <v>16</v>
      </c>
      <c r="C234" s="9">
        <v>57292</v>
      </c>
      <c r="D234" s="2">
        <v>4453290</v>
      </c>
      <c r="E234">
        <f t="shared" si="3"/>
        <v>1.286509524419025</v>
      </c>
    </row>
    <row r="235" spans="1:5" x14ac:dyDescent="0.25">
      <c r="A235" t="s">
        <v>35</v>
      </c>
      <c r="B235" s="1" t="s">
        <v>17</v>
      </c>
      <c r="C235" s="7">
        <v>66898</v>
      </c>
      <c r="D235" s="2">
        <v>4365534</v>
      </c>
      <c r="E235">
        <f t="shared" si="3"/>
        <v>1.5324127586682408</v>
      </c>
    </row>
    <row r="236" spans="1:5" x14ac:dyDescent="0.25">
      <c r="A236" t="s">
        <v>35</v>
      </c>
      <c r="B236" s="1" t="s">
        <v>18</v>
      </c>
      <c r="C236" s="9">
        <v>80978</v>
      </c>
      <c r="D236" s="2">
        <v>4265270</v>
      </c>
      <c r="E236">
        <f t="shared" si="3"/>
        <v>1.8985433513001522</v>
      </c>
    </row>
    <row r="237" spans="1:5" x14ac:dyDescent="0.25">
      <c r="A237" t="s">
        <v>35</v>
      </c>
      <c r="B237" s="1" t="s">
        <v>19</v>
      </c>
      <c r="C237" s="9">
        <v>76176</v>
      </c>
      <c r="D237" s="2">
        <v>3970764</v>
      </c>
      <c r="E237">
        <f t="shared" si="3"/>
        <v>1.9184217445307756</v>
      </c>
    </row>
    <row r="238" spans="1:5" x14ac:dyDescent="0.25">
      <c r="A238" t="s">
        <v>35</v>
      </c>
      <c r="B238" s="1" t="s">
        <v>20</v>
      </c>
      <c r="C238" s="9">
        <v>88703</v>
      </c>
      <c r="D238" s="2">
        <v>4085998</v>
      </c>
      <c r="E238">
        <f t="shared" si="3"/>
        <v>2.1709016989239838</v>
      </c>
    </row>
    <row r="239" spans="1:5" x14ac:dyDescent="0.25">
      <c r="A239" t="s">
        <v>35</v>
      </c>
      <c r="B239" s="1" t="s">
        <v>21</v>
      </c>
      <c r="C239" s="7">
        <v>101777</v>
      </c>
      <c r="D239" s="2">
        <v>4057286</v>
      </c>
      <c r="E239">
        <f t="shared" si="3"/>
        <v>2.5084995240660874</v>
      </c>
    </row>
    <row r="240" spans="1:5" x14ac:dyDescent="0.25">
      <c r="A240" t="s">
        <v>35</v>
      </c>
      <c r="B240" s="1" t="s">
        <v>22</v>
      </c>
      <c r="C240" s="9">
        <v>103874</v>
      </c>
      <c r="D240" s="2">
        <v>3978576</v>
      </c>
      <c r="E240">
        <f t="shared" si="3"/>
        <v>2.6108336248949375</v>
      </c>
    </row>
    <row r="241" spans="1:5" x14ac:dyDescent="0.25">
      <c r="A241" t="s">
        <v>35</v>
      </c>
      <c r="B241" s="1" t="s">
        <v>23</v>
      </c>
      <c r="C241" s="8">
        <v>113788</v>
      </c>
      <c r="D241" s="2">
        <v>3845625</v>
      </c>
      <c r="E241">
        <f t="shared" si="3"/>
        <v>2.9588948480416057</v>
      </c>
    </row>
    <row r="242" spans="1:5" x14ac:dyDescent="0.25">
      <c r="A242" t="s">
        <v>36</v>
      </c>
      <c r="B242" s="1" t="s">
        <v>4</v>
      </c>
      <c r="C242" s="10" t="s">
        <v>496</v>
      </c>
      <c r="D242" s="2">
        <v>31407499</v>
      </c>
      <c r="E242">
        <f t="shared" si="3"/>
        <v>4.6171202616292373</v>
      </c>
    </row>
    <row r="243" spans="1:5" x14ac:dyDescent="0.25">
      <c r="A243" t="s">
        <v>36</v>
      </c>
      <c r="B243" s="1" t="s">
        <v>5</v>
      </c>
      <c r="C243" s="10" t="s">
        <v>500</v>
      </c>
      <c r="D243" s="2">
        <v>32118304</v>
      </c>
      <c r="E243">
        <f t="shared" si="3"/>
        <v>4.3777560608430637</v>
      </c>
    </row>
    <row r="244" spans="1:5" x14ac:dyDescent="0.25">
      <c r="A244" t="s">
        <v>36</v>
      </c>
      <c r="B244" s="1" t="s">
        <v>6</v>
      </c>
      <c r="C244" s="10" t="s">
        <v>503</v>
      </c>
      <c r="D244" s="2">
        <v>33073299</v>
      </c>
      <c r="E244">
        <f t="shared" si="3"/>
        <v>3.9278966395218085</v>
      </c>
    </row>
    <row r="245" spans="1:5" x14ac:dyDescent="0.25">
      <c r="A245" t="s">
        <v>36</v>
      </c>
      <c r="B245" s="1" t="s">
        <v>7</v>
      </c>
      <c r="C245" s="10" t="s">
        <v>506</v>
      </c>
      <c r="D245" s="2">
        <v>33893237</v>
      </c>
      <c r="E245">
        <f t="shared" si="3"/>
        <v>3.5362511996124772</v>
      </c>
    </row>
    <row r="246" spans="1:5" x14ac:dyDescent="0.25">
      <c r="A246" t="s">
        <v>36</v>
      </c>
      <c r="B246" s="1" t="s">
        <v>8</v>
      </c>
      <c r="C246" s="10" t="s">
        <v>510</v>
      </c>
      <c r="D246" s="2">
        <v>33692065</v>
      </c>
      <c r="E246">
        <f t="shared" si="3"/>
        <v>3.1666625361194098</v>
      </c>
    </row>
    <row r="247" spans="1:5" x14ac:dyDescent="0.25">
      <c r="A247" t="s">
        <v>36</v>
      </c>
      <c r="B247" s="1" t="s">
        <v>9</v>
      </c>
      <c r="C247" s="10" t="s">
        <v>513</v>
      </c>
      <c r="D247" s="2">
        <v>34768927</v>
      </c>
      <c r="E247">
        <f t="shared" si="3"/>
        <v>2.9193308151269668</v>
      </c>
    </row>
    <row r="248" spans="1:5" x14ac:dyDescent="0.25">
      <c r="A248" t="s">
        <v>36</v>
      </c>
      <c r="B248" s="1" t="s">
        <v>10</v>
      </c>
      <c r="C248" s="10" t="s">
        <v>515</v>
      </c>
      <c r="D248" s="2">
        <v>37727639</v>
      </c>
      <c r="E248">
        <f t="shared" si="3"/>
        <v>2.7758667856210137</v>
      </c>
    </row>
    <row r="249" spans="1:5" x14ac:dyDescent="0.25">
      <c r="A249" t="s">
        <v>36</v>
      </c>
      <c r="B249" s="1" t="s">
        <v>11</v>
      </c>
      <c r="C249" s="10">
        <v>980134</v>
      </c>
      <c r="D249" s="2">
        <v>38352300</v>
      </c>
      <c r="E249">
        <f t="shared" si="3"/>
        <v>2.555606834531436</v>
      </c>
    </row>
    <row r="250" spans="1:5" x14ac:dyDescent="0.25">
      <c r="A250" t="s">
        <v>36</v>
      </c>
      <c r="B250" s="1" t="s">
        <v>12</v>
      </c>
      <c r="C250" s="10" t="s">
        <v>521</v>
      </c>
      <c r="D250" s="2">
        <v>38414981</v>
      </c>
      <c r="E250">
        <f t="shared" si="3"/>
        <v>2.7935716016623826</v>
      </c>
    </row>
    <row r="251" spans="1:5" x14ac:dyDescent="0.25">
      <c r="A251" t="s">
        <v>36</v>
      </c>
      <c r="B251" s="1" t="s">
        <v>13</v>
      </c>
      <c r="C251" s="10" t="s">
        <v>524</v>
      </c>
      <c r="D251" s="2">
        <v>39181197</v>
      </c>
      <c r="E251">
        <f t="shared" si="3"/>
        <v>3.1181921266979158</v>
      </c>
    </row>
    <row r="252" spans="1:5" x14ac:dyDescent="0.25">
      <c r="A252" t="s">
        <v>36</v>
      </c>
      <c r="B252" s="1" t="s">
        <v>14</v>
      </c>
      <c r="C252" s="10" t="s">
        <v>528</v>
      </c>
      <c r="D252" s="2">
        <v>40381538</v>
      </c>
      <c r="E252">
        <f t="shared" si="3"/>
        <v>3.0484054371579408</v>
      </c>
    </row>
    <row r="253" spans="1:5" x14ac:dyDescent="0.25">
      <c r="A253" t="s">
        <v>36</v>
      </c>
      <c r="B253" s="1" t="s">
        <v>15</v>
      </c>
      <c r="C253" s="10" t="s">
        <v>531</v>
      </c>
      <c r="D253" s="2">
        <v>41480766</v>
      </c>
      <c r="E253">
        <f t="shared" si="3"/>
        <v>3.5069771855225627</v>
      </c>
    </row>
    <row r="254" spans="1:5" x14ac:dyDescent="0.25">
      <c r="A254" t="s">
        <v>36</v>
      </c>
      <c r="B254" s="1" t="s">
        <v>16</v>
      </c>
      <c r="C254" s="10" t="s">
        <v>535</v>
      </c>
      <c r="D254" s="2">
        <v>41731085</v>
      </c>
      <c r="E254">
        <f t="shared" si="3"/>
        <v>3.7290906766502716</v>
      </c>
    </row>
    <row r="255" spans="1:5" x14ac:dyDescent="0.25">
      <c r="A255" t="s">
        <v>36</v>
      </c>
      <c r="B255" s="1" t="s">
        <v>17</v>
      </c>
      <c r="C255" s="10" t="s">
        <v>539</v>
      </c>
      <c r="D255" s="2">
        <v>42597008</v>
      </c>
      <c r="E255">
        <f t="shared" si="3"/>
        <v>3.8508150619405006</v>
      </c>
    </row>
    <row r="256" spans="1:5" x14ac:dyDescent="0.25">
      <c r="A256" t="s">
        <v>36</v>
      </c>
      <c r="B256" s="1" t="s">
        <v>18</v>
      </c>
      <c r="C256" s="10" t="s">
        <v>543</v>
      </c>
      <c r="D256" s="2">
        <v>43035586</v>
      </c>
      <c r="E256">
        <f t="shared" si="3"/>
        <v>4.1384309255135969</v>
      </c>
    </row>
    <row r="257" spans="1:5" x14ac:dyDescent="0.25">
      <c r="A257" t="s">
        <v>36</v>
      </c>
      <c r="B257" s="1" t="s">
        <v>19</v>
      </c>
      <c r="C257" s="10" t="s">
        <v>546</v>
      </c>
      <c r="D257" s="2">
        <v>42749559</v>
      </c>
      <c r="E257">
        <f t="shared" si="3"/>
        <v>4.2840605677359154</v>
      </c>
    </row>
    <row r="258" spans="1:5" x14ac:dyDescent="0.25">
      <c r="A258" t="s">
        <v>36</v>
      </c>
      <c r="B258" s="1" t="s">
        <v>20</v>
      </c>
      <c r="C258" s="10" t="s">
        <v>550</v>
      </c>
      <c r="D258" s="2">
        <v>42306747</v>
      </c>
      <c r="E258">
        <f t="shared" si="3"/>
        <v>4.5906318441358778</v>
      </c>
    </row>
    <row r="259" spans="1:5" x14ac:dyDescent="0.25">
      <c r="A259" t="s">
        <v>36</v>
      </c>
      <c r="B259" s="1" t="s">
        <v>21</v>
      </c>
      <c r="C259" s="10" t="s">
        <v>554</v>
      </c>
      <c r="D259" s="2">
        <v>43540377</v>
      </c>
      <c r="E259">
        <f t="shared" ref="E259:E322" si="4">(C259/D259)*100</f>
        <v>4.0981914327475852</v>
      </c>
    </row>
    <row r="260" spans="1:5" x14ac:dyDescent="0.25">
      <c r="A260" t="s">
        <v>36</v>
      </c>
      <c r="B260" s="1" t="s">
        <v>22</v>
      </c>
      <c r="C260" s="10" t="s">
        <v>560</v>
      </c>
      <c r="D260" s="2">
        <v>45975608</v>
      </c>
      <c r="E260">
        <f t="shared" si="4"/>
        <v>3.7164859244493296</v>
      </c>
    </row>
    <row r="261" spans="1:5" x14ac:dyDescent="0.25">
      <c r="A261" t="s">
        <v>36</v>
      </c>
      <c r="B261" s="1" t="s">
        <v>23</v>
      </c>
      <c r="C261" s="8">
        <v>1318612</v>
      </c>
      <c r="D261" s="2">
        <v>46196657</v>
      </c>
      <c r="E261">
        <f t="shared" si="4"/>
        <v>2.8543450665705095</v>
      </c>
    </row>
    <row r="262" spans="1:5" x14ac:dyDescent="0.25">
      <c r="A262" t="s">
        <v>37</v>
      </c>
      <c r="B262" s="1" t="s">
        <v>4</v>
      </c>
      <c r="C262" s="9">
        <v>459694</v>
      </c>
      <c r="D262" s="2">
        <v>12819621</v>
      </c>
      <c r="E262">
        <f t="shared" si="4"/>
        <v>3.585862639776948</v>
      </c>
    </row>
    <row r="263" spans="1:5" x14ac:dyDescent="0.25">
      <c r="A263" t="s">
        <v>37</v>
      </c>
      <c r="B263" s="1" t="s">
        <v>5</v>
      </c>
      <c r="C263" s="9">
        <v>457246</v>
      </c>
      <c r="D263" s="2">
        <v>12471799</v>
      </c>
      <c r="E263">
        <f t="shared" si="4"/>
        <v>3.6662393292258804</v>
      </c>
    </row>
    <row r="264" spans="1:5" x14ac:dyDescent="0.25">
      <c r="A264" t="s">
        <v>37</v>
      </c>
      <c r="B264" s="1" t="s">
        <v>6</v>
      </c>
      <c r="C264" s="9">
        <v>450032</v>
      </c>
      <c r="D264" s="2">
        <v>12165949</v>
      </c>
      <c r="E264">
        <f t="shared" si="4"/>
        <v>3.699111347581681</v>
      </c>
    </row>
    <row r="265" spans="1:5" x14ac:dyDescent="0.25">
      <c r="A265" t="s">
        <v>37</v>
      </c>
      <c r="B265" s="1" t="s">
        <v>7</v>
      </c>
      <c r="C265" s="9">
        <v>173634</v>
      </c>
      <c r="D265" s="2">
        <v>11218751</v>
      </c>
      <c r="E265">
        <f t="shared" si="4"/>
        <v>1.5477123968612905</v>
      </c>
    </row>
    <row r="266" spans="1:5" x14ac:dyDescent="0.25">
      <c r="A266" t="s">
        <v>37</v>
      </c>
      <c r="B266" s="1" t="s">
        <v>8</v>
      </c>
      <c r="C266" s="9">
        <v>203448</v>
      </c>
      <c r="D266" s="2">
        <v>10600144</v>
      </c>
      <c r="E266">
        <f t="shared" si="4"/>
        <v>1.9192946812798015</v>
      </c>
    </row>
    <row r="267" spans="1:5" x14ac:dyDescent="0.25">
      <c r="A267" t="s">
        <v>37</v>
      </c>
      <c r="B267" s="1" t="s">
        <v>9</v>
      </c>
      <c r="C267" s="9">
        <v>200149</v>
      </c>
      <c r="D267" s="2">
        <v>12812083</v>
      </c>
      <c r="E267">
        <f t="shared" si="4"/>
        <v>1.5621893801343623</v>
      </c>
    </row>
    <row r="268" spans="1:5" x14ac:dyDescent="0.25">
      <c r="A268" t="s">
        <v>37</v>
      </c>
      <c r="B268" s="1" t="s">
        <v>10</v>
      </c>
      <c r="C268" s="9">
        <v>198667</v>
      </c>
      <c r="D268" s="2">
        <v>13004698</v>
      </c>
      <c r="E268">
        <f t="shared" si="4"/>
        <v>1.5276556210686323</v>
      </c>
    </row>
    <row r="269" spans="1:5" x14ac:dyDescent="0.25">
      <c r="A269" t="s">
        <v>37</v>
      </c>
      <c r="B269" s="1" t="s">
        <v>11</v>
      </c>
      <c r="C269" s="9">
        <v>173743</v>
      </c>
      <c r="D269" s="2">
        <v>14050161</v>
      </c>
      <c r="E269">
        <f t="shared" si="4"/>
        <v>1.2365908120198765</v>
      </c>
    </row>
    <row r="270" spans="1:5" x14ac:dyDescent="0.25">
      <c r="A270" t="s">
        <v>37</v>
      </c>
      <c r="B270" s="1" t="s">
        <v>12</v>
      </c>
      <c r="C270" s="9">
        <v>700899</v>
      </c>
      <c r="D270" s="2">
        <v>14229938</v>
      </c>
      <c r="E270">
        <f t="shared" si="4"/>
        <v>4.9255239200620551</v>
      </c>
    </row>
    <row r="271" spans="1:5" x14ac:dyDescent="0.25">
      <c r="A271" t="s">
        <v>37</v>
      </c>
      <c r="B271" s="1" t="s">
        <v>13</v>
      </c>
      <c r="C271" s="9">
        <v>875560</v>
      </c>
      <c r="D271" s="2">
        <v>13145270</v>
      </c>
      <c r="E271">
        <f t="shared" si="4"/>
        <v>6.6606467573507429</v>
      </c>
    </row>
    <row r="272" spans="1:5" x14ac:dyDescent="0.25">
      <c r="A272" t="s">
        <v>37</v>
      </c>
      <c r="B272" s="1" t="s">
        <v>14</v>
      </c>
      <c r="C272" s="9">
        <v>535068</v>
      </c>
      <c r="D272" s="2">
        <v>12662417</v>
      </c>
      <c r="E272">
        <f t="shared" si="4"/>
        <v>4.2256387544336915</v>
      </c>
    </row>
    <row r="273" spans="1:5" x14ac:dyDescent="0.25">
      <c r="A273" t="s">
        <v>37</v>
      </c>
      <c r="B273" s="1" t="s">
        <v>15</v>
      </c>
      <c r="C273" s="9">
        <v>656986</v>
      </c>
      <c r="D273" s="2">
        <v>11924410</v>
      </c>
      <c r="E273">
        <f t="shared" si="4"/>
        <v>5.5095891536772053</v>
      </c>
    </row>
    <row r="274" spans="1:5" x14ac:dyDescent="0.25">
      <c r="A274" t="s">
        <v>37</v>
      </c>
      <c r="B274" s="1" t="s">
        <v>16</v>
      </c>
      <c r="C274" s="9">
        <v>459519</v>
      </c>
      <c r="D274" s="2">
        <v>11340031</v>
      </c>
      <c r="E274">
        <f t="shared" si="4"/>
        <v>4.0521846897949398</v>
      </c>
    </row>
    <row r="275" spans="1:5" x14ac:dyDescent="0.25">
      <c r="A275" t="s">
        <v>37</v>
      </c>
      <c r="B275" s="1" t="s">
        <v>17</v>
      </c>
      <c r="C275" s="9">
        <v>842858</v>
      </c>
      <c r="D275" s="2">
        <v>11447581</v>
      </c>
      <c r="E275">
        <f t="shared" si="4"/>
        <v>7.3627607439510578</v>
      </c>
    </row>
    <row r="276" spans="1:5" x14ac:dyDescent="0.25">
      <c r="A276" t="s">
        <v>37</v>
      </c>
      <c r="B276" s="1" t="s">
        <v>18</v>
      </c>
      <c r="C276" s="9">
        <v>823991</v>
      </c>
      <c r="D276" s="2">
        <v>10839067</v>
      </c>
      <c r="E276">
        <f t="shared" si="4"/>
        <v>7.6020472979823808</v>
      </c>
    </row>
    <row r="277" spans="1:5" x14ac:dyDescent="0.25">
      <c r="A277" t="s">
        <v>37</v>
      </c>
      <c r="B277" s="1" t="s">
        <v>19</v>
      </c>
      <c r="C277" s="9">
        <v>321175</v>
      </c>
      <c r="D277" s="2">
        <v>9758760</v>
      </c>
      <c r="E277">
        <f t="shared" si="4"/>
        <v>3.2911455963667513</v>
      </c>
    </row>
    <row r="278" spans="1:5" x14ac:dyDescent="0.25">
      <c r="A278" t="s">
        <v>37</v>
      </c>
      <c r="B278" s="1" t="s">
        <v>20</v>
      </c>
      <c r="C278" s="9">
        <v>307394</v>
      </c>
      <c r="D278" s="2">
        <v>10097479</v>
      </c>
      <c r="E278">
        <f t="shared" si="4"/>
        <v>3.0442648110483814</v>
      </c>
    </row>
    <row r="279" spans="1:5" x14ac:dyDescent="0.25">
      <c r="A279" t="s">
        <v>37</v>
      </c>
      <c r="B279" s="1" t="s">
        <v>21</v>
      </c>
      <c r="C279" s="9">
        <v>444086</v>
      </c>
      <c r="D279" s="2">
        <v>9803603</v>
      </c>
      <c r="E279">
        <f t="shared" si="4"/>
        <v>4.5298243921137971</v>
      </c>
    </row>
    <row r="280" spans="1:5" x14ac:dyDescent="0.25">
      <c r="A280" t="s">
        <v>37</v>
      </c>
      <c r="B280" s="1" t="s">
        <v>22</v>
      </c>
      <c r="C280" s="9">
        <v>864708</v>
      </c>
      <c r="D280" s="2">
        <v>9461431</v>
      </c>
      <c r="E280">
        <f t="shared" si="4"/>
        <v>9.1392940454778984</v>
      </c>
    </row>
    <row r="281" spans="1:5" x14ac:dyDescent="0.25">
      <c r="A281" t="s">
        <v>37</v>
      </c>
      <c r="B281" s="1" t="s">
        <v>23</v>
      </c>
      <c r="C281" s="7">
        <v>406127</v>
      </c>
      <c r="D281" s="2">
        <v>9662250</v>
      </c>
      <c r="E281">
        <f t="shared" si="4"/>
        <v>4.2032342363321176</v>
      </c>
    </row>
    <row r="282" spans="1:5" x14ac:dyDescent="0.25">
      <c r="A282" t="s">
        <v>38</v>
      </c>
      <c r="B282" s="1" t="s">
        <v>4</v>
      </c>
      <c r="C282" s="9">
        <v>174757</v>
      </c>
      <c r="D282" s="2">
        <v>19788629</v>
      </c>
      <c r="E282">
        <f t="shared" si="4"/>
        <v>0.88311827969486922</v>
      </c>
    </row>
    <row r="283" spans="1:5" x14ac:dyDescent="0.25">
      <c r="A283" t="s">
        <v>38</v>
      </c>
      <c r="B283" s="1" t="s">
        <v>5</v>
      </c>
      <c r="C283" s="9">
        <v>197010</v>
      </c>
      <c r="D283" s="2">
        <v>21132629</v>
      </c>
      <c r="E283">
        <f t="shared" si="4"/>
        <v>0.93225504503012846</v>
      </c>
    </row>
    <row r="284" spans="1:5" x14ac:dyDescent="0.25">
      <c r="A284" t="s">
        <v>38</v>
      </c>
      <c r="B284" s="1" t="s">
        <v>6</v>
      </c>
      <c r="C284" s="9">
        <v>272685</v>
      </c>
      <c r="D284" s="2">
        <v>22131913</v>
      </c>
      <c r="E284">
        <f t="shared" si="4"/>
        <v>1.2320896074370074</v>
      </c>
    </row>
    <row r="285" spans="1:5" x14ac:dyDescent="0.25">
      <c r="A285" t="s">
        <v>38</v>
      </c>
      <c r="B285" s="1" t="s">
        <v>7</v>
      </c>
      <c r="C285" s="9">
        <v>234392</v>
      </c>
      <c r="D285" s="2">
        <v>22528964</v>
      </c>
      <c r="E285">
        <f t="shared" si="4"/>
        <v>1.0404029230993488</v>
      </c>
    </row>
    <row r="286" spans="1:5" x14ac:dyDescent="0.25">
      <c r="A286" t="s">
        <v>38</v>
      </c>
      <c r="B286" s="1" t="s">
        <v>8</v>
      </c>
      <c r="C286" s="9">
        <v>262388</v>
      </c>
      <c r="D286" s="2">
        <v>23531841</v>
      </c>
      <c r="E286">
        <f t="shared" si="4"/>
        <v>1.1150338811145291</v>
      </c>
    </row>
    <row r="287" spans="1:5" x14ac:dyDescent="0.25">
      <c r="A287" t="s">
        <v>38</v>
      </c>
      <c r="B287" s="1" t="s">
        <v>9</v>
      </c>
      <c r="C287" s="9">
        <v>263687</v>
      </c>
      <c r="D287" s="2">
        <v>25293112</v>
      </c>
      <c r="E287">
        <f t="shared" si="4"/>
        <v>1.0425249372240157</v>
      </c>
    </row>
    <row r="288" spans="1:5" x14ac:dyDescent="0.25">
      <c r="A288" t="s">
        <v>38</v>
      </c>
      <c r="B288" s="1" t="s">
        <v>10</v>
      </c>
      <c r="C288" s="9">
        <v>273047</v>
      </c>
      <c r="D288" s="2">
        <v>26304720</v>
      </c>
      <c r="E288">
        <f t="shared" si="4"/>
        <v>1.0380152307266528</v>
      </c>
    </row>
    <row r="289" spans="1:5" x14ac:dyDescent="0.25">
      <c r="A289" t="s">
        <v>38</v>
      </c>
      <c r="B289" s="1" t="s">
        <v>11</v>
      </c>
      <c r="C289" s="9">
        <v>244743</v>
      </c>
      <c r="D289" s="2">
        <v>26674450</v>
      </c>
      <c r="E289">
        <f t="shared" si="4"/>
        <v>0.91751844930260984</v>
      </c>
    </row>
    <row r="290" spans="1:5" x14ac:dyDescent="0.25">
      <c r="A290" t="s">
        <v>38</v>
      </c>
      <c r="B290" s="1" t="s">
        <v>12</v>
      </c>
      <c r="C290" s="9">
        <v>359984</v>
      </c>
      <c r="D290" s="2">
        <v>29323079</v>
      </c>
      <c r="E290">
        <f t="shared" si="4"/>
        <v>1.2276473422180529</v>
      </c>
    </row>
    <row r="291" spans="1:5" x14ac:dyDescent="0.25">
      <c r="A291" t="s">
        <v>38</v>
      </c>
      <c r="B291" s="1" t="s">
        <v>13</v>
      </c>
      <c r="C291" s="9">
        <v>365352</v>
      </c>
      <c r="D291" s="2">
        <v>27730986</v>
      </c>
      <c r="E291">
        <f t="shared" si="4"/>
        <v>1.3174865112982279</v>
      </c>
    </row>
    <row r="292" spans="1:5" x14ac:dyDescent="0.25">
      <c r="A292" t="s">
        <v>38</v>
      </c>
      <c r="B292" s="1" t="s">
        <v>14</v>
      </c>
      <c r="C292" s="9">
        <v>372718</v>
      </c>
      <c r="D292" s="2">
        <v>29812037</v>
      </c>
      <c r="E292">
        <f t="shared" si="4"/>
        <v>1.2502265443988279</v>
      </c>
    </row>
    <row r="293" spans="1:5" x14ac:dyDescent="0.25">
      <c r="A293" t="s">
        <v>38</v>
      </c>
      <c r="B293" s="1" t="s">
        <v>15</v>
      </c>
      <c r="C293" s="9">
        <v>432834</v>
      </c>
      <c r="D293" s="2">
        <v>30011903</v>
      </c>
      <c r="E293">
        <f t="shared" si="4"/>
        <v>1.4422077800264781</v>
      </c>
    </row>
    <row r="294" spans="1:5" x14ac:dyDescent="0.25">
      <c r="A294" t="s">
        <v>38</v>
      </c>
      <c r="B294" s="1" t="s">
        <v>16</v>
      </c>
      <c r="C294" s="9">
        <v>442927</v>
      </c>
      <c r="D294" s="2">
        <v>30878357</v>
      </c>
      <c r="E294">
        <f t="shared" si="4"/>
        <v>1.4344254132433276</v>
      </c>
    </row>
    <row r="295" spans="1:5" x14ac:dyDescent="0.25">
      <c r="A295" t="s">
        <v>38</v>
      </c>
      <c r="B295" s="1" t="s">
        <v>17</v>
      </c>
      <c r="C295" s="9">
        <v>472549</v>
      </c>
      <c r="D295" s="2">
        <v>31438847</v>
      </c>
      <c r="E295">
        <f t="shared" si="4"/>
        <v>1.5030735700962572</v>
      </c>
    </row>
    <row r="296" spans="1:5" x14ac:dyDescent="0.25">
      <c r="A296" t="s">
        <v>38</v>
      </c>
      <c r="B296" s="1" t="s">
        <v>18</v>
      </c>
      <c r="C296" s="9">
        <v>544580</v>
      </c>
      <c r="D296" s="2">
        <v>32456359</v>
      </c>
      <c r="E296">
        <f t="shared" si="4"/>
        <v>1.6778838316398952</v>
      </c>
    </row>
    <row r="297" spans="1:5" x14ac:dyDescent="0.25">
      <c r="A297" t="s">
        <v>38</v>
      </c>
      <c r="B297" s="1" t="s">
        <v>19</v>
      </c>
      <c r="C297" s="9">
        <v>388752</v>
      </c>
      <c r="D297" s="2">
        <v>33941970</v>
      </c>
      <c r="E297">
        <f t="shared" si="4"/>
        <v>1.1453430664160036</v>
      </c>
    </row>
    <row r="298" spans="1:5" x14ac:dyDescent="0.25">
      <c r="A298" t="s">
        <v>38</v>
      </c>
      <c r="B298" s="1" t="s">
        <v>20</v>
      </c>
      <c r="C298" s="9">
        <v>398387</v>
      </c>
      <c r="D298" s="2">
        <v>35545567</v>
      </c>
      <c r="E298">
        <f t="shared" si="4"/>
        <v>1.1207782956451362</v>
      </c>
    </row>
    <row r="299" spans="1:5" x14ac:dyDescent="0.25">
      <c r="A299" t="s">
        <v>38</v>
      </c>
      <c r="B299" s="1" t="s">
        <v>21</v>
      </c>
      <c r="C299" s="7">
        <v>424555</v>
      </c>
      <c r="D299" s="2">
        <v>37873366</v>
      </c>
      <c r="E299">
        <f t="shared" si="4"/>
        <v>1.1209856551963193</v>
      </c>
    </row>
    <row r="300" spans="1:5" x14ac:dyDescent="0.25">
      <c r="A300" t="s">
        <v>38</v>
      </c>
      <c r="B300" s="1" t="s">
        <v>22</v>
      </c>
      <c r="C300" s="7">
        <v>572030</v>
      </c>
      <c r="D300" s="2">
        <v>39085868</v>
      </c>
      <c r="E300">
        <f t="shared" si="4"/>
        <v>1.4635212911224076</v>
      </c>
    </row>
    <row r="301" spans="1:5" x14ac:dyDescent="0.25">
      <c r="A301" t="s">
        <v>38</v>
      </c>
      <c r="B301" s="1" t="s">
        <v>23</v>
      </c>
      <c r="C301" s="8">
        <v>615370</v>
      </c>
      <c r="D301" s="2">
        <v>40290444</v>
      </c>
      <c r="E301">
        <f t="shared" si="4"/>
        <v>1.5273348687842705</v>
      </c>
    </row>
    <row r="302" spans="1:5" x14ac:dyDescent="0.25">
      <c r="A302" t="s">
        <v>39</v>
      </c>
      <c r="B302" s="1" t="s">
        <v>4</v>
      </c>
      <c r="C302" s="2">
        <v>453023</v>
      </c>
      <c r="D302" s="2">
        <v>36429309</v>
      </c>
      <c r="E302">
        <f t="shared" si="4"/>
        <v>1.2435673704379075</v>
      </c>
    </row>
    <row r="303" spans="1:5" x14ac:dyDescent="0.25">
      <c r="A303" t="s">
        <v>39</v>
      </c>
      <c r="B303" s="1" t="s">
        <v>5</v>
      </c>
      <c r="C303" s="2">
        <v>447455</v>
      </c>
      <c r="D303" s="2">
        <v>38559273</v>
      </c>
      <c r="E303">
        <f t="shared" si="4"/>
        <v>1.1604342229170139</v>
      </c>
    </row>
    <row r="304" spans="1:5" x14ac:dyDescent="0.25">
      <c r="A304" t="s">
        <v>39</v>
      </c>
      <c r="B304" s="1" t="s">
        <v>6</v>
      </c>
      <c r="C304" s="2">
        <v>402215</v>
      </c>
      <c r="D304" s="2">
        <v>40188041</v>
      </c>
      <c r="E304">
        <f t="shared" si="4"/>
        <v>1.0008325611094107</v>
      </c>
    </row>
    <row r="305" spans="1:5" x14ac:dyDescent="0.25">
      <c r="A305" t="s">
        <v>39</v>
      </c>
      <c r="B305" s="1" t="s">
        <v>7</v>
      </c>
      <c r="C305" s="2">
        <v>347043</v>
      </c>
      <c r="D305" s="2">
        <v>42252702</v>
      </c>
      <c r="E305">
        <f t="shared" si="4"/>
        <v>0.82135102271092619</v>
      </c>
    </row>
    <row r="306" spans="1:5" x14ac:dyDescent="0.25">
      <c r="A306" t="s">
        <v>39</v>
      </c>
      <c r="B306" s="1" t="s">
        <v>8</v>
      </c>
      <c r="C306" s="2">
        <v>328632</v>
      </c>
      <c r="D306" s="2">
        <v>43572733</v>
      </c>
      <c r="E306">
        <f t="shared" si="4"/>
        <v>0.75421479758912535</v>
      </c>
    </row>
    <row r="307" spans="1:5" x14ac:dyDescent="0.25">
      <c r="A307" t="s">
        <v>39</v>
      </c>
      <c r="B307" s="1" t="s">
        <v>9</v>
      </c>
      <c r="C307" s="2">
        <v>328384</v>
      </c>
      <c r="D307" s="2">
        <v>46152775</v>
      </c>
      <c r="E307">
        <f t="shared" si="4"/>
        <v>0.71151517974812994</v>
      </c>
    </row>
    <row r="308" spans="1:5" x14ac:dyDescent="0.25">
      <c r="A308" t="s">
        <v>39</v>
      </c>
      <c r="B308" s="1" t="s">
        <v>10</v>
      </c>
      <c r="C308" s="2">
        <v>289158</v>
      </c>
      <c r="D308" s="2">
        <v>48237405</v>
      </c>
      <c r="E308">
        <f t="shared" si="4"/>
        <v>0.59944766929315541</v>
      </c>
    </row>
    <row r="309" spans="1:5" x14ac:dyDescent="0.25">
      <c r="A309" t="s">
        <v>39</v>
      </c>
      <c r="B309" s="1" t="s">
        <v>11</v>
      </c>
      <c r="C309" s="2">
        <v>280475</v>
      </c>
      <c r="D309" s="2">
        <v>53015303</v>
      </c>
      <c r="E309">
        <f t="shared" si="4"/>
        <v>0.52904535884667103</v>
      </c>
    </row>
    <row r="310" spans="1:5" x14ac:dyDescent="0.25">
      <c r="A310" t="s">
        <v>39</v>
      </c>
      <c r="B310" s="1" t="s">
        <v>12</v>
      </c>
      <c r="C310" s="2">
        <v>625990</v>
      </c>
      <c r="D310" s="2">
        <v>53661930</v>
      </c>
      <c r="E310">
        <f t="shared" si="4"/>
        <v>1.1665439539725835</v>
      </c>
    </row>
    <row r="311" spans="1:5" x14ac:dyDescent="0.25">
      <c r="A311" t="s">
        <v>39</v>
      </c>
      <c r="B311" s="1" t="s">
        <v>13</v>
      </c>
      <c r="C311" s="2">
        <v>558293</v>
      </c>
      <c r="D311" s="2">
        <v>49972071</v>
      </c>
      <c r="E311">
        <f t="shared" si="4"/>
        <v>1.117210051190394</v>
      </c>
    </row>
    <row r="312" spans="1:5" x14ac:dyDescent="0.25">
      <c r="A312" t="s">
        <v>39</v>
      </c>
      <c r="B312" s="1" t="s">
        <v>14</v>
      </c>
      <c r="C312" s="2">
        <v>485246</v>
      </c>
      <c r="D312" s="2">
        <v>50510325</v>
      </c>
      <c r="E312">
        <f t="shared" si="4"/>
        <v>0.96068675067919274</v>
      </c>
    </row>
    <row r="313" spans="1:5" x14ac:dyDescent="0.25">
      <c r="A313" t="s">
        <v>39</v>
      </c>
      <c r="B313" s="1" t="s">
        <v>15</v>
      </c>
      <c r="C313" s="2">
        <v>459449</v>
      </c>
      <c r="D313" s="2">
        <v>48486524</v>
      </c>
      <c r="E313">
        <f t="shared" si="4"/>
        <v>0.94758081647593451</v>
      </c>
    </row>
    <row r="314" spans="1:5" x14ac:dyDescent="0.25">
      <c r="A314" t="s">
        <v>39</v>
      </c>
      <c r="B314" s="1" t="s">
        <v>16</v>
      </c>
      <c r="C314" s="2">
        <v>448481</v>
      </c>
      <c r="D314" s="2">
        <v>49266249</v>
      </c>
      <c r="E314">
        <f t="shared" si="4"/>
        <v>0.91032097856688865</v>
      </c>
    </row>
    <row r="315" spans="1:5" x14ac:dyDescent="0.25">
      <c r="A315" t="s">
        <v>39</v>
      </c>
      <c r="B315" s="1" t="s">
        <v>17</v>
      </c>
      <c r="C315" s="2">
        <v>465717</v>
      </c>
      <c r="D315" s="2">
        <v>52456906</v>
      </c>
      <c r="E315">
        <f t="shared" si="4"/>
        <v>0.88780874724102099</v>
      </c>
    </row>
    <row r="316" spans="1:5" x14ac:dyDescent="0.25">
      <c r="A316" t="s">
        <v>39</v>
      </c>
      <c r="B316" s="1" t="s">
        <v>18</v>
      </c>
      <c r="C316" s="2">
        <v>494871</v>
      </c>
      <c r="D316" s="2">
        <v>53941987</v>
      </c>
      <c r="E316">
        <f t="shared" si="4"/>
        <v>0.91741336855092115</v>
      </c>
    </row>
    <row r="317" spans="1:5" x14ac:dyDescent="0.25">
      <c r="A317" t="s">
        <v>39</v>
      </c>
      <c r="B317" s="1" t="s">
        <v>19</v>
      </c>
      <c r="C317" s="2">
        <v>507139</v>
      </c>
      <c r="D317" s="2">
        <v>60677415</v>
      </c>
      <c r="E317">
        <f t="shared" si="4"/>
        <v>0.83579532845952653</v>
      </c>
    </row>
    <row r="318" spans="1:5" x14ac:dyDescent="0.25">
      <c r="A318" t="s">
        <v>39</v>
      </c>
      <c r="B318" s="1" t="s">
        <v>20</v>
      </c>
      <c r="C318" s="2">
        <v>514026</v>
      </c>
      <c r="D318" s="2">
        <v>62523254</v>
      </c>
      <c r="E318">
        <f t="shared" si="4"/>
        <v>0.82213571289811627</v>
      </c>
    </row>
    <row r="319" spans="1:5" x14ac:dyDescent="0.25">
      <c r="A319" t="s">
        <v>39</v>
      </c>
      <c r="B319" s="1" t="s">
        <v>21</v>
      </c>
      <c r="C319" s="2">
        <v>552784</v>
      </c>
      <c r="D319" s="2">
        <v>64380942</v>
      </c>
      <c r="E319">
        <f t="shared" si="4"/>
        <v>0.85861433962864353</v>
      </c>
    </row>
    <row r="320" spans="1:5" x14ac:dyDescent="0.25">
      <c r="A320" t="s">
        <v>39</v>
      </c>
      <c r="B320" s="1" t="s">
        <v>22</v>
      </c>
      <c r="C320" s="2">
        <v>564381</v>
      </c>
      <c r="D320" s="2">
        <v>68283485</v>
      </c>
      <c r="E320">
        <f t="shared" si="4"/>
        <v>0.82652635553091647</v>
      </c>
    </row>
    <row r="321" spans="1:5" x14ac:dyDescent="0.25">
      <c r="A321" t="s">
        <v>39</v>
      </c>
      <c r="B321" s="1" t="s">
        <v>23</v>
      </c>
      <c r="C321" s="8">
        <v>572030</v>
      </c>
      <c r="D321" s="2">
        <v>70289357</v>
      </c>
      <c r="E321">
        <f t="shared" si="4"/>
        <v>0.81382164301204241</v>
      </c>
    </row>
    <row r="322" spans="1:5" x14ac:dyDescent="0.25">
      <c r="A322" t="s">
        <v>40</v>
      </c>
      <c r="B322" s="1" t="s">
        <v>4</v>
      </c>
      <c r="C322" s="14">
        <v>21496</v>
      </c>
      <c r="D322" s="2">
        <v>1661123</v>
      </c>
      <c r="E322">
        <f t="shared" si="4"/>
        <v>1.2940643167303083</v>
      </c>
    </row>
    <row r="323" spans="1:5" x14ac:dyDescent="0.25">
      <c r="A323" t="s">
        <v>40</v>
      </c>
      <c r="B323" s="1" t="s">
        <v>5</v>
      </c>
      <c r="C323" s="14">
        <v>43905</v>
      </c>
      <c r="D323" s="2">
        <v>1605857</v>
      </c>
      <c r="E323">
        <f t="shared" ref="E323:E386" si="5">(C323/D323)*100</f>
        <v>2.7340541530161153</v>
      </c>
    </row>
    <row r="324" spans="1:5" x14ac:dyDescent="0.25">
      <c r="A324" t="s">
        <v>40</v>
      </c>
      <c r="B324" s="1" t="s">
        <v>6</v>
      </c>
      <c r="C324" s="14">
        <v>45114</v>
      </c>
      <c r="D324" s="2">
        <v>1761793</v>
      </c>
      <c r="E324">
        <f t="shared" si="5"/>
        <v>2.5606867549138861</v>
      </c>
    </row>
    <row r="325" spans="1:5" x14ac:dyDescent="0.25">
      <c r="A325" t="s">
        <v>40</v>
      </c>
      <c r="B325" s="1" t="s">
        <v>7</v>
      </c>
      <c r="C325" s="14">
        <v>28853</v>
      </c>
      <c r="D325" s="2">
        <v>1561125</v>
      </c>
      <c r="E325">
        <f t="shared" si="5"/>
        <v>1.8482184322203541</v>
      </c>
    </row>
    <row r="326" spans="1:5" x14ac:dyDescent="0.25">
      <c r="A326" t="s">
        <v>40</v>
      </c>
      <c r="B326" s="1" t="s">
        <v>8</v>
      </c>
      <c r="C326" s="15">
        <v>29357</v>
      </c>
      <c r="D326" s="2">
        <v>1515744</v>
      </c>
      <c r="E326">
        <f t="shared" si="5"/>
        <v>1.9368046319167351</v>
      </c>
    </row>
    <row r="327" spans="1:5" x14ac:dyDescent="0.25">
      <c r="A327" t="s">
        <v>40</v>
      </c>
      <c r="B327" s="1" t="s">
        <v>9</v>
      </c>
      <c r="C327" s="14">
        <v>30876</v>
      </c>
      <c r="D327" s="2">
        <v>1979987</v>
      </c>
      <c r="E327">
        <f t="shared" si="5"/>
        <v>1.5594041779062187</v>
      </c>
    </row>
    <row r="328" spans="1:5" x14ac:dyDescent="0.25">
      <c r="A328" t="s">
        <v>40</v>
      </c>
      <c r="B328" s="1" t="s">
        <v>10</v>
      </c>
      <c r="C328" s="14">
        <v>31572</v>
      </c>
      <c r="D328" s="2">
        <v>1730435</v>
      </c>
      <c r="E328">
        <f t="shared" si="5"/>
        <v>1.8245123336039781</v>
      </c>
    </row>
    <row r="329" spans="1:5" x14ac:dyDescent="0.25">
      <c r="A329" t="s">
        <v>40</v>
      </c>
      <c r="B329" s="1" t="s">
        <v>11</v>
      </c>
      <c r="C329" s="14">
        <v>105803</v>
      </c>
      <c r="D329" s="2">
        <v>1660864</v>
      </c>
      <c r="E329">
        <f t="shared" si="5"/>
        <v>6.3703590420407687</v>
      </c>
    </row>
    <row r="330" spans="1:5" x14ac:dyDescent="0.25">
      <c r="A330" t="s">
        <v>40</v>
      </c>
      <c r="B330" s="1" t="s">
        <v>12</v>
      </c>
      <c r="C330" s="14">
        <v>117417</v>
      </c>
      <c r="D330" s="2">
        <v>1568173</v>
      </c>
      <c r="E330">
        <f t="shared" si="5"/>
        <v>7.4875029732051246</v>
      </c>
    </row>
    <row r="331" spans="1:5" x14ac:dyDescent="0.25">
      <c r="A331" t="s">
        <v>40</v>
      </c>
      <c r="B331" s="1" t="s">
        <v>13</v>
      </c>
      <c r="C331" s="14">
        <v>73497</v>
      </c>
      <c r="D331" s="2">
        <v>1487373</v>
      </c>
      <c r="E331">
        <f t="shared" si="5"/>
        <v>4.9413966772289131</v>
      </c>
    </row>
    <row r="332" spans="1:5" x14ac:dyDescent="0.25">
      <c r="A332" t="s">
        <v>40</v>
      </c>
      <c r="B332" s="1" t="s">
        <v>14</v>
      </c>
      <c r="C332" s="14">
        <v>27879</v>
      </c>
      <c r="D332" s="2">
        <v>1371613</v>
      </c>
      <c r="E332">
        <f t="shared" si="5"/>
        <v>2.0325704116248535</v>
      </c>
    </row>
    <row r="333" spans="1:5" x14ac:dyDescent="0.25">
      <c r="A333" t="s">
        <v>40</v>
      </c>
      <c r="B333" s="1" t="s">
        <v>15</v>
      </c>
      <c r="C333" s="14">
        <v>28598</v>
      </c>
      <c r="D333" s="2">
        <v>1275827</v>
      </c>
      <c r="E333">
        <f t="shared" si="5"/>
        <v>2.2415264765520715</v>
      </c>
    </row>
    <row r="334" spans="1:5" x14ac:dyDescent="0.25">
      <c r="A334" t="s">
        <v>40</v>
      </c>
      <c r="B334" s="1" t="s">
        <v>16</v>
      </c>
      <c r="C334" s="14">
        <v>24091</v>
      </c>
      <c r="D334" s="2">
        <v>1010412</v>
      </c>
      <c r="E334">
        <f t="shared" si="5"/>
        <v>2.3842749294347256</v>
      </c>
    </row>
    <row r="335" spans="1:5" x14ac:dyDescent="0.25">
      <c r="A335" t="s">
        <v>40</v>
      </c>
      <c r="B335" s="1" t="s">
        <v>17</v>
      </c>
      <c r="C335" s="14">
        <v>22901</v>
      </c>
      <c r="D335" s="2">
        <v>889285</v>
      </c>
      <c r="E335">
        <f t="shared" si="5"/>
        <v>2.5752149198513412</v>
      </c>
    </row>
    <row r="336" spans="1:5" x14ac:dyDescent="0.25">
      <c r="A336" t="s">
        <v>40</v>
      </c>
      <c r="B336" s="1" t="s">
        <v>18</v>
      </c>
      <c r="C336" s="14">
        <v>29283</v>
      </c>
      <c r="D336" s="2">
        <v>2065267</v>
      </c>
      <c r="E336">
        <f t="shared" si="5"/>
        <v>1.417879625249423</v>
      </c>
    </row>
    <row r="337" spans="1:5" x14ac:dyDescent="0.25">
      <c r="A337" t="s">
        <v>40</v>
      </c>
      <c r="B337" s="1" t="s">
        <v>19</v>
      </c>
      <c r="C337" s="14">
        <v>26930</v>
      </c>
      <c r="D337" s="2">
        <v>2198243</v>
      </c>
      <c r="E337">
        <f t="shared" si="5"/>
        <v>1.2250692939770536</v>
      </c>
    </row>
    <row r="338" spans="1:5" x14ac:dyDescent="0.25">
      <c r="A338" t="s">
        <v>40</v>
      </c>
      <c r="B338" s="1" t="s">
        <v>20</v>
      </c>
      <c r="C338" s="14">
        <v>40149</v>
      </c>
      <c r="D338" s="2">
        <v>4814254</v>
      </c>
      <c r="E338">
        <f t="shared" si="5"/>
        <v>0.8339609833631545</v>
      </c>
    </row>
    <row r="339" spans="1:5" x14ac:dyDescent="0.25">
      <c r="A339" t="s">
        <v>40</v>
      </c>
      <c r="B339" s="1" t="s">
        <v>21</v>
      </c>
      <c r="C339" s="14">
        <v>45360</v>
      </c>
      <c r="D339" s="2">
        <v>6713749</v>
      </c>
      <c r="E339">
        <f t="shared" si="5"/>
        <v>0.67562847523790359</v>
      </c>
    </row>
    <row r="340" spans="1:5" x14ac:dyDescent="0.25">
      <c r="A340" t="s">
        <v>40</v>
      </c>
      <c r="B340" s="1" t="s">
        <v>22</v>
      </c>
      <c r="C340" s="14">
        <v>50104</v>
      </c>
      <c r="D340" s="2">
        <v>7158814</v>
      </c>
      <c r="E340">
        <f t="shared" si="5"/>
        <v>0.69989246822169149</v>
      </c>
    </row>
    <row r="341" spans="1:5" x14ac:dyDescent="0.25">
      <c r="A341" t="s">
        <v>40</v>
      </c>
      <c r="B341" s="1" t="s">
        <v>23</v>
      </c>
      <c r="C341" s="8">
        <v>52481</v>
      </c>
      <c r="D341" s="2">
        <v>7205558</v>
      </c>
      <c r="E341">
        <f t="shared" si="5"/>
        <v>0.72834053934476695</v>
      </c>
    </row>
    <row r="342" spans="1:5" x14ac:dyDescent="0.25">
      <c r="A342" t="s">
        <v>41</v>
      </c>
      <c r="B342" s="1" t="s">
        <v>4</v>
      </c>
      <c r="C342" s="2">
        <v>355056</v>
      </c>
      <c r="D342" s="2">
        <v>12506448</v>
      </c>
      <c r="E342">
        <f t="shared" si="5"/>
        <v>2.8389835387313807</v>
      </c>
    </row>
    <row r="343" spans="1:5" x14ac:dyDescent="0.25">
      <c r="A343" t="s">
        <v>41</v>
      </c>
      <c r="B343" s="1" t="s">
        <v>5</v>
      </c>
      <c r="C343" s="2">
        <v>377606</v>
      </c>
      <c r="D343" s="2">
        <v>13163247</v>
      </c>
      <c r="E343">
        <f t="shared" si="5"/>
        <v>2.8686387180913644</v>
      </c>
    </row>
    <row r="344" spans="1:5" x14ac:dyDescent="0.25">
      <c r="A344" t="s">
        <v>41</v>
      </c>
      <c r="B344" s="1" t="s">
        <v>6</v>
      </c>
      <c r="C344" s="2">
        <v>396102</v>
      </c>
      <c r="D344" s="2">
        <v>13661814</v>
      </c>
      <c r="E344">
        <f t="shared" si="5"/>
        <v>2.8993367937815577</v>
      </c>
    </row>
    <row r="345" spans="1:5" x14ac:dyDescent="0.25">
      <c r="A345" t="s">
        <v>41</v>
      </c>
      <c r="B345" s="1" t="s">
        <v>7</v>
      </c>
      <c r="C345" s="2">
        <v>451113</v>
      </c>
      <c r="D345" s="2">
        <v>15670832</v>
      </c>
      <c r="E345">
        <f t="shared" si="5"/>
        <v>2.878679319643016</v>
      </c>
    </row>
    <row r="346" spans="1:5" x14ac:dyDescent="0.25">
      <c r="A346" t="s">
        <v>41</v>
      </c>
      <c r="B346" s="1" t="s">
        <v>8</v>
      </c>
      <c r="C346" s="7">
        <v>469076</v>
      </c>
      <c r="D346" s="2">
        <v>16309071</v>
      </c>
      <c r="E346">
        <f t="shared" si="5"/>
        <v>2.8761662758105597</v>
      </c>
    </row>
    <row r="347" spans="1:5" x14ac:dyDescent="0.25">
      <c r="A347" t="s">
        <v>41</v>
      </c>
      <c r="B347" s="1" t="s">
        <v>9</v>
      </c>
      <c r="C347" s="2">
        <v>552545</v>
      </c>
      <c r="D347" s="2">
        <v>17580708</v>
      </c>
      <c r="E347">
        <f t="shared" si="5"/>
        <v>3.1429052800376409</v>
      </c>
    </row>
    <row r="348" spans="1:5" x14ac:dyDescent="0.25">
      <c r="A348" t="s">
        <v>41</v>
      </c>
      <c r="B348" s="1" t="s">
        <v>10</v>
      </c>
      <c r="C348" s="2">
        <v>745696</v>
      </c>
      <c r="D348" s="2">
        <v>18390023</v>
      </c>
      <c r="E348">
        <f t="shared" si="5"/>
        <v>4.0548943304747365</v>
      </c>
    </row>
    <row r="349" spans="1:5" x14ac:dyDescent="0.25">
      <c r="A349" t="s">
        <v>41</v>
      </c>
      <c r="B349" s="1" t="s">
        <v>11</v>
      </c>
      <c r="C349" s="2">
        <v>833720</v>
      </c>
      <c r="D349" s="2">
        <v>19366245</v>
      </c>
      <c r="E349">
        <f t="shared" si="5"/>
        <v>4.3050162796143496</v>
      </c>
    </row>
    <row r="350" spans="1:5" x14ac:dyDescent="0.25">
      <c r="A350" t="s">
        <v>41</v>
      </c>
      <c r="B350" s="1" t="s">
        <v>12</v>
      </c>
      <c r="C350" s="2">
        <v>1230377</v>
      </c>
      <c r="D350" s="2">
        <v>18914203</v>
      </c>
      <c r="E350">
        <f t="shared" si="5"/>
        <v>6.505042797732477</v>
      </c>
    </row>
    <row r="351" spans="1:5" x14ac:dyDescent="0.25">
      <c r="A351" t="s">
        <v>41</v>
      </c>
      <c r="B351" s="1" t="s">
        <v>13</v>
      </c>
      <c r="C351" s="7">
        <v>1286601</v>
      </c>
      <c r="D351" s="2">
        <v>19193337</v>
      </c>
      <c r="E351">
        <f t="shared" si="5"/>
        <v>6.7033731549651838</v>
      </c>
    </row>
    <row r="352" spans="1:5" x14ac:dyDescent="0.25">
      <c r="A352" t="s">
        <v>41</v>
      </c>
      <c r="B352" s="1" t="s">
        <v>14</v>
      </c>
      <c r="C352" s="2">
        <v>1185534</v>
      </c>
      <c r="D352" s="2">
        <v>19923613</v>
      </c>
      <c r="E352">
        <f t="shared" si="5"/>
        <v>5.9503966474353822</v>
      </c>
    </row>
    <row r="353" spans="1:5" x14ac:dyDescent="0.25">
      <c r="A353" t="s">
        <v>41</v>
      </c>
      <c r="B353" s="1" t="s">
        <v>15</v>
      </c>
      <c r="C353" s="2">
        <v>1006365</v>
      </c>
      <c r="D353" s="2">
        <v>19491934</v>
      </c>
      <c r="E353">
        <f t="shared" si="5"/>
        <v>5.1629817749228986</v>
      </c>
    </row>
    <row r="354" spans="1:5" x14ac:dyDescent="0.25">
      <c r="A354" t="s">
        <v>41</v>
      </c>
      <c r="B354" s="1" t="s">
        <v>16</v>
      </c>
      <c r="C354" s="2">
        <v>1031004</v>
      </c>
      <c r="D354" s="2">
        <v>18488594</v>
      </c>
      <c r="E354">
        <f t="shared" si="5"/>
        <v>5.5764326914204503</v>
      </c>
    </row>
    <row r="355" spans="1:5" x14ac:dyDescent="0.25">
      <c r="A355" t="s">
        <v>41</v>
      </c>
      <c r="B355" s="1" t="s">
        <v>17</v>
      </c>
      <c r="C355" s="2">
        <v>1083240</v>
      </c>
      <c r="D355" s="2">
        <v>18369481</v>
      </c>
      <c r="E355">
        <f t="shared" si="5"/>
        <v>5.8969548459207966</v>
      </c>
    </row>
    <row r="356" spans="1:5" x14ac:dyDescent="0.25">
      <c r="A356" t="s">
        <v>41</v>
      </c>
      <c r="B356" s="1" t="s">
        <v>18</v>
      </c>
      <c r="C356" s="2">
        <v>1107803</v>
      </c>
      <c r="D356" s="2">
        <v>14320814</v>
      </c>
      <c r="E356">
        <f t="shared" si="5"/>
        <v>7.7356147492733296</v>
      </c>
    </row>
    <row r="357" spans="1:5" x14ac:dyDescent="0.25">
      <c r="A357" t="s">
        <v>41</v>
      </c>
      <c r="B357" s="1" t="s">
        <v>19</v>
      </c>
      <c r="C357" s="2">
        <v>1875402</v>
      </c>
      <c r="D357" s="2">
        <v>11608327</v>
      </c>
      <c r="E357">
        <f t="shared" si="5"/>
        <v>16.155661362744176</v>
      </c>
    </row>
    <row r="358" spans="1:5" x14ac:dyDescent="0.25">
      <c r="A358" t="s">
        <v>41</v>
      </c>
      <c r="B358" s="1" t="s">
        <v>20</v>
      </c>
      <c r="C358" s="2">
        <v>1504387</v>
      </c>
      <c r="D358" s="2">
        <v>9527115</v>
      </c>
      <c r="E358">
        <f t="shared" si="5"/>
        <v>15.790582983411033</v>
      </c>
    </row>
    <row r="359" spans="1:5" x14ac:dyDescent="0.25">
      <c r="A359" t="s">
        <v>41</v>
      </c>
      <c r="B359" s="1" t="s">
        <v>21</v>
      </c>
      <c r="C359" s="2">
        <v>1482741</v>
      </c>
      <c r="D359" s="2">
        <v>9267396</v>
      </c>
      <c r="E359">
        <f t="shared" si="5"/>
        <v>15.999542913672837</v>
      </c>
    </row>
    <row r="360" spans="1:5" x14ac:dyDescent="0.25">
      <c r="A360" t="s">
        <v>41</v>
      </c>
      <c r="B360" s="1" t="s">
        <v>22</v>
      </c>
      <c r="C360" s="2">
        <v>1451669</v>
      </c>
      <c r="D360" s="2">
        <v>8374410</v>
      </c>
      <c r="E360">
        <f t="shared" si="5"/>
        <v>17.334582376549513</v>
      </c>
    </row>
    <row r="361" spans="1:5" x14ac:dyDescent="0.25">
      <c r="A361" t="s">
        <v>41</v>
      </c>
      <c r="B361" s="1" t="s">
        <v>23</v>
      </c>
      <c r="C361" s="8">
        <v>1321540</v>
      </c>
      <c r="D361" s="2">
        <v>7766644</v>
      </c>
      <c r="E361">
        <f t="shared" si="5"/>
        <v>17.015586139908049</v>
      </c>
    </row>
    <row r="362" spans="1:5" x14ac:dyDescent="0.25">
      <c r="A362" t="s">
        <v>42</v>
      </c>
      <c r="B362" s="1" t="s">
        <v>4</v>
      </c>
      <c r="C362" s="2">
        <v>111975</v>
      </c>
      <c r="D362" s="2">
        <v>10438566</v>
      </c>
      <c r="E362">
        <f t="shared" si="5"/>
        <v>1.072704814052045</v>
      </c>
    </row>
    <row r="363" spans="1:5" x14ac:dyDescent="0.25">
      <c r="A363" t="s">
        <v>42</v>
      </c>
      <c r="B363" s="1" t="s">
        <v>5</v>
      </c>
      <c r="C363" s="2">
        <v>120938</v>
      </c>
      <c r="D363" s="2">
        <v>10874554</v>
      </c>
      <c r="E363">
        <f t="shared" si="5"/>
        <v>1.1121191728874582</v>
      </c>
    </row>
    <row r="364" spans="1:5" x14ac:dyDescent="0.25">
      <c r="A364" t="s">
        <v>42</v>
      </c>
      <c r="B364" s="1" t="s">
        <v>6</v>
      </c>
      <c r="C364" s="2">
        <v>123142</v>
      </c>
      <c r="D364" s="2">
        <v>11051604</v>
      </c>
      <c r="E364">
        <f t="shared" si="5"/>
        <v>1.1142454977576106</v>
      </c>
    </row>
    <row r="365" spans="1:5" x14ac:dyDescent="0.25">
      <c r="A365" t="s">
        <v>42</v>
      </c>
      <c r="B365" s="1" t="s">
        <v>7</v>
      </c>
      <c r="C365" s="2">
        <v>125135</v>
      </c>
      <c r="D365" s="2">
        <v>11550654</v>
      </c>
      <c r="E365">
        <f t="shared" si="5"/>
        <v>1.0833585699995862</v>
      </c>
    </row>
    <row r="366" spans="1:5" x14ac:dyDescent="0.25">
      <c r="A366" t="s">
        <v>42</v>
      </c>
      <c r="B366" s="1" t="s">
        <v>8</v>
      </c>
      <c r="C366" s="2">
        <v>134315</v>
      </c>
      <c r="D366" s="2">
        <v>11324576</v>
      </c>
      <c r="E366">
        <f t="shared" si="5"/>
        <v>1.1860488198410255</v>
      </c>
    </row>
    <row r="367" spans="1:5" x14ac:dyDescent="0.25">
      <c r="A367" t="s">
        <v>42</v>
      </c>
      <c r="B367" s="1" t="s">
        <v>9</v>
      </c>
      <c r="C367" s="2">
        <v>135638</v>
      </c>
      <c r="D367" s="2">
        <v>12149656</v>
      </c>
      <c r="E367">
        <f t="shared" si="5"/>
        <v>1.116393748102827</v>
      </c>
    </row>
    <row r="368" spans="1:5" x14ac:dyDescent="0.25">
      <c r="A368" t="s">
        <v>42</v>
      </c>
      <c r="B368" s="1" t="s">
        <v>10</v>
      </c>
      <c r="C368" s="2">
        <v>135797</v>
      </c>
      <c r="D368" s="2">
        <v>13069123</v>
      </c>
      <c r="E368">
        <f t="shared" si="5"/>
        <v>1.0390674263299842</v>
      </c>
    </row>
    <row r="369" spans="1:5" x14ac:dyDescent="0.25">
      <c r="A369" t="s">
        <v>42</v>
      </c>
      <c r="B369" s="1" t="s">
        <v>11</v>
      </c>
      <c r="C369" s="2">
        <v>139489</v>
      </c>
      <c r="D369" s="2">
        <v>13858412</v>
      </c>
      <c r="E369">
        <f t="shared" si="5"/>
        <v>1.0065294638375595</v>
      </c>
    </row>
    <row r="370" spans="1:5" x14ac:dyDescent="0.25">
      <c r="A370" t="s">
        <v>42</v>
      </c>
      <c r="B370" s="1" t="s">
        <v>12</v>
      </c>
      <c r="C370" s="2">
        <v>168531</v>
      </c>
      <c r="D370" s="2">
        <v>14872241</v>
      </c>
      <c r="E370">
        <f t="shared" si="5"/>
        <v>1.1331916958580754</v>
      </c>
    </row>
    <row r="371" spans="1:5" x14ac:dyDescent="0.25">
      <c r="A371" t="s">
        <v>42</v>
      </c>
      <c r="B371" s="1" t="s">
        <v>13</v>
      </c>
      <c r="C371" s="2">
        <v>169107</v>
      </c>
      <c r="D371" s="2">
        <v>14207870</v>
      </c>
      <c r="E371">
        <f t="shared" si="5"/>
        <v>1.1902347079470745</v>
      </c>
    </row>
    <row r="372" spans="1:5" x14ac:dyDescent="0.25">
      <c r="A372" t="s">
        <v>42</v>
      </c>
      <c r="B372" s="1" t="s">
        <v>14</v>
      </c>
      <c r="C372" s="2">
        <v>198162</v>
      </c>
      <c r="D372" s="2">
        <v>15012254</v>
      </c>
      <c r="E372">
        <f t="shared" si="5"/>
        <v>1.3200016466547928</v>
      </c>
    </row>
    <row r="373" spans="1:5" x14ac:dyDescent="0.25">
      <c r="A373" t="s">
        <v>42</v>
      </c>
      <c r="B373" s="1" t="s">
        <v>15</v>
      </c>
      <c r="C373" s="2">
        <v>173280</v>
      </c>
      <c r="D373" s="2">
        <v>14729081</v>
      </c>
      <c r="E373">
        <f t="shared" si="5"/>
        <v>1.1764481436418199</v>
      </c>
    </row>
    <row r="374" spans="1:5" x14ac:dyDescent="0.25">
      <c r="A374" t="s">
        <v>42</v>
      </c>
      <c r="B374" s="1" t="s">
        <v>16</v>
      </c>
      <c r="C374" s="2">
        <v>199417</v>
      </c>
      <c r="D374" s="2">
        <v>14268757</v>
      </c>
      <c r="E374">
        <f t="shared" si="5"/>
        <v>1.3975779389893597</v>
      </c>
    </row>
    <row r="375" spans="1:5" x14ac:dyDescent="0.25">
      <c r="A375" t="s">
        <v>42</v>
      </c>
      <c r="B375" s="1" t="s">
        <v>17</v>
      </c>
      <c r="C375" s="2">
        <v>14344283</v>
      </c>
      <c r="D375" s="2">
        <v>14344283</v>
      </c>
      <c r="E375">
        <f t="shared" si="5"/>
        <v>100</v>
      </c>
    </row>
    <row r="376" spans="1:5" x14ac:dyDescent="0.25">
      <c r="A376" t="s">
        <v>42</v>
      </c>
      <c r="B376" s="1" t="s">
        <v>18</v>
      </c>
      <c r="C376" s="2">
        <v>260499</v>
      </c>
      <c r="D376" s="2">
        <v>13944876</v>
      </c>
      <c r="E376">
        <f t="shared" si="5"/>
        <v>1.8680625055396693</v>
      </c>
    </row>
    <row r="377" spans="1:5" x14ac:dyDescent="0.25">
      <c r="A377" t="s">
        <v>42</v>
      </c>
      <c r="B377" s="1" t="s">
        <v>19</v>
      </c>
      <c r="C377" s="2">
        <v>291961</v>
      </c>
      <c r="D377" s="2">
        <v>13772663</v>
      </c>
      <c r="E377">
        <f t="shared" si="5"/>
        <v>2.1198587375585971</v>
      </c>
    </row>
    <row r="378" spans="1:5" x14ac:dyDescent="0.25">
      <c r="A378" t="s">
        <v>42</v>
      </c>
      <c r="B378" s="1" t="s">
        <v>20</v>
      </c>
      <c r="C378" s="2">
        <v>314216</v>
      </c>
      <c r="D378" s="2">
        <v>12885415</v>
      </c>
      <c r="E378">
        <f t="shared" si="5"/>
        <v>2.4385400082185944</v>
      </c>
    </row>
    <row r="379" spans="1:5" x14ac:dyDescent="0.25">
      <c r="A379" t="s">
        <v>42</v>
      </c>
      <c r="B379" s="1" t="s">
        <v>21</v>
      </c>
      <c r="C379" s="2">
        <v>354630</v>
      </c>
      <c r="D379" s="2">
        <v>14139078</v>
      </c>
      <c r="E379">
        <f t="shared" si="5"/>
        <v>2.5081550579182035</v>
      </c>
    </row>
    <row r="380" spans="1:5" x14ac:dyDescent="0.25">
      <c r="A380" t="s">
        <v>42</v>
      </c>
      <c r="B380" s="1" t="s">
        <v>22</v>
      </c>
      <c r="C380" s="2">
        <v>414119</v>
      </c>
      <c r="D380" s="2">
        <v>15079881</v>
      </c>
      <c r="E380">
        <f t="shared" si="5"/>
        <v>2.7461688855502242</v>
      </c>
    </row>
    <row r="381" spans="1:5" x14ac:dyDescent="0.25">
      <c r="A381" t="s">
        <v>42</v>
      </c>
      <c r="B381" s="1" t="s">
        <v>23</v>
      </c>
      <c r="C381" s="8">
        <v>454746</v>
      </c>
      <c r="D381" s="2">
        <v>16687285</v>
      </c>
      <c r="E381">
        <f t="shared" si="5"/>
        <v>2.7251047728854632</v>
      </c>
    </row>
    <row r="382" spans="1:5" x14ac:dyDescent="0.25">
      <c r="A382" t="s">
        <v>43</v>
      </c>
      <c r="B382" s="1" t="s">
        <v>4</v>
      </c>
      <c r="C382" s="2">
        <v>27855</v>
      </c>
      <c r="D382" s="2">
        <v>2795605</v>
      </c>
      <c r="E382">
        <f t="shared" si="5"/>
        <v>0.99638539779403745</v>
      </c>
    </row>
    <row r="383" spans="1:5" x14ac:dyDescent="0.25">
      <c r="A383" t="s">
        <v>43</v>
      </c>
      <c r="B383" s="1" t="s">
        <v>5</v>
      </c>
      <c r="C383" s="2">
        <v>40408</v>
      </c>
      <c r="D383" s="2">
        <v>2952087</v>
      </c>
      <c r="E383">
        <f t="shared" si="5"/>
        <v>1.3687943478630542</v>
      </c>
    </row>
    <row r="384" spans="1:5" x14ac:dyDescent="0.25">
      <c r="A384" t="s">
        <v>43</v>
      </c>
      <c r="B384" s="1" t="s">
        <v>6</v>
      </c>
      <c r="C384" s="2">
        <v>44111</v>
      </c>
      <c r="D384" s="2">
        <v>2855800</v>
      </c>
      <c r="E384">
        <f t="shared" si="5"/>
        <v>1.5446109671545627</v>
      </c>
    </row>
    <row r="385" spans="1:5" x14ac:dyDescent="0.25">
      <c r="A385" t="s">
        <v>43</v>
      </c>
      <c r="B385" s="1" t="s">
        <v>7</v>
      </c>
      <c r="C385" s="2">
        <v>60323</v>
      </c>
      <c r="D385" s="2">
        <v>2982477</v>
      </c>
      <c r="E385">
        <f t="shared" si="5"/>
        <v>2.0225805597159674</v>
      </c>
    </row>
    <row r="386" spans="1:5" x14ac:dyDescent="0.25">
      <c r="A386" t="s">
        <v>43</v>
      </c>
      <c r="B386" s="1" t="s">
        <v>8</v>
      </c>
      <c r="C386" s="2">
        <v>59375</v>
      </c>
      <c r="D386" s="2">
        <v>3058799</v>
      </c>
      <c r="E386">
        <f t="shared" si="5"/>
        <v>1.94112133553071</v>
      </c>
    </row>
    <row r="387" spans="1:5" x14ac:dyDescent="0.25">
      <c r="A387" t="s">
        <v>43</v>
      </c>
      <c r="B387" s="1" t="s">
        <v>9</v>
      </c>
      <c r="C387" s="2">
        <v>91503</v>
      </c>
      <c r="D387" s="2">
        <v>3268904</v>
      </c>
      <c r="E387">
        <f t="shared" ref="E387:E450" si="6">(C387/D387)*100</f>
        <v>2.7991950818990095</v>
      </c>
    </row>
    <row r="388" spans="1:5" x14ac:dyDescent="0.25">
      <c r="A388" t="s">
        <v>43</v>
      </c>
      <c r="B388" s="1" t="s">
        <v>10</v>
      </c>
      <c r="C388" s="2">
        <v>85674</v>
      </c>
      <c r="D388" s="2">
        <v>3955309</v>
      </c>
      <c r="E388">
        <f t="shared" si="6"/>
        <v>2.1660507434438121</v>
      </c>
    </row>
    <row r="389" spans="1:5" x14ac:dyDescent="0.25">
      <c r="A389" t="s">
        <v>43</v>
      </c>
      <c r="B389" s="1" t="s">
        <v>11</v>
      </c>
      <c r="C389" s="2">
        <v>285959</v>
      </c>
      <c r="D389" s="2">
        <v>4156767</v>
      </c>
      <c r="E389">
        <f t="shared" si="6"/>
        <v>6.8793608109379232</v>
      </c>
    </row>
    <row r="390" spans="1:5" x14ac:dyDescent="0.25">
      <c r="A390" t="s">
        <v>43</v>
      </c>
      <c r="B390" s="1" t="s">
        <v>12</v>
      </c>
      <c r="C390" s="2">
        <v>301016</v>
      </c>
      <c r="D390" s="2">
        <v>4295556</v>
      </c>
      <c r="E390">
        <f t="shared" si="6"/>
        <v>7.0076143810021332</v>
      </c>
    </row>
    <row r="391" spans="1:5" x14ac:dyDescent="0.25">
      <c r="A391" t="s">
        <v>43</v>
      </c>
      <c r="B391" s="1" t="s">
        <v>13</v>
      </c>
      <c r="C391" s="2">
        <v>294271</v>
      </c>
      <c r="D391" s="2">
        <v>4664906</v>
      </c>
      <c r="E391">
        <f t="shared" si="6"/>
        <v>6.3081871317449911</v>
      </c>
    </row>
    <row r="392" spans="1:5" x14ac:dyDescent="0.25">
      <c r="A392" t="s">
        <v>43</v>
      </c>
      <c r="B392" s="1" t="s">
        <v>14</v>
      </c>
      <c r="C392" s="2">
        <v>291795</v>
      </c>
      <c r="D392" s="2">
        <v>4955278</v>
      </c>
      <c r="E392">
        <f t="shared" si="6"/>
        <v>5.8885697230306757</v>
      </c>
    </row>
    <row r="393" spans="1:5" x14ac:dyDescent="0.25">
      <c r="A393" t="s">
        <v>43</v>
      </c>
      <c r="B393" s="1" t="s">
        <v>15</v>
      </c>
      <c r="C393" s="2">
        <v>270772</v>
      </c>
      <c r="D393" s="2">
        <v>5105932</v>
      </c>
      <c r="E393">
        <f t="shared" si="6"/>
        <v>5.3030866842723325</v>
      </c>
    </row>
    <row r="394" spans="1:5" x14ac:dyDescent="0.25">
      <c r="A394" t="s">
        <v>43</v>
      </c>
      <c r="B394" s="1" t="s">
        <v>16</v>
      </c>
      <c r="C394" s="2">
        <v>127960</v>
      </c>
      <c r="D394" s="2">
        <v>5132691</v>
      </c>
      <c r="E394">
        <f t="shared" si="6"/>
        <v>2.4930392264019012</v>
      </c>
    </row>
    <row r="395" spans="1:5" x14ac:dyDescent="0.25">
      <c r="A395" t="s">
        <v>43</v>
      </c>
      <c r="B395" s="1" t="s">
        <v>17</v>
      </c>
      <c r="C395" s="2">
        <v>294286</v>
      </c>
      <c r="D395" s="2">
        <v>5354506</v>
      </c>
      <c r="E395">
        <f t="shared" si="6"/>
        <v>5.4960438927512643</v>
      </c>
    </row>
    <row r="396" spans="1:5" x14ac:dyDescent="0.25">
      <c r="A396" t="s">
        <v>43</v>
      </c>
      <c r="B396" s="1" t="s">
        <v>18</v>
      </c>
      <c r="C396" s="2">
        <v>228403</v>
      </c>
      <c r="D396" s="2">
        <v>5649139</v>
      </c>
      <c r="E396">
        <f t="shared" si="6"/>
        <v>4.043147106134227</v>
      </c>
    </row>
    <row r="397" spans="1:5" x14ac:dyDescent="0.25">
      <c r="A397" t="s">
        <v>43</v>
      </c>
      <c r="B397" s="1" t="s">
        <v>19</v>
      </c>
      <c r="C397" s="2">
        <v>197983</v>
      </c>
      <c r="D397" s="2">
        <v>6076409</v>
      </c>
      <c r="E397">
        <f t="shared" si="6"/>
        <v>3.2582237304960877</v>
      </c>
    </row>
    <row r="398" spans="1:5" x14ac:dyDescent="0.25">
      <c r="A398" t="s">
        <v>43</v>
      </c>
      <c r="B398" s="1" t="s">
        <v>20</v>
      </c>
      <c r="C398" s="2">
        <v>203757</v>
      </c>
      <c r="D398" s="2">
        <v>6412669</v>
      </c>
      <c r="E398">
        <f t="shared" si="6"/>
        <v>3.1774133360072074</v>
      </c>
    </row>
    <row r="399" spans="1:5" x14ac:dyDescent="0.25">
      <c r="A399" t="s">
        <v>43</v>
      </c>
      <c r="B399" s="1" t="s">
        <v>21</v>
      </c>
      <c r="C399" s="2">
        <v>215966</v>
      </c>
      <c r="D399" s="2">
        <v>6850618</v>
      </c>
      <c r="E399">
        <f t="shared" si="6"/>
        <v>3.1525039054870669</v>
      </c>
    </row>
    <row r="400" spans="1:5" x14ac:dyDescent="0.25">
      <c r="A400" t="s">
        <v>43</v>
      </c>
      <c r="B400" s="1" t="s">
        <v>22</v>
      </c>
      <c r="C400" s="2">
        <v>238349</v>
      </c>
      <c r="D400" s="2">
        <v>7226652</v>
      </c>
      <c r="E400">
        <f t="shared" si="6"/>
        <v>3.2981939631242794</v>
      </c>
    </row>
    <row r="401" spans="1:5" x14ac:dyDescent="0.25">
      <c r="A401" t="s">
        <v>43</v>
      </c>
      <c r="B401" s="1" t="s">
        <v>23</v>
      </c>
      <c r="C401" s="8">
        <v>214996</v>
      </c>
      <c r="D401" s="2">
        <v>8064115</v>
      </c>
      <c r="E401">
        <f t="shared" si="6"/>
        <v>2.6660830109689657</v>
      </c>
    </row>
    <row r="402" spans="1:5" x14ac:dyDescent="0.25">
      <c r="A402" t="s">
        <v>44</v>
      </c>
      <c r="B402" s="1" t="s">
        <v>4</v>
      </c>
      <c r="C402" s="2">
        <v>702442</v>
      </c>
      <c r="D402" s="2">
        <v>59051838</v>
      </c>
      <c r="E402">
        <f t="shared" si="6"/>
        <v>1.1895345238873005</v>
      </c>
    </row>
    <row r="403" spans="1:5" x14ac:dyDescent="0.25">
      <c r="A403" t="s">
        <v>44</v>
      </c>
      <c r="B403" s="1" t="s">
        <v>5</v>
      </c>
      <c r="C403" s="2">
        <v>811333</v>
      </c>
      <c r="D403" s="2">
        <v>60894998</v>
      </c>
      <c r="E403">
        <f t="shared" si="6"/>
        <v>1.3323475271318672</v>
      </c>
    </row>
    <row r="404" spans="1:5" x14ac:dyDescent="0.25">
      <c r="A404" t="s">
        <v>44</v>
      </c>
      <c r="B404" s="1" t="s">
        <v>6</v>
      </c>
      <c r="C404" s="2">
        <v>865555</v>
      </c>
      <c r="D404" s="2">
        <v>60858028</v>
      </c>
      <c r="E404">
        <f t="shared" si="6"/>
        <v>1.4222527880791667</v>
      </c>
    </row>
    <row r="405" spans="1:5" x14ac:dyDescent="0.25">
      <c r="A405" t="s">
        <v>44</v>
      </c>
      <c r="B405" s="1" t="s">
        <v>7</v>
      </c>
      <c r="C405" s="2">
        <v>918116</v>
      </c>
      <c r="D405" s="2">
        <v>60859618</v>
      </c>
      <c r="E405">
        <f t="shared" si="6"/>
        <v>1.508579958553141</v>
      </c>
    </row>
    <row r="406" spans="1:5" x14ac:dyDescent="0.25">
      <c r="A406" t="s">
        <v>44</v>
      </c>
      <c r="B406" s="1" t="s">
        <v>8</v>
      </c>
      <c r="C406" s="2">
        <v>1093078</v>
      </c>
      <c r="D406" s="2">
        <v>132337254</v>
      </c>
      <c r="E406">
        <f t="shared" si="6"/>
        <v>0.82597905499837565</v>
      </c>
    </row>
    <row r="407" spans="1:5" x14ac:dyDescent="0.25">
      <c r="A407" t="s">
        <v>44</v>
      </c>
      <c r="B407" s="1" t="s">
        <v>9</v>
      </c>
      <c r="C407" s="2">
        <v>1130178</v>
      </c>
      <c r="D407" s="2">
        <v>134811292</v>
      </c>
      <c r="E407">
        <f t="shared" si="6"/>
        <v>0.83834075264259023</v>
      </c>
    </row>
    <row r="408" spans="1:5" x14ac:dyDescent="0.25">
      <c r="A408" t="s">
        <v>44</v>
      </c>
      <c r="B408" s="1" t="s">
        <v>10</v>
      </c>
      <c r="C408" s="2">
        <v>1171608</v>
      </c>
      <c r="D408" s="2">
        <v>131686962</v>
      </c>
      <c r="E408">
        <f t="shared" si="6"/>
        <v>0.88969172210078018</v>
      </c>
    </row>
    <row r="409" spans="1:5" x14ac:dyDescent="0.25">
      <c r="A409" t="s">
        <v>44</v>
      </c>
      <c r="B409" s="1" t="s">
        <v>11</v>
      </c>
      <c r="C409" s="2">
        <v>1175080</v>
      </c>
      <c r="D409" s="2">
        <v>132760609</v>
      </c>
      <c r="E409">
        <f t="shared" si="6"/>
        <v>0.88511193858714521</v>
      </c>
    </row>
    <row r="410" spans="1:5" x14ac:dyDescent="0.25">
      <c r="A410" t="s">
        <v>44</v>
      </c>
      <c r="B410" s="1" t="s">
        <v>12</v>
      </c>
      <c r="C410" s="2">
        <v>1731987</v>
      </c>
      <c r="D410" s="2">
        <v>147845204</v>
      </c>
      <c r="E410">
        <f t="shared" si="6"/>
        <v>1.1714867666589983</v>
      </c>
    </row>
    <row r="411" spans="1:5" x14ac:dyDescent="0.25">
      <c r="A411" t="s">
        <v>44</v>
      </c>
      <c r="B411" s="1" t="s">
        <v>13</v>
      </c>
      <c r="C411" s="2">
        <v>1990321</v>
      </c>
      <c r="D411" s="2">
        <v>141733902</v>
      </c>
      <c r="E411">
        <f t="shared" si="6"/>
        <v>1.4042660026392273</v>
      </c>
    </row>
    <row r="412" spans="1:5" x14ac:dyDescent="0.25">
      <c r="A412" t="s">
        <v>44</v>
      </c>
      <c r="B412" s="1" t="s">
        <v>14</v>
      </c>
      <c r="C412" s="2">
        <v>2058341</v>
      </c>
      <c r="D412" s="2">
        <v>139708268</v>
      </c>
      <c r="E412">
        <f t="shared" si="6"/>
        <v>1.4733136624383605</v>
      </c>
    </row>
    <row r="413" spans="1:5" x14ac:dyDescent="0.25">
      <c r="A413" t="s">
        <v>44</v>
      </c>
      <c r="B413" s="1" t="s">
        <v>15</v>
      </c>
      <c r="C413" s="2">
        <v>2572835</v>
      </c>
      <c r="D413" s="2">
        <v>126689753</v>
      </c>
      <c r="E413">
        <f t="shared" si="6"/>
        <v>2.0308153888341707</v>
      </c>
    </row>
    <row r="414" spans="1:5" x14ac:dyDescent="0.25">
      <c r="A414" t="s">
        <v>44</v>
      </c>
      <c r="B414" s="1" t="s">
        <v>16</v>
      </c>
      <c r="C414" s="2">
        <v>2517793</v>
      </c>
      <c r="D414" s="2">
        <v>122982923</v>
      </c>
      <c r="E414">
        <f t="shared" si="6"/>
        <v>2.0472704165601918</v>
      </c>
    </row>
    <row r="415" spans="1:5" x14ac:dyDescent="0.25">
      <c r="A415" t="s">
        <v>44</v>
      </c>
      <c r="B415" s="1" t="s">
        <v>17</v>
      </c>
      <c r="C415" s="2">
        <v>2725145</v>
      </c>
      <c r="D415" s="2">
        <v>125517052</v>
      </c>
      <c r="E415">
        <f t="shared" si="6"/>
        <v>2.171135281284331</v>
      </c>
    </row>
    <row r="416" spans="1:5" x14ac:dyDescent="0.25">
      <c r="A416" t="s">
        <v>44</v>
      </c>
      <c r="B416" s="1" t="s">
        <v>18</v>
      </c>
      <c r="C416" s="2">
        <v>3180323</v>
      </c>
      <c r="D416" s="2">
        <v>127443775</v>
      </c>
      <c r="E416">
        <f t="shared" si="6"/>
        <v>2.4954714343638988</v>
      </c>
    </row>
    <row r="417" spans="1:5" x14ac:dyDescent="0.25">
      <c r="A417" t="s">
        <v>44</v>
      </c>
      <c r="B417" s="1" t="s">
        <v>19</v>
      </c>
      <c r="C417" s="2">
        <v>3254434</v>
      </c>
      <c r="D417" s="2">
        <v>125155305</v>
      </c>
      <c r="E417">
        <f t="shared" si="6"/>
        <v>2.6003164628139412</v>
      </c>
    </row>
    <row r="418" spans="1:5" x14ac:dyDescent="0.25">
      <c r="A418" t="s">
        <v>44</v>
      </c>
      <c r="B418" s="1" t="s">
        <v>20</v>
      </c>
      <c r="C418" s="2">
        <v>3168401</v>
      </c>
      <c r="D418" s="2">
        <v>131718866</v>
      </c>
      <c r="E418">
        <f t="shared" si="6"/>
        <v>2.4054268733227633</v>
      </c>
    </row>
    <row r="419" spans="1:5" x14ac:dyDescent="0.25">
      <c r="A419" t="s">
        <v>44</v>
      </c>
      <c r="B419" s="1" t="s">
        <v>21</v>
      </c>
      <c r="C419" s="2">
        <v>3129324</v>
      </c>
      <c r="D419" s="2">
        <v>138109397</v>
      </c>
      <c r="E419">
        <f t="shared" si="6"/>
        <v>2.2658298913577908</v>
      </c>
    </row>
    <row r="420" spans="1:5" x14ac:dyDescent="0.25">
      <c r="A420" t="s">
        <v>44</v>
      </c>
      <c r="B420" s="1" t="s">
        <v>22</v>
      </c>
      <c r="C420" s="2">
        <v>3266750</v>
      </c>
      <c r="D420" s="2">
        <v>144077164</v>
      </c>
      <c r="E420">
        <f t="shared" si="6"/>
        <v>2.2673613980908178</v>
      </c>
    </row>
    <row r="421" spans="1:5" x14ac:dyDescent="0.25">
      <c r="A421" t="s">
        <v>44</v>
      </c>
      <c r="B421" s="1" t="s">
        <v>23</v>
      </c>
      <c r="C421" s="7">
        <v>2810194</v>
      </c>
      <c r="D421" s="2">
        <v>134596053</v>
      </c>
      <c r="E421">
        <f t="shared" si="6"/>
        <v>2.0878725173315447</v>
      </c>
    </row>
    <row r="422" spans="1:5" x14ac:dyDescent="0.25">
      <c r="A422" t="s">
        <v>45</v>
      </c>
      <c r="B422" s="1" t="s">
        <v>4</v>
      </c>
      <c r="C422" s="2">
        <v>27127</v>
      </c>
      <c r="D422" s="2">
        <v>5603841</v>
      </c>
      <c r="E422">
        <f t="shared" si="6"/>
        <v>0.48407868817120259</v>
      </c>
    </row>
    <row r="423" spans="1:5" x14ac:dyDescent="0.25">
      <c r="A423" t="s">
        <v>45</v>
      </c>
      <c r="B423" s="1" t="s">
        <v>5</v>
      </c>
      <c r="C423" s="2">
        <v>45443</v>
      </c>
      <c r="D423" s="2">
        <v>5979114</v>
      </c>
      <c r="E423">
        <f t="shared" si="6"/>
        <v>0.76002899426236059</v>
      </c>
    </row>
    <row r="424" spans="1:5" x14ac:dyDescent="0.25">
      <c r="A424" t="s">
        <v>45</v>
      </c>
      <c r="B424" s="1" t="s">
        <v>6</v>
      </c>
      <c r="C424" s="2">
        <v>48170</v>
      </c>
      <c r="D424" s="2">
        <v>6197667</v>
      </c>
      <c r="E424">
        <f t="shared" si="6"/>
        <v>0.77722794722594801</v>
      </c>
    </row>
    <row r="425" spans="1:5" x14ac:dyDescent="0.25">
      <c r="A425" t="s">
        <v>45</v>
      </c>
      <c r="B425" s="1" t="s">
        <v>7</v>
      </c>
      <c r="C425" s="2">
        <v>64532</v>
      </c>
      <c r="D425" s="2">
        <v>6548959</v>
      </c>
      <c r="E425">
        <f t="shared" si="6"/>
        <v>0.98537798144712774</v>
      </c>
    </row>
    <row r="426" spans="1:5" x14ac:dyDescent="0.25">
      <c r="A426" t="s">
        <v>45</v>
      </c>
      <c r="B426" s="1" t="s">
        <v>8</v>
      </c>
      <c r="C426" s="2">
        <v>64219</v>
      </c>
      <c r="D426" s="2">
        <v>6683759</v>
      </c>
      <c r="E426">
        <f t="shared" si="6"/>
        <v>0.96082159754712881</v>
      </c>
    </row>
    <row r="427" spans="1:5" x14ac:dyDescent="0.25">
      <c r="A427" t="s">
        <v>45</v>
      </c>
      <c r="B427" s="1" t="s">
        <v>9</v>
      </c>
      <c r="C427" s="2">
        <v>64600</v>
      </c>
      <c r="D427" s="2">
        <v>6807405</v>
      </c>
      <c r="E427">
        <f t="shared" si="6"/>
        <v>0.94896660327981075</v>
      </c>
    </row>
    <row r="428" spans="1:5" x14ac:dyDescent="0.25">
      <c r="A428" t="s">
        <v>45</v>
      </c>
      <c r="B428" s="1" t="s">
        <v>10</v>
      </c>
      <c r="C428" s="2">
        <v>64988</v>
      </c>
      <c r="D428" s="2">
        <v>6815433</v>
      </c>
      <c r="E428">
        <f t="shared" si="6"/>
        <v>0.95354176323059736</v>
      </c>
    </row>
    <row r="429" spans="1:5" x14ac:dyDescent="0.25">
      <c r="A429" t="s">
        <v>45</v>
      </c>
      <c r="B429" s="1" t="s">
        <v>11</v>
      </c>
      <c r="C429" s="2">
        <v>33146</v>
      </c>
      <c r="D429" s="2">
        <v>7140003</v>
      </c>
      <c r="E429">
        <f t="shared" si="6"/>
        <v>0.46422949682234027</v>
      </c>
    </row>
    <row r="430" spans="1:5" x14ac:dyDescent="0.25">
      <c r="A430" t="s">
        <v>45</v>
      </c>
      <c r="B430" s="1" t="s">
        <v>12</v>
      </c>
      <c r="C430" s="2">
        <v>28212</v>
      </c>
      <c r="D430" s="2">
        <v>6735983</v>
      </c>
      <c r="E430">
        <f t="shared" si="6"/>
        <v>0.41882528504006022</v>
      </c>
    </row>
    <row r="431" spans="1:5" x14ac:dyDescent="0.25">
      <c r="A431" t="s">
        <v>45</v>
      </c>
      <c r="B431" s="1" t="s">
        <v>13</v>
      </c>
      <c r="C431" s="2">
        <v>19829</v>
      </c>
      <c r="D431" s="2">
        <v>6347363</v>
      </c>
      <c r="E431">
        <f t="shared" si="6"/>
        <v>0.31239744756995935</v>
      </c>
    </row>
    <row r="432" spans="1:5" x14ac:dyDescent="0.25">
      <c r="A432" t="s">
        <v>45</v>
      </c>
      <c r="B432" s="1" t="s">
        <v>14</v>
      </c>
      <c r="C432" s="2">
        <v>24606</v>
      </c>
      <c r="D432" s="2">
        <v>6813793</v>
      </c>
      <c r="E432">
        <f t="shared" si="6"/>
        <v>0.3611204508267275</v>
      </c>
    </row>
    <row r="433" spans="1:5" x14ac:dyDescent="0.25">
      <c r="A433" t="s">
        <v>45</v>
      </c>
      <c r="B433" s="1" t="s">
        <v>15</v>
      </c>
      <c r="C433" s="2">
        <v>31173</v>
      </c>
      <c r="D433" s="2">
        <v>7428576</v>
      </c>
      <c r="E433">
        <f t="shared" si="6"/>
        <v>0.41963628022382754</v>
      </c>
    </row>
    <row r="434" spans="1:5" x14ac:dyDescent="0.25">
      <c r="A434" t="s">
        <v>45</v>
      </c>
      <c r="B434" s="1" t="s">
        <v>16</v>
      </c>
      <c r="C434" s="2">
        <v>33001</v>
      </c>
      <c r="D434" s="2">
        <v>7703757</v>
      </c>
      <c r="E434">
        <f t="shared" si="6"/>
        <v>0.42837540176825412</v>
      </c>
    </row>
    <row r="435" spans="1:5" x14ac:dyDescent="0.25">
      <c r="A435" t="s">
        <v>45</v>
      </c>
      <c r="B435" s="1" t="s">
        <v>17</v>
      </c>
      <c r="C435" s="2">
        <v>36280</v>
      </c>
      <c r="D435" s="2">
        <v>8733158</v>
      </c>
      <c r="E435">
        <f t="shared" si="6"/>
        <v>0.41542818760407174</v>
      </c>
    </row>
    <row r="436" spans="1:5" x14ac:dyDescent="0.25">
      <c r="A436" t="s">
        <v>45</v>
      </c>
      <c r="B436" s="1" t="s">
        <v>18</v>
      </c>
      <c r="C436" s="2">
        <v>52593</v>
      </c>
      <c r="D436" s="2">
        <v>9121953</v>
      </c>
      <c r="E436">
        <f t="shared" si="6"/>
        <v>0.57655416553889283</v>
      </c>
    </row>
    <row r="437" spans="1:5" x14ac:dyDescent="0.25">
      <c r="A437" t="s">
        <v>45</v>
      </c>
      <c r="B437" s="1" t="s">
        <v>19</v>
      </c>
      <c r="C437" s="2">
        <v>58565</v>
      </c>
      <c r="D437" s="2">
        <v>9812089</v>
      </c>
      <c r="E437">
        <f t="shared" si="6"/>
        <v>0.59686576426283944</v>
      </c>
    </row>
    <row r="438" spans="1:5" x14ac:dyDescent="0.25">
      <c r="A438" t="s">
        <v>45</v>
      </c>
      <c r="B438" s="1" t="s">
        <v>20</v>
      </c>
      <c r="C438" s="2">
        <v>69281</v>
      </c>
      <c r="D438" s="2">
        <v>10287872</v>
      </c>
      <c r="E438">
        <f t="shared" si="6"/>
        <v>0.67342400838579641</v>
      </c>
    </row>
    <row r="439" spans="1:5" x14ac:dyDescent="0.25">
      <c r="A439" t="s">
        <v>45</v>
      </c>
      <c r="B439" s="1" t="s">
        <v>21</v>
      </c>
      <c r="C439" s="2">
        <v>68365</v>
      </c>
      <c r="D439" s="2">
        <v>11123180</v>
      </c>
      <c r="E439">
        <f t="shared" si="6"/>
        <v>0.61461740257732056</v>
      </c>
    </row>
    <row r="440" spans="1:5" x14ac:dyDescent="0.25">
      <c r="A440" t="s">
        <v>45</v>
      </c>
      <c r="B440" s="1" t="s">
        <v>22</v>
      </c>
      <c r="C440" s="2">
        <v>70873</v>
      </c>
      <c r="D440" s="2">
        <v>12009465</v>
      </c>
      <c r="E440">
        <f t="shared" si="6"/>
        <v>0.59014285815396439</v>
      </c>
    </row>
    <row r="441" spans="1:5" x14ac:dyDescent="0.25">
      <c r="A441" t="s">
        <v>45</v>
      </c>
      <c r="B441" s="1" t="s">
        <v>23</v>
      </c>
      <c r="C441" s="2">
        <v>79534</v>
      </c>
      <c r="D441" s="2">
        <v>12409218</v>
      </c>
      <c r="E441">
        <f t="shared" si="6"/>
        <v>0.6409267691163133</v>
      </c>
    </row>
    <row r="442" spans="1:5" x14ac:dyDescent="0.25">
      <c r="A442" t="s">
        <v>46</v>
      </c>
      <c r="B442" s="1" t="s">
        <v>4</v>
      </c>
      <c r="C442" s="2">
        <v>4687</v>
      </c>
      <c r="D442" s="2">
        <v>1314061</v>
      </c>
      <c r="E442">
        <f t="shared" si="6"/>
        <v>0.35668054983748854</v>
      </c>
    </row>
    <row r="443" spans="1:5" x14ac:dyDescent="0.25">
      <c r="A443" t="s">
        <v>46</v>
      </c>
      <c r="B443" s="1" t="s">
        <v>5</v>
      </c>
      <c r="C443" s="2">
        <v>4703</v>
      </c>
      <c r="D443" s="2">
        <v>1352306</v>
      </c>
      <c r="E443">
        <f t="shared" si="6"/>
        <v>0.3477763168986901</v>
      </c>
    </row>
    <row r="444" spans="1:5" x14ac:dyDescent="0.25">
      <c r="A444" t="s">
        <v>46</v>
      </c>
      <c r="B444" s="1" t="s">
        <v>6</v>
      </c>
      <c r="C444" s="2">
        <v>3772</v>
      </c>
      <c r="D444" s="2">
        <v>1240994</v>
      </c>
      <c r="E444">
        <f t="shared" si="6"/>
        <v>0.30394989822674406</v>
      </c>
    </row>
    <row r="445" spans="1:5" x14ac:dyDescent="0.25">
      <c r="A445" t="s">
        <v>46</v>
      </c>
      <c r="B445" s="1" t="s">
        <v>7</v>
      </c>
      <c r="C445" s="2">
        <v>8015</v>
      </c>
      <c r="D445" s="2">
        <v>1246702</v>
      </c>
      <c r="E445">
        <f t="shared" si="6"/>
        <v>0.64289621737993519</v>
      </c>
    </row>
    <row r="446" spans="1:5" x14ac:dyDescent="0.25">
      <c r="A446" t="s">
        <v>46</v>
      </c>
      <c r="B446" s="1" t="s">
        <v>8</v>
      </c>
      <c r="C446" s="2">
        <v>7169</v>
      </c>
      <c r="D446" s="2">
        <v>1302437</v>
      </c>
      <c r="E446">
        <f t="shared" si="6"/>
        <v>0.55042969448810197</v>
      </c>
    </row>
    <row r="447" spans="1:5" x14ac:dyDescent="0.25">
      <c r="A447" t="s">
        <v>46</v>
      </c>
      <c r="B447" s="1" t="s">
        <v>9</v>
      </c>
      <c r="C447" s="2">
        <v>8200</v>
      </c>
      <c r="D447" s="2">
        <v>1439109</v>
      </c>
      <c r="E447">
        <f t="shared" si="6"/>
        <v>0.56979700634211861</v>
      </c>
    </row>
    <row r="448" spans="1:5" x14ac:dyDescent="0.25">
      <c r="A448" t="s">
        <v>46</v>
      </c>
      <c r="B448" s="1" t="s">
        <v>10</v>
      </c>
      <c r="C448" s="2">
        <v>20401</v>
      </c>
      <c r="D448" s="2">
        <v>3311188</v>
      </c>
      <c r="E448">
        <f t="shared" si="6"/>
        <v>0.61612327660042254</v>
      </c>
    </row>
    <row r="449" spans="1:5" x14ac:dyDescent="0.25">
      <c r="A449" t="s">
        <v>46</v>
      </c>
      <c r="B449" s="1" t="s">
        <v>11</v>
      </c>
      <c r="C449" s="2">
        <v>19762</v>
      </c>
      <c r="D449" s="2">
        <v>3276730</v>
      </c>
      <c r="E449">
        <f t="shared" si="6"/>
        <v>0.60310126253917784</v>
      </c>
    </row>
    <row r="450" spans="1:5" x14ac:dyDescent="0.25">
      <c r="A450" t="s">
        <v>46</v>
      </c>
      <c r="B450" s="1" t="s">
        <v>12</v>
      </c>
      <c r="C450" s="2">
        <v>34546</v>
      </c>
      <c r="D450" s="2">
        <v>3455690</v>
      </c>
      <c r="E450">
        <f t="shared" si="6"/>
        <v>0.99968457818843703</v>
      </c>
    </row>
    <row r="451" spans="1:5" x14ac:dyDescent="0.25">
      <c r="A451" t="s">
        <v>46</v>
      </c>
      <c r="B451" s="1" t="s">
        <v>13</v>
      </c>
      <c r="C451" s="2">
        <v>35758</v>
      </c>
      <c r="D451" s="2">
        <v>3785747</v>
      </c>
      <c r="E451">
        <f t="shared" ref="E451:E481" si="7">(C451/D451)*100</f>
        <v>0.94454278112087264</v>
      </c>
    </row>
    <row r="452" spans="1:5" x14ac:dyDescent="0.25">
      <c r="A452" t="s">
        <v>46</v>
      </c>
      <c r="B452" s="1" t="s">
        <v>14</v>
      </c>
      <c r="C452" s="2">
        <v>40976</v>
      </c>
      <c r="D452" s="2">
        <v>4074205</v>
      </c>
      <c r="E452">
        <f t="shared" si="7"/>
        <v>1.0057422245566927</v>
      </c>
    </row>
    <row r="453" spans="1:5" x14ac:dyDescent="0.25">
      <c r="A453" t="s">
        <v>46</v>
      </c>
      <c r="B453" s="1" t="s">
        <v>15</v>
      </c>
      <c r="C453" s="7">
        <v>43014</v>
      </c>
      <c r="D453" s="2">
        <v>4299853</v>
      </c>
      <c r="E453">
        <f t="shared" si="7"/>
        <v>1.0003597797413075</v>
      </c>
    </row>
    <row r="454" spans="1:5" x14ac:dyDescent="0.25">
      <c r="A454" t="s">
        <v>46</v>
      </c>
      <c r="B454" s="1" t="s">
        <v>16</v>
      </c>
      <c r="C454" s="2">
        <v>53190</v>
      </c>
      <c r="D454" s="2">
        <v>4400480</v>
      </c>
      <c r="E454">
        <f t="shared" si="7"/>
        <v>1.2087317747154855</v>
      </c>
    </row>
    <row r="455" spans="1:5" x14ac:dyDescent="0.25">
      <c r="A455" t="s">
        <v>46</v>
      </c>
      <c r="B455" s="1" t="s">
        <v>17</v>
      </c>
      <c r="C455" s="2">
        <v>65360</v>
      </c>
      <c r="D455" s="2">
        <v>4986858</v>
      </c>
      <c r="E455">
        <f t="shared" si="7"/>
        <v>1.31064489905267</v>
      </c>
    </row>
    <row r="456" spans="1:5" x14ac:dyDescent="0.25">
      <c r="A456" t="s">
        <v>46</v>
      </c>
      <c r="B456" s="1" t="s">
        <v>18</v>
      </c>
      <c r="C456" s="2">
        <v>70577</v>
      </c>
      <c r="D456" s="2">
        <v>5056863</v>
      </c>
      <c r="E456">
        <f t="shared" si="7"/>
        <v>1.3956676303075641</v>
      </c>
    </row>
    <row r="457" spans="1:5" x14ac:dyDescent="0.25">
      <c r="A457" t="s">
        <v>46</v>
      </c>
      <c r="B457" s="1" t="s">
        <v>19</v>
      </c>
      <c r="C457" s="2">
        <v>86752</v>
      </c>
      <c r="D457" s="2">
        <v>5519188</v>
      </c>
      <c r="E457">
        <f t="shared" si="7"/>
        <v>1.571825420695943</v>
      </c>
    </row>
    <row r="458" spans="1:5" x14ac:dyDescent="0.25">
      <c r="A458" t="s">
        <v>46</v>
      </c>
      <c r="B458" s="1" t="s">
        <v>20</v>
      </c>
      <c r="C458" s="2">
        <v>115877</v>
      </c>
      <c r="D458" s="2">
        <v>5429210</v>
      </c>
      <c r="E458">
        <f t="shared" si="7"/>
        <v>2.1343252517401243</v>
      </c>
    </row>
    <row r="459" spans="1:5" x14ac:dyDescent="0.25">
      <c r="A459" t="s">
        <v>46</v>
      </c>
      <c r="B459" s="1" t="s">
        <v>21</v>
      </c>
      <c r="C459" s="2">
        <v>114565</v>
      </c>
      <c r="D459" s="2">
        <v>6712205</v>
      </c>
      <c r="E459">
        <f t="shared" si="7"/>
        <v>1.7068161654776635</v>
      </c>
    </row>
    <row r="460" spans="1:5" x14ac:dyDescent="0.25">
      <c r="A460" t="s">
        <v>46</v>
      </c>
      <c r="B460" s="1" t="s">
        <v>22</v>
      </c>
      <c r="C460" s="2">
        <v>126877</v>
      </c>
      <c r="D460" s="2">
        <v>7465262</v>
      </c>
      <c r="E460">
        <f t="shared" si="7"/>
        <v>1.6995652664300329</v>
      </c>
    </row>
    <row r="461" spans="1:5" x14ac:dyDescent="0.25">
      <c r="A461" t="s">
        <v>46</v>
      </c>
      <c r="B461" s="1" t="s">
        <v>23</v>
      </c>
      <c r="C461" s="8">
        <v>134469</v>
      </c>
      <c r="D461" s="2">
        <v>8064123</v>
      </c>
      <c r="E461">
        <f t="shared" si="7"/>
        <v>1.6674968871382541</v>
      </c>
    </row>
    <row r="462" spans="1:5" x14ac:dyDescent="0.25">
      <c r="A462" t="s">
        <v>47</v>
      </c>
      <c r="B462" s="1" t="s">
        <v>4</v>
      </c>
      <c r="C462" s="2">
        <v>21604</v>
      </c>
      <c r="D462" s="2">
        <v>470655</v>
      </c>
      <c r="E462">
        <f t="shared" si="7"/>
        <v>4.5901987655501371</v>
      </c>
    </row>
    <row r="463" spans="1:5" x14ac:dyDescent="0.25">
      <c r="A463" t="s">
        <v>47</v>
      </c>
      <c r="B463" s="1" t="s">
        <v>5</v>
      </c>
      <c r="C463" s="2">
        <v>20796</v>
      </c>
      <c r="D463" s="2">
        <v>462405</v>
      </c>
      <c r="E463">
        <f t="shared" si="7"/>
        <v>4.4973562137087617</v>
      </c>
    </row>
    <row r="464" spans="1:5" x14ac:dyDescent="0.25">
      <c r="A464" t="s">
        <v>47</v>
      </c>
      <c r="B464" s="1" t="s">
        <v>6</v>
      </c>
      <c r="C464" s="2">
        <v>20128</v>
      </c>
      <c r="D464" s="2">
        <v>428049</v>
      </c>
      <c r="E464">
        <f t="shared" si="7"/>
        <v>4.7022653948496549</v>
      </c>
    </row>
    <row r="465" spans="1:5" x14ac:dyDescent="0.25">
      <c r="A465" t="s">
        <v>47</v>
      </c>
      <c r="B465" s="1" t="s">
        <v>7</v>
      </c>
      <c r="C465" s="2">
        <v>9094</v>
      </c>
      <c r="D465" s="2">
        <v>392855</v>
      </c>
      <c r="E465">
        <f t="shared" si="7"/>
        <v>2.3148489900854003</v>
      </c>
    </row>
    <row r="466" spans="1:5" x14ac:dyDescent="0.25">
      <c r="A466" t="s">
        <v>47</v>
      </c>
      <c r="B466" s="1" t="s">
        <v>8</v>
      </c>
      <c r="C466" s="2">
        <v>9526</v>
      </c>
      <c r="D466" s="2">
        <v>365320</v>
      </c>
      <c r="E466">
        <f t="shared" si="7"/>
        <v>2.6075769188656519</v>
      </c>
    </row>
    <row r="467" spans="1:5" x14ac:dyDescent="0.25">
      <c r="A467" t="s">
        <v>47</v>
      </c>
      <c r="B467" s="1" t="s">
        <v>9</v>
      </c>
      <c r="C467" s="2">
        <v>11734</v>
      </c>
      <c r="D467" s="8">
        <v>375055</v>
      </c>
      <c r="E467">
        <f t="shared" si="7"/>
        <v>3.1286078041887189</v>
      </c>
    </row>
    <row r="468" spans="1:5" x14ac:dyDescent="0.25">
      <c r="A468" t="s">
        <v>47</v>
      </c>
      <c r="B468" s="1" t="s">
        <v>10</v>
      </c>
      <c r="C468" s="2">
        <v>14031</v>
      </c>
      <c r="D468" s="2">
        <v>363171</v>
      </c>
      <c r="E468">
        <f t="shared" si="7"/>
        <v>3.863469274804431</v>
      </c>
    </row>
    <row r="469" spans="1:5" x14ac:dyDescent="0.25">
      <c r="A469" t="s">
        <v>47</v>
      </c>
      <c r="B469" s="1" t="s">
        <v>11</v>
      </c>
      <c r="C469" s="2">
        <v>33124</v>
      </c>
      <c r="D469" s="2">
        <v>284795</v>
      </c>
      <c r="E469">
        <f t="shared" si="7"/>
        <v>11.630822170333047</v>
      </c>
    </row>
    <row r="470" spans="1:5" x14ac:dyDescent="0.25">
      <c r="A470" t="s">
        <v>47</v>
      </c>
      <c r="B470" s="1" t="s">
        <v>12</v>
      </c>
      <c r="C470" s="2">
        <v>37537</v>
      </c>
      <c r="D470" s="2">
        <v>309912</v>
      </c>
      <c r="E470">
        <f t="shared" si="7"/>
        <v>12.112147964583494</v>
      </c>
    </row>
    <row r="471" spans="1:5" x14ac:dyDescent="0.25">
      <c r="A471" t="s">
        <v>47</v>
      </c>
      <c r="B471" s="1" t="s">
        <v>13</v>
      </c>
      <c r="C471" s="2">
        <v>18359</v>
      </c>
      <c r="D471" s="2">
        <v>273020</v>
      </c>
      <c r="E471">
        <f t="shared" si="7"/>
        <v>6.724415793714746</v>
      </c>
    </row>
    <row r="472" spans="1:5" x14ac:dyDescent="0.25">
      <c r="A472" t="s">
        <v>47</v>
      </c>
      <c r="B472" s="1" t="s">
        <v>14</v>
      </c>
      <c r="C472" s="2">
        <v>43451</v>
      </c>
      <c r="D472" s="2">
        <v>618898</v>
      </c>
      <c r="E472">
        <f t="shared" si="7"/>
        <v>7.0207045425902166</v>
      </c>
    </row>
    <row r="473" spans="1:5" x14ac:dyDescent="0.25">
      <c r="A473" t="s">
        <v>47</v>
      </c>
      <c r="B473" s="1" t="s">
        <v>15</v>
      </c>
      <c r="C473" s="2">
        <v>81753</v>
      </c>
      <c r="D473" s="2">
        <v>907956</v>
      </c>
      <c r="E473">
        <f t="shared" si="7"/>
        <v>9.0040706818392078</v>
      </c>
    </row>
    <row r="474" spans="1:5" x14ac:dyDescent="0.25">
      <c r="A474" t="s">
        <v>47</v>
      </c>
      <c r="B474" s="1" t="s">
        <v>16</v>
      </c>
      <c r="C474" s="2">
        <v>125734</v>
      </c>
      <c r="D474" s="2">
        <v>1292028</v>
      </c>
      <c r="E474">
        <f t="shared" si="7"/>
        <v>9.7315228462541068</v>
      </c>
    </row>
    <row r="475" spans="1:5" x14ac:dyDescent="0.25">
      <c r="A475" t="s">
        <v>47</v>
      </c>
      <c r="B475" s="1" t="s">
        <v>17</v>
      </c>
      <c r="C475" s="2">
        <v>120400</v>
      </c>
      <c r="D475" s="2">
        <v>2171114</v>
      </c>
      <c r="E475">
        <f t="shared" si="7"/>
        <v>5.5455402157602043</v>
      </c>
    </row>
    <row r="476" spans="1:5" x14ac:dyDescent="0.25">
      <c r="A476" t="s">
        <v>47</v>
      </c>
      <c r="B476" s="1" t="s">
        <v>18</v>
      </c>
      <c r="C476" s="2">
        <v>164965</v>
      </c>
      <c r="D476" s="2">
        <v>3727237</v>
      </c>
      <c r="E476">
        <f t="shared" si="7"/>
        <v>4.4259326680863058</v>
      </c>
    </row>
    <row r="477" spans="1:5" x14ac:dyDescent="0.25">
      <c r="A477" t="s">
        <v>47</v>
      </c>
      <c r="B477" s="1" t="s">
        <v>19</v>
      </c>
      <c r="C477" s="2">
        <v>127171</v>
      </c>
      <c r="D477" s="2">
        <v>3321101</v>
      </c>
      <c r="E477">
        <f t="shared" si="7"/>
        <v>3.8291819489982384</v>
      </c>
    </row>
    <row r="478" spans="1:5" x14ac:dyDescent="0.25">
      <c r="A478" t="s">
        <v>47</v>
      </c>
      <c r="B478" s="1" t="s">
        <v>20</v>
      </c>
      <c r="C478" s="2">
        <v>174269</v>
      </c>
      <c r="D478" s="2">
        <v>6144616</v>
      </c>
      <c r="E478">
        <f t="shared" si="7"/>
        <v>2.8361251541186627</v>
      </c>
    </row>
    <row r="479" spans="1:5" x14ac:dyDescent="0.25">
      <c r="A479" t="s">
        <v>47</v>
      </c>
      <c r="B479" s="1" t="s">
        <v>21</v>
      </c>
      <c r="C479" s="2">
        <v>212789</v>
      </c>
      <c r="D479" s="2">
        <v>7257028</v>
      </c>
      <c r="E479">
        <f t="shared" si="7"/>
        <v>2.9321782966801284</v>
      </c>
    </row>
    <row r="480" spans="1:5" x14ac:dyDescent="0.25">
      <c r="A480" t="s">
        <v>47</v>
      </c>
      <c r="B480" s="1" t="s">
        <v>22</v>
      </c>
      <c r="C480" s="2">
        <v>213666</v>
      </c>
      <c r="D480" s="2">
        <v>8156070</v>
      </c>
      <c r="E480">
        <f t="shared" si="7"/>
        <v>2.6197175845719811</v>
      </c>
    </row>
    <row r="481" spans="1:5" x14ac:dyDescent="0.25">
      <c r="A481" t="s">
        <v>47</v>
      </c>
      <c r="B481" s="1" t="s">
        <v>23</v>
      </c>
      <c r="C481" s="8">
        <v>270170</v>
      </c>
      <c r="D481" s="2">
        <v>9427987</v>
      </c>
      <c r="E481">
        <f t="shared" si="7"/>
        <v>2.8656170187761183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691D-D9D9-42CD-994E-673F7C5468C1}">
  <dimension ref="A1:E505"/>
  <sheetViews>
    <sheetView workbookViewId="0">
      <selection activeCell="C3" sqref="C3"/>
    </sheetView>
  </sheetViews>
  <sheetFormatPr defaultRowHeight="15" x14ac:dyDescent="0.25"/>
  <cols>
    <col min="3" max="3" width="15.5703125" customWidth="1"/>
    <col min="4" max="4" width="28.5703125" customWidth="1"/>
    <col min="5" max="5" width="1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48</v>
      </c>
      <c r="E1" s="3" t="s">
        <v>49</v>
      </c>
    </row>
    <row r="2" spans="1:5" x14ac:dyDescent="0.25">
      <c r="A2" t="s">
        <v>24</v>
      </c>
      <c r="B2" s="1" t="s">
        <v>3</v>
      </c>
      <c r="C2" s="2">
        <v>708011042</v>
      </c>
    </row>
    <row r="3" spans="1:5" x14ac:dyDescent="0.25">
      <c r="A3" t="s">
        <v>24</v>
      </c>
      <c r="B3" s="1" t="s">
        <v>4</v>
      </c>
      <c r="C3" s="2">
        <v>724495578</v>
      </c>
      <c r="D3">
        <f>(C3-C2)/C2</f>
        <v>2.3282879817007149E-2</v>
      </c>
      <c r="E3">
        <f>D3*100</f>
        <v>2.3282879817007149</v>
      </c>
    </row>
    <row r="4" spans="1:5" x14ac:dyDescent="0.25">
      <c r="A4" t="s">
        <v>24</v>
      </c>
      <c r="B4" s="1" t="s">
        <v>5</v>
      </c>
      <c r="C4" s="2">
        <v>758966857</v>
      </c>
      <c r="D4">
        <f t="shared" ref="D4:D67" si="0">(C4-C3)/C3</f>
        <v>4.7579695510577703E-2</v>
      </c>
      <c r="E4">
        <f t="shared" ref="E4:E67" si="1">D4*100</f>
        <v>4.7579695510577702</v>
      </c>
    </row>
    <row r="5" spans="1:5" x14ac:dyDescent="0.25">
      <c r="A5" t="s">
        <v>24</v>
      </c>
      <c r="B5" s="1" t="s">
        <v>6</v>
      </c>
      <c r="C5" s="2">
        <v>772744690</v>
      </c>
      <c r="D5">
        <f t="shared" si="0"/>
        <v>1.8153405346921492E-2</v>
      </c>
      <c r="E5">
        <f t="shared" si="1"/>
        <v>1.8153405346921492</v>
      </c>
    </row>
    <row r="6" spans="1:5" x14ac:dyDescent="0.25">
      <c r="A6" t="s">
        <v>24</v>
      </c>
      <c r="B6" s="1" t="s">
        <v>7</v>
      </c>
      <c r="C6" s="2">
        <v>804356813</v>
      </c>
      <c r="D6">
        <f t="shared" si="0"/>
        <v>4.0908884149045401E-2</v>
      </c>
      <c r="E6">
        <f t="shared" si="1"/>
        <v>4.0908884149045397</v>
      </c>
    </row>
    <row r="7" spans="1:5" x14ac:dyDescent="0.25">
      <c r="A7" t="s">
        <v>24</v>
      </c>
      <c r="B7" s="1" t="s">
        <v>8</v>
      </c>
      <c r="C7" s="2">
        <v>814573961</v>
      </c>
      <c r="D7">
        <f t="shared" si="0"/>
        <v>1.27022582949142E-2</v>
      </c>
      <c r="E7">
        <f t="shared" si="1"/>
        <v>1.2702258294914199</v>
      </c>
    </row>
    <row r="8" spans="1:5" x14ac:dyDescent="0.25">
      <c r="A8" t="s">
        <v>24</v>
      </c>
      <c r="B8" s="1" t="s">
        <v>9</v>
      </c>
      <c r="C8" s="2">
        <v>844555967</v>
      </c>
      <c r="D8">
        <f t="shared" si="0"/>
        <v>3.6806978169536653E-2</v>
      </c>
      <c r="E8">
        <f t="shared" si="1"/>
        <v>3.680697816953665</v>
      </c>
    </row>
    <row r="9" spans="1:5" x14ac:dyDescent="0.25">
      <c r="A9" t="s">
        <v>24</v>
      </c>
      <c r="B9" s="1" t="s">
        <v>10</v>
      </c>
      <c r="C9" s="2">
        <v>857284886</v>
      </c>
      <c r="D9">
        <f t="shared" si="0"/>
        <v>1.5071729402629394E-2</v>
      </c>
      <c r="E9">
        <f t="shared" si="1"/>
        <v>1.5071729402629395</v>
      </c>
    </row>
    <row r="10" spans="1:5" x14ac:dyDescent="0.25">
      <c r="A10" t="s">
        <v>24</v>
      </c>
      <c r="B10" s="1" t="s">
        <v>11</v>
      </c>
      <c r="C10" s="2">
        <v>859570854</v>
      </c>
      <c r="D10">
        <f t="shared" si="0"/>
        <v>2.6665208232774093E-3</v>
      </c>
      <c r="E10">
        <f t="shared" si="1"/>
        <v>0.2666520823277409</v>
      </c>
    </row>
    <row r="11" spans="1:5" x14ac:dyDescent="0.25">
      <c r="A11" t="s">
        <v>24</v>
      </c>
      <c r="B11" s="1" t="s">
        <v>12</v>
      </c>
      <c r="C11" s="2">
        <v>884269043</v>
      </c>
      <c r="D11">
        <f t="shared" si="0"/>
        <v>2.8733162467139677E-2</v>
      </c>
      <c r="E11">
        <f t="shared" si="1"/>
        <v>2.8733162467139679</v>
      </c>
    </row>
    <row r="12" spans="1:5" x14ac:dyDescent="0.25">
      <c r="A12" t="s">
        <v>24</v>
      </c>
      <c r="B12" s="1" t="s">
        <v>13</v>
      </c>
      <c r="C12" s="2">
        <v>869055785</v>
      </c>
      <c r="D12">
        <f t="shared" si="0"/>
        <v>-1.7204331781634021E-2</v>
      </c>
      <c r="E12">
        <f t="shared" si="1"/>
        <v>-1.7204331781634021</v>
      </c>
    </row>
    <row r="13" spans="1:5" x14ac:dyDescent="0.25">
      <c r="A13" t="s">
        <v>24</v>
      </c>
      <c r="B13" s="1" t="s">
        <v>14</v>
      </c>
      <c r="C13" s="2">
        <v>877560684</v>
      </c>
      <c r="D13">
        <f t="shared" si="0"/>
        <v>9.7863671662918629E-3</v>
      </c>
      <c r="E13">
        <f t="shared" si="1"/>
        <v>0.97863671662918628</v>
      </c>
    </row>
    <row r="14" spans="1:5" x14ac:dyDescent="0.25">
      <c r="A14" t="s">
        <v>24</v>
      </c>
      <c r="B14" s="1" t="s">
        <v>15</v>
      </c>
      <c r="C14" s="2">
        <v>880685363</v>
      </c>
      <c r="D14">
        <f t="shared" si="0"/>
        <v>3.5606415111459119E-3</v>
      </c>
      <c r="E14">
        <f t="shared" si="1"/>
        <v>0.35606415111459117</v>
      </c>
    </row>
    <row r="15" spans="1:5" x14ac:dyDescent="0.25">
      <c r="A15" t="s">
        <v>24</v>
      </c>
      <c r="B15" s="1" t="s">
        <v>16</v>
      </c>
      <c r="C15" s="2">
        <v>896526155</v>
      </c>
      <c r="D15">
        <f t="shared" si="0"/>
        <v>1.7986891420608293E-2</v>
      </c>
      <c r="E15">
        <f t="shared" si="1"/>
        <v>1.7986891420608293</v>
      </c>
    </row>
    <row r="16" spans="1:5" x14ac:dyDescent="0.25">
      <c r="A16" t="s">
        <v>24</v>
      </c>
      <c r="B16" s="1" t="s">
        <v>17</v>
      </c>
      <c r="C16" s="2">
        <v>912082842</v>
      </c>
      <c r="D16">
        <f t="shared" si="0"/>
        <v>1.7352184220436939E-2</v>
      </c>
      <c r="E16">
        <f t="shared" si="1"/>
        <v>1.7352184220436939</v>
      </c>
    </row>
    <row r="17" spans="1:5" x14ac:dyDescent="0.25">
      <c r="A17" t="s">
        <v>24</v>
      </c>
      <c r="B17" s="1" t="s">
        <v>18</v>
      </c>
      <c r="C17" s="2">
        <v>931051034</v>
      </c>
      <c r="D17">
        <f t="shared" si="0"/>
        <v>2.0796567073235218E-2</v>
      </c>
      <c r="E17">
        <f t="shared" si="1"/>
        <v>2.0796567073235219</v>
      </c>
    </row>
    <row r="18" spans="1:5" x14ac:dyDescent="0.25">
      <c r="A18" t="s">
        <v>24</v>
      </c>
      <c r="B18" s="1" t="s">
        <v>19</v>
      </c>
      <c r="C18" s="2">
        <v>943702693</v>
      </c>
      <c r="D18">
        <f t="shared" si="0"/>
        <v>1.3588577358263264E-2</v>
      </c>
      <c r="E18">
        <f t="shared" si="1"/>
        <v>1.3588577358263263</v>
      </c>
    </row>
    <row r="19" spans="1:5" x14ac:dyDescent="0.25">
      <c r="A19" t="s">
        <v>24</v>
      </c>
      <c r="B19" s="1" t="s">
        <v>20</v>
      </c>
      <c r="C19" s="2">
        <v>974801659</v>
      </c>
      <c r="D19">
        <f t="shared" si="0"/>
        <v>3.2954198637642332E-2</v>
      </c>
      <c r="E19">
        <f t="shared" si="1"/>
        <v>3.2954198637642333</v>
      </c>
    </row>
    <row r="20" spans="1:5" x14ac:dyDescent="0.25">
      <c r="A20" t="s">
        <v>24</v>
      </c>
      <c r="B20" s="1" t="s">
        <v>21</v>
      </c>
      <c r="C20" s="2">
        <v>1003615576</v>
      </c>
      <c r="D20">
        <f t="shared" si="0"/>
        <v>2.9558748422277768E-2</v>
      </c>
      <c r="E20">
        <f t="shared" si="1"/>
        <v>2.955874842227777</v>
      </c>
    </row>
    <row r="21" spans="1:5" x14ac:dyDescent="0.25">
      <c r="A21" t="s">
        <v>24</v>
      </c>
      <c r="B21" s="1" t="s">
        <v>22</v>
      </c>
      <c r="C21" s="2">
        <v>1007118308</v>
      </c>
      <c r="D21">
        <f t="shared" si="0"/>
        <v>3.4901132303670028E-3</v>
      </c>
      <c r="E21">
        <f t="shared" si="1"/>
        <v>0.34901132303670029</v>
      </c>
    </row>
    <row r="22" spans="1:5" x14ac:dyDescent="0.25">
      <c r="A22" t="s">
        <v>24</v>
      </c>
      <c r="B22" s="1" t="s">
        <v>23</v>
      </c>
      <c r="C22" s="2">
        <v>1029802549</v>
      </c>
      <c r="D22">
        <f t="shared" si="0"/>
        <v>2.2523908879233681E-2</v>
      </c>
      <c r="E22">
        <f t="shared" si="1"/>
        <v>2.2523908879233683</v>
      </c>
    </row>
    <row r="23" spans="1:5" x14ac:dyDescent="0.25">
      <c r="A23" t="s">
        <v>25</v>
      </c>
      <c r="B23" s="1" t="s">
        <v>3</v>
      </c>
      <c r="C23" s="2">
        <v>644257408</v>
      </c>
      <c r="D23">
        <f t="shared" si="0"/>
        <v>-0.37438744094621579</v>
      </c>
      <c r="E23">
        <f t="shared" si="1"/>
        <v>-37.438744094621576</v>
      </c>
    </row>
    <row r="24" spans="1:5" x14ac:dyDescent="0.25">
      <c r="A24" t="s">
        <v>25</v>
      </c>
      <c r="B24" s="1" t="s">
        <v>4</v>
      </c>
      <c r="C24" s="2">
        <v>614632699</v>
      </c>
      <c r="D24">
        <f t="shared" si="0"/>
        <v>-4.598272155219052E-2</v>
      </c>
      <c r="E24">
        <f t="shared" si="1"/>
        <v>-4.5982721552190515</v>
      </c>
    </row>
    <row r="25" spans="1:5" x14ac:dyDescent="0.25">
      <c r="A25" t="s">
        <v>25</v>
      </c>
      <c r="B25" s="1" t="s">
        <v>5</v>
      </c>
      <c r="C25" s="2">
        <v>671171582</v>
      </c>
      <c r="D25">
        <f t="shared" si="0"/>
        <v>9.1988081812093767E-2</v>
      </c>
      <c r="E25">
        <f t="shared" si="1"/>
        <v>9.198808181209376</v>
      </c>
    </row>
    <row r="26" spans="1:5" x14ac:dyDescent="0.25">
      <c r="A26" t="s">
        <v>25</v>
      </c>
      <c r="B26" s="1" t="s">
        <v>6</v>
      </c>
      <c r="C26" s="2">
        <v>684657415</v>
      </c>
      <c r="D26">
        <f t="shared" si="0"/>
        <v>2.0092973781479322E-2</v>
      </c>
      <c r="E26">
        <f t="shared" si="1"/>
        <v>2.0092973781479322</v>
      </c>
    </row>
    <row r="27" spans="1:5" x14ac:dyDescent="0.25">
      <c r="A27" t="s">
        <v>25</v>
      </c>
      <c r="B27" s="1" t="s">
        <v>7</v>
      </c>
      <c r="C27" s="2">
        <v>718966846</v>
      </c>
      <c r="D27">
        <f t="shared" si="0"/>
        <v>5.0111822713553758E-2</v>
      </c>
      <c r="E27">
        <f t="shared" si="1"/>
        <v>5.0111822713553762</v>
      </c>
    </row>
    <row r="28" spans="1:5" x14ac:dyDescent="0.25">
      <c r="A28" t="s">
        <v>25</v>
      </c>
      <c r="B28" s="1" t="s">
        <v>8</v>
      </c>
      <c r="C28" s="2">
        <v>684530093</v>
      </c>
      <c r="D28">
        <f t="shared" si="0"/>
        <v>-4.7897553540319993E-2</v>
      </c>
      <c r="E28">
        <f t="shared" si="1"/>
        <v>-4.7897553540319997</v>
      </c>
    </row>
    <row r="29" spans="1:5" x14ac:dyDescent="0.25">
      <c r="A29" t="s">
        <v>25</v>
      </c>
      <c r="B29" s="1" t="s">
        <v>9</v>
      </c>
      <c r="C29" s="2">
        <v>725293118</v>
      </c>
      <c r="D29">
        <f t="shared" si="0"/>
        <v>5.9548915989000938E-2</v>
      </c>
      <c r="E29">
        <f t="shared" si="1"/>
        <v>5.9548915989000939</v>
      </c>
    </row>
    <row r="30" spans="1:5" x14ac:dyDescent="0.25">
      <c r="A30" t="s">
        <v>25</v>
      </c>
      <c r="B30" s="1" t="s">
        <v>10</v>
      </c>
      <c r="C30" s="2">
        <v>728122173</v>
      </c>
      <c r="D30">
        <f t="shared" si="0"/>
        <v>3.9005678253243815E-3</v>
      </c>
      <c r="E30">
        <f t="shared" si="1"/>
        <v>0.39005678253243814</v>
      </c>
    </row>
    <row r="31" spans="1:5" x14ac:dyDescent="0.25">
      <c r="A31" t="s">
        <v>25</v>
      </c>
      <c r="B31" s="1" t="s">
        <v>11</v>
      </c>
      <c r="C31" s="2">
        <v>792351117</v>
      </c>
      <c r="D31">
        <f t="shared" si="0"/>
        <v>8.8211767724865039E-2</v>
      </c>
      <c r="E31">
        <f t="shared" si="1"/>
        <v>8.8211767724865044</v>
      </c>
    </row>
    <row r="32" spans="1:5" x14ac:dyDescent="0.25">
      <c r="A32" t="s">
        <v>25</v>
      </c>
      <c r="B32" s="1" t="s">
        <v>12</v>
      </c>
      <c r="C32" s="2">
        <v>786108510</v>
      </c>
      <c r="D32">
        <f t="shared" si="0"/>
        <v>-7.8785867351784146E-3</v>
      </c>
      <c r="E32">
        <f t="shared" si="1"/>
        <v>-0.78785867351784145</v>
      </c>
    </row>
    <row r="33" spans="1:5" x14ac:dyDescent="0.25">
      <c r="A33" t="s">
        <v>25</v>
      </c>
      <c r="B33" s="1" t="s">
        <v>13</v>
      </c>
      <c r="C33" s="2">
        <v>754846865</v>
      </c>
      <c r="D33">
        <f t="shared" si="0"/>
        <v>-3.976759518860825E-2</v>
      </c>
      <c r="E33">
        <f t="shared" si="1"/>
        <v>-3.9767595188608249</v>
      </c>
    </row>
    <row r="34" spans="1:5" x14ac:dyDescent="0.25">
      <c r="A34" t="s">
        <v>25</v>
      </c>
      <c r="B34" s="1" t="s">
        <v>14</v>
      </c>
      <c r="C34" s="2">
        <v>751156414</v>
      </c>
      <c r="D34">
        <f t="shared" si="0"/>
        <v>-4.8890061959785715E-3</v>
      </c>
      <c r="E34">
        <f t="shared" si="1"/>
        <v>-0.48890061959785713</v>
      </c>
    </row>
    <row r="35" spans="1:5" x14ac:dyDescent="0.25">
      <c r="A35" t="s">
        <v>25</v>
      </c>
      <c r="B35" s="1" t="s">
        <v>15</v>
      </c>
      <c r="C35" s="2">
        <v>763603416</v>
      </c>
      <c r="D35">
        <f t="shared" si="0"/>
        <v>1.6570452928329784E-2</v>
      </c>
      <c r="E35">
        <f t="shared" si="1"/>
        <v>1.6570452928329784</v>
      </c>
    </row>
    <row r="36" spans="1:5" x14ac:dyDescent="0.25">
      <c r="A36" t="s">
        <v>25</v>
      </c>
      <c r="B36" s="1" t="s">
        <v>16</v>
      </c>
      <c r="C36" s="2">
        <v>778954674</v>
      </c>
      <c r="D36">
        <f t="shared" si="0"/>
        <v>2.010370524586548E-2</v>
      </c>
      <c r="E36">
        <f t="shared" si="1"/>
        <v>2.010370524586548</v>
      </c>
    </row>
    <row r="37" spans="1:5" x14ac:dyDescent="0.25">
      <c r="A37" t="s">
        <v>25</v>
      </c>
      <c r="B37" s="1" t="s">
        <v>17</v>
      </c>
      <c r="C37" s="2">
        <v>805204153</v>
      </c>
      <c r="D37">
        <f t="shared" si="0"/>
        <v>3.3698339423533646E-2</v>
      </c>
      <c r="E37">
        <f t="shared" si="1"/>
        <v>3.3698339423533645</v>
      </c>
    </row>
    <row r="38" spans="1:5" x14ac:dyDescent="0.25">
      <c r="A38" t="s">
        <v>25</v>
      </c>
      <c r="B38" s="1" t="s">
        <v>18</v>
      </c>
      <c r="C38" s="2">
        <v>808863845</v>
      </c>
      <c r="D38">
        <f t="shared" si="0"/>
        <v>4.5450485896835653E-3</v>
      </c>
      <c r="E38">
        <f t="shared" si="1"/>
        <v>0.45450485896835652</v>
      </c>
    </row>
    <row r="39" spans="1:5" x14ac:dyDescent="0.25">
      <c r="A39" t="s">
        <v>25</v>
      </c>
      <c r="B39" s="1" t="s">
        <v>19</v>
      </c>
      <c r="C39" s="2">
        <v>828113863</v>
      </c>
      <c r="D39">
        <f t="shared" si="0"/>
        <v>2.3798836008055223E-2</v>
      </c>
      <c r="E39">
        <f t="shared" si="1"/>
        <v>2.3798836008055222</v>
      </c>
    </row>
    <row r="40" spans="1:5" x14ac:dyDescent="0.25">
      <c r="A40" t="s">
        <v>25</v>
      </c>
      <c r="B40" s="1" t="s">
        <v>20</v>
      </c>
      <c r="C40" s="2">
        <v>842354021</v>
      </c>
      <c r="D40">
        <f t="shared" si="0"/>
        <v>1.719589374873199E-2</v>
      </c>
      <c r="E40">
        <f t="shared" si="1"/>
        <v>1.719589374873199</v>
      </c>
    </row>
    <row r="41" spans="1:5" x14ac:dyDescent="0.25">
      <c r="A41" t="s">
        <v>25</v>
      </c>
      <c r="B41" s="1" t="s">
        <v>21</v>
      </c>
      <c r="C41" s="2">
        <v>891122770</v>
      </c>
      <c r="D41">
        <f t="shared" si="0"/>
        <v>5.7895787025631112E-2</v>
      </c>
      <c r="E41">
        <f t="shared" si="1"/>
        <v>5.7895787025631114</v>
      </c>
    </row>
    <row r="42" spans="1:5" x14ac:dyDescent="0.25">
      <c r="A42" t="s">
        <v>25</v>
      </c>
      <c r="B42" s="1" t="s">
        <v>22</v>
      </c>
      <c r="C42" s="2">
        <v>907790606</v>
      </c>
      <c r="D42">
        <f t="shared" si="0"/>
        <v>1.8704309396111604E-2</v>
      </c>
      <c r="E42">
        <f t="shared" si="1"/>
        <v>1.8704309396111605</v>
      </c>
    </row>
    <row r="43" spans="1:5" x14ac:dyDescent="0.25">
      <c r="A43" t="s">
        <v>25</v>
      </c>
      <c r="B43" s="1" t="s">
        <v>23</v>
      </c>
      <c r="C43" s="2">
        <v>932639051</v>
      </c>
      <c r="D43">
        <f t="shared" si="0"/>
        <v>2.7372441216912086E-2</v>
      </c>
      <c r="E43">
        <f t="shared" si="1"/>
        <v>2.7372441216912087</v>
      </c>
    </row>
    <row r="44" spans="1:5" x14ac:dyDescent="0.25">
      <c r="A44" t="s">
        <v>26</v>
      </c>
      <c r="B44" s="1" t="s">
        <v>3</v>
      </c>
      <c r="C44" s="2">
        <v>417151310</v>
      </c>
      <c r="D44">
        <f t="shared" si="0"/>
        <v>-0.55271944751539248</v>
      </c>
      <c r="E44">
        <f t="shared" si="1"/>
        <v>-55.271944751539252</v>
      </c>
    </row>
    <row r="45" spans="1:5" x14ac:dyDescent="0.25">
      <c r="A45" t="s">
        <v>26</v>
      </c>
      <c r="B45" s="1" t="s">
        <v>4</v>
      </c>
      <c r="C45" s="2">
        <v>414960819</v>
      </c>
      <c r="D45">
        <f t="shared" si="0"/>
        <v>-5.2510706486814098E-3</v>
      </c>
      <c r="E45">
        <f t="shared" si="1"/>
        <v>-0.52510706486814096</v>
      </c>
    </row>
    <row r="46" spans="1:5" x14ac:dyDescent="0.25">
      <c r="A46" t="s">
        <v>26</v>
      </c>
      <c r="B46" s="1" t="s">
        <v>5</v>
      </c>
      <c r="C46" s="2">
        <v>431869943</v>
      </c>
      <c r="D46">
        <f t="shared" si="0"/>
        <v>4.0748724278954152E-2</v>
      </c>
      <c r="E46">
        <f t="shared" si="1"/>
        <v>4.0748724278954152</v>
      </c>
    </row>
    <row r="47" spans="1:5" x14ac:dyDescent="0.25">
      <c r="A47" t="s">
        <v>26</v>
      </c>
      <c r="B47" s="1" t="s">
        <v>6</v>
      </c>
      <c r="C47" s="2">
        <v>459289448</v>
      </c>
      <c r="D47">
        <f t="shared" si="0"/>
        <v>6.3490190610463487E-2</v>
      </c>
      <c r="E47">
        <f t="shared" si="1"/>
        <v>6.3490190610463486</v>
      </c>
    </row>
    <row r="48" spans="1:5" x14ac:dyDescent="0.25">
      <c r="A48" t="s">
        <v>26</v>
      </c>
      <c r="B48" s="1" t="s">
        <v>7</v>
      </c>
      <c r="C48" s="2">
        <v>483421821</v>
      </c>
      <c r="D48">
        <f t="shared" si="0"/>
        <v>5.2542842220925569E-2</v>
      </c>
      <c r="E48">
        <f t="shared" si="1"/>
        <v>5.254284222092557</v>
      </c>
    </row>
    <row r="49" spans="1:5" x14ac:dyDescent="0.25">
      <c r="A49" t="s">
        <v>26</v>
      </c>
      <c r="B49" s="1" t="s">
        <v>8</v>
      </c>
      <c r="C49" s="2">
        <v>490803207</v>
      </c>
      <c r="D49">
        <f t="shared" si="0"/>
        <v>1.5269037679621003E-2</v>
      </c>
      <c r="E49">
        <f t="shared" si="1"/>
        <v>1.5269037679621003</v>
      </c>
    </row>
    <row r="50" spans="1:5" x14ac:dyDescent="0.25">
      <c r="A50" t="s">
        <v>26</v>
      </c>
      <c r="B50" s="1" t="s">
        <v>9</v>
      </c>
      <c r="C50" s="2">
        <v>516388092</v>
      </c>
      <c r="D50">
        <f t="shared" si="0"/>
        <v>5.2128601922521667E-2</v>
      </c>
      <c r="E50">
        <f t="shared" si="1"/>
        <v>5.2128601922521671</v>
      </c>
    </row>
    <row r="51" spans="1:5" x14ac:dyDescent="0.25">
      <c r="A51" t="s">
        <v>26</v>
      </c>
      <c r="B51" s="1" t="s">
        <v>10</v>
      </c>
      <c r="C51" s="2">
        <v>525552922</v>
      </c>
      <c r="D51">
        <f t="shared" si="0"/>
        <v>1.7747949927551777E-2</v>
      </c>
      <c r="E51">
        <f t="shared" si="1"/>
        <v>1.7747949927551778</v>
      </c>
    </row>
    <row r="52" spans="1:5" x14ac:dyDescent="0.25">
      <c r="A52" t="s">
        <v>26</v>
      </c>
      <c r="B52" s="1" t="s">
        <v>11</v>
      </c>
      <c r="C52" s="2">
        <v>522750099</v>
      </c>
      <c r="D52">
        <f t="shared" si="0"/>
        <v>-5.3330937431264056E-3</v>
      </c>
      <c r="E52">
        <f t="shared" si="1"/>
        <v>-0.53330937431264058</v>
      </c>
    </row>
    <row r="53" spans="1:5" x14ac:dyDescent="0.25">
      <c r="A53" t="s">
        <v>26</v>
      </c>
      <c r="B53" s="1" t="s">
        <v>12</v>
      </c>
      <c r="C53" s="2">
        <v>545693336</v>
      </c>
      <c r="D53">
        <f t="shared" si="0"/>
        <v>4.3889493361913258E-2</v>
      </c>
      <c r="E53">
        <f t="shared" si="1"/>
        <v>4.3889493361913257</v>
      </c>
    </row>
    <row r="54" spans="1:5" x14ac:dyDescent="0.25">
      <c r="A54" t="s">
        <v>26</v>
      </c>
      <c r="B54" s="1" t="s">
        <v>13</v>
      </c>
      <c r="C54" s="2">
        <v>543900121</v>
      </c>
      <c r="D54">
        <f t="shared" si="0"/>
        <v>-3.2861222259822501E-3</v>
      </c>
      <c r="E54">
        <f t="shared" si="1"/>
        <v>-0.32861222259822503</v>
      </c>
    </row>
    <row r="55" spans="1:5" x14ac:dyDescent="0.25">
      <c r="A55" t="s">
        <v>26</v>
      </c>
      <c r="B55" s="1" t="s">
        <v>14</v>
      </c>
      <c r="C55" s="2">
        <v>548613540</v>
      </c>
      <c r="D55">
        <f t="shared" si="0"/>
        <v>8.6659642423576513E-3</v>
      </c>
      <c r="E55">
        <f t="shared" si="1"/>
        <v>0.86659642423576511</v>
      </c>
    </row>
    <row r="56" spans="1:5" x14ac:dyDescent="0.25">
      <c r="A56" t="s">
        <v>26</v>
      </c>
      <c r="B56" s="1" t="s">
        <v>15</v>
      </c>
      <c r="C56" s="2">
        <v>551786774</v>
      </c>
      <c r="D56">
        <f t="shared" si="0"/>
        <v>5.7840971260023953E-3</v>
      </c>
      <c r="E56">
        <f t="shared" si="1"/>
        <v>0.57840971260023955</v>
      </c>
    </row>
    <row r="57" spans="1:5" x14ac:dyDescent="0.25">
      <c r="A57" t="s">
        <v>26</v>
      </c>
      <c r="B57" s="1" t="s">
        <v>16</v>
      </c>
      <c r="C57" s="2">
        <v>558070101</v>
      </c>
      <c r="D57">
        <f t="shared" si="0"/>
        <v>1.1387237418633742E-2</v>
      </c>
      <c r="E57">
        <f t="shared" si="1"/>
        <v>1.1387237418633742</v>
      </c>
    </row>
    <row r="58" spans="1:5" x14ac:dyDescent="0.25">
      <c r="A58" t="s">
        <v>26</v>
      </c>
      <c r="B58" s="1" t="s">
        <v>17</v>
      </c>
      <c r="C58" s="2">
        <v>568536688</v>
      </c>
      <c r="D58">
        <f t="shared" si="0"/>
        <v>1.8754968204254326E-2</v>
      </c>
      <c r="E58">
        <f t="shared" si="1"/>
        <v>1.8754968204254325</v>
      </c>
    </row>
    <row r="59" spans="1:5" x14ac:dyDescent="0.25">
      <c r="A59" t="s">
        <v>26</v>
      </c>
      <c r="B59" s="1" t="s">
        <v>18</v>
      </c>
      <c r="C59" s="2">
        <v>569568199</v>
      </c>
      <c r="D59">
        <f t="shared" si="0"/>
        <v>1.8143261846982159E-3</v>
      </c>
      <c r="E59">
        <f t="shared" si="1"/>
        <v>0.18143261846982159</v>
      </c>
    </row>
    <row r="60" spans="1:5" x14ac:dyDescent="0.25">
      <c r="A60" t="s">
        <v>26</v>
      </c>
      <c r="B60" s="1" t="s">
        <v>19</v>
      </c>
      <c r="C60" s="2">
        <v>581497289</v>
      </c>
      <c r="D60">
        <f t="shared" si="0"/>
        <v>2.0944094176859055E-2</v>
      </c>
      <c r="E60">
        <f t="shared" si="1"/>
        <v>2.0944094176859056</v>
      </c>
    </row>
    <row r="61" spans="1:5" x14ac:dyDescent="0.25">
      <c r="A61" t="s">
        <v>26</v>
      </c>
      <c r="B61" s="1" t="s">
        <v>20</v>
      </c>
      <c r="C61" s="2">
        <v>590845696</v>
      </c>
      <c r="D61">
        <f t="shared" si="0"/>
        <v>1.6076441243735532E-2</v>
      </c>
      <c r="E61">
        <f t="shared" si="1"/>
        <v>1.6076441243735533</v>
      </c>
    </row>
    <row r="62" spans="1:5" x14ac:dyDescent="0.25">
      <c r="A62" t="s">
        <v>26</v>
      </c>
      <c r="B62" s="1" t="s">
        <v>21</v>
      </c>
      <c r="C62" s="2">
        <v>616605643</v>
      </c>
      <c r="D62">
        <f t="shared" si="0"/>
        <v>4.3598433862502062E-2</v>
      </c>
      <c r="E62">
        <f t="shared" si="1"/>
        <v>4.3598433862502066</v>
      </c>
    </row>
    <row r="63" spans="1:5" x14ac:dyDescent="0.25">
      <c r="A63" t="s">
        <v>26</v>
      </c>
      <c r="B63" s="1" t="s">
        <v>22</v>
      </c>
      <c r="C63" s="2">
        <v>619029583</v>
      </c>
      <c r="D63">
        <f t="shared" si="0"/>
        <v>3.9311025247947655E-3</v>
      </c>
      <c r="E63">
        <f t="shared" si="1"/>
        <v>0.39311025247947656</v>
      </c>
    </row>
    <row r="64" spans="1:5" x14ac:dyDescent="0.25">
      <c r="A64" t="s">
        <v>26</v>
      </c>
      <c r="B64" s="1" t="s">
        <v>23</v>
      </c>
      <c r="C64" s="2">
        <v>642629631</v>
      </c>
      <c r="D64">
        <f t="shared" si="0"/>
        <v>3.8124265217870858E-2</v>
      </c>
      <c r="E64">
        <f t="shared" si="1"/>
        <v>3.8124265217870859</v>
      </c>
    </row>
    <row r="65" spans="1:5" x14ac:dyDescent="0.25">
      <c r="A65" t="s">
        <v>27</v>
      </c>
      <c r="B65" s="1" t="s">
        <v>3</v>
      </c>
      <c r="C65" s="2">
        <v>198990581</v>
      </c>
      <c r="D65">
        <f t="shared" si="0"/>
        <v>-0.69034950864256051</v>
      </c>
      <c r="E65">
        <f t="shared" si="1"/>
        <v>-69.034950864256047</v>
      </c>
    </row>
    <row r="66" spans="1:5" x14ac:dyDescent="0.25">
      <c r="A66" t="s">
        <v>27</v>
      </c>
      <c r="B66" s="1" t="s">
        <v>4</v>
      </c>
      <c r="C66" s="2">
        <v>202503051</v>
      </c>
      <c r="D66">
        <f t="shared" si="0"/>
        <v>1.7651438486930193E-2</v>
      </c>
      <c r="E66">
        <f t="shared" si="1"/>
        <v>1.7651438486930193</v>
      </c>
    </row>
    <row r="67" spans="1:5" x14ac:dyDescent="0.25">
      <c r="A67" t="s">
        <v>27</v>
      </c>
      <c r="B67" s="1" t="s">
        <v>5</v>
      </c>
      <c r="C67" s="2">
        <v>211352662</v>
      </c>
      <c r="D67">
        <f t="shared" si="0"/>
        <v>4.3701124285776813E-2</v>
      </c>
      <c r="E67">
        <f t="shared" si="1"/>
        <v>4.3701124285776816</v>
      </c>
    </row>
    <row r="68" spans="1:5" x14ac:dyDescent="0.25">
      <c r="A68" t="s">
        <v>27</v>
      </c>
      <c r="B68" s="1" t="s">
        <v>6</v>
      </c>
      <c r="C68" s="2">
        <v>220077345</v>
      </c>
      <c r="D68">
        <f t="shared" ref="D68:D131" si="2">(C68-C67)/C67</f>
        <v>4.1280213447228785E-2</v>
      </c>
      <c r="E68">
        <f t="shared" ref="E68:E131" si="3">D68*100</f>
        <v>4.1280213447228782</v>
      </c>
    </row>
    <row r="69" spans="1:5" x14ac:dyDescent="0.25">
      <c r="A69" t="s">
        <v>27</v>
      </c>
      <c r="B69" s="1" t="s">
        <v>7</v>
      </c>
      <c r="C69" s="2">
        <v>237757674</v>
      </c>
      <c r="D69">
        <f t="shared" si="2"/>
        <v>8.0336887924561243E-2</v>
      </c>
      <c r="E69">
        <f t="shared" si="3"/>
        <v>8.0336887924561236</v>
      </c>
    </row>
    <row r="70" spans="1:5" x14ac:dyDescent="0.25">
      <c r="A70" t="s">
        <v>27</v>
      </c>
      <c r="B70" s="1" t="s">
        <v>8</v>
      </c>
      <c r="C70" s="2">
        <v>242134710</v>
      </c>
      <c r="D70">
        <f t="shared" si="2"/>
        <v>1.8409651837357731E-2</v>
      </c>
      <c r="E70">
        <f t="shared" si="3"/>
        <v>1.840965183735773</v>
      </c>
    </row>
    <row r="71" spans="1:5" x14ac:dyDescent="0.25">
      <c r="A71" t="s">
        <v>27</v>
      </c>
      <c r="B71" s="1" t="s">
        <v>9</v>
      </c>
      <c r="C71" s="2">
        <v>251041472</v>
      </c>
      <c r="D71">
        <f t="shared" si="2"/>
        <v>3.6784325551673283E-2</v>
      </c>
      <c r="E71">
        <f t="shared" si="3"/>
        <v>3.6784325551673285</v>
      </c>
    </row>
    <row r="72" spans="1:5" x14ac:dyDescent="0.25">
      <c r="A72" t="s">
        <v>27</v>
      </c>
      <c r="B72" s="1" t="s">
        <v>10</v>
      </c>
      <c r="C72" s="2">
        <v>256933913</v>
      </c>
      <c r="D72">
        <f t="shared" si="2"/>
        <v>2.3471982350390299E-2</v>
      </c>
      <c r="E72">
        <f t="shared" si="3"/>
        <v>2.3471982350390297</v>
      </c>
    </row>
    <row r="73" spans="1:5" x14ac:dyDescent="0.25">
      <c r="A73" t="s">
        <v>27</v>
      </c>
      <c r="B73" s="1" t="s">
        <v>11</v>
      </c>
      <c r="C73" s="2">
        <v>255825159</v>
      </c>
      <c r="D73">
        <f t="shared" si="2"/>
        <v>-4.3153275760837379E-3</v>
      </c>
      <c r="E73">
        <f t="shared" si="3"/>
        <v>-0.43153275760837378</v>
      </c>
    </row>
    <row r="74" spans="1:5" x14ac:dyDescent="0.25">
      <c r="A74" t="s">
        <v>27</v>
      </c>
      <c r="B74" s="1" t="s">
        <v>12</v>
      </c>
      <c r="C74" s="2">
        <v>253251917</v>
      </c>
      <c r="D74">
        <f t="shared" si="2"/>
        <v>-1.0058596308739126E-2</v>
      </c>
      <c r="E74">
        <f t="shared" si="3"/>
        <v>-1.0058596308739125</v>
      </c>
    </row>
    <row r="75" spans="1:5" x14ac:dyDescent="0.25">
      <c r="A75" t="s">
        <v>27</v>
      </c>
      <c r="B75" s="1" t="s">
        <v>13</v>
      </c>
      <c r="C75" s="2">
        <v>251836914</v>
      </c>
      <c r="D75">
        <f t="shared" si="2"/>
        <v>-5.5873338167071011E-3</v>
      </c>
      <c r="E75">
        <f t="shared" si="3"/>
        <v>-0.55873338167071007</v>
      </c>
    </row>
    <row r="76" spans="1:5" x14ac:dyDescent="0.25">
      <c r="A76" t="s">
        <v>27</v>
      </c>
      <c r="B76" s="1" t="s">
        <v>14</v>
      </c>
      <c r="C76" s="2">
        <v>254917931</v>
      </c>
      <c r="D76">
        <f t="shared" si="2"/>
        <v>1.2234175487077323E-2</v>
      </c>
      <c r="E76">
        <f t="shared" si="3"/>
        <v>1.2234175487077323</v>
      </c>
    </row>
    <row r="77" spans="1:5" x14ac:dyDescent="0.25">
      <c r="A77" t="s">
        <v>27</v>
      </c>
      <c r="B77" s="1" t="s">
        <v>15</v>
      </c>
      <c r="C77" s="2">
        <v>260114163</v>
      </c>
      <c r="D77">
        <f t="shared" si="2"/>
        <v>2.0383940743658398E-2</v>
      </c>
      <c r="E77">
        <f t="shared" si="3"/>
        <v>2.03839407436584</v>
      </c>
    </row>
    <row r="78" spans="1:5" x14ac:dyDescent="0.25">
      <c r="A78" t="s">
        <v>27</v>
      </c>
      <c r="B78" s="1" t="s">
        <v>16</v>
      </c>
      <c r="C78" s="2">
        <v>261339795</v>
      </c>
      <c r="D78">
        <f t="shared" si="2"/>
        <v>4.7119002897200949E-3</v>
      </c>
      <c r="E78">
        <f t="shared" si="3"/>
        <v>0.47119002897200951</v>
      </c>
    </row>
    <row r="79" spans="1:5" x14ac:dyDescent="0.25">
      <c r="A79" t="s">
        <v>27</v>
      </c>
      <c r="B79" s="1" t="s">
        <v>17</v>
      </c>
      <c r="C79" s="2">
        <v>265906880</v>
      </c>
      <c r="D79">
        <f t="shared" si="2"/>
        <v>1.7475658462194784E-2</v>
      </c>
      <c r="E79">
        <f t="shared" si="3"/>
        <v>1.7475658462194783</v>
      </c>
    </row>
    <row r="80" spans="1:5" x14ac:dyDescent="0.25">
      <c r="A80" t="s">
        <v>27</v>
      </c>
      <c r="B80" s="1" t="s">
        <v>18</v>
      </c>
      <c r="C80" s="2">
        <v>270277025</v>
      </c>
      <c r="D80">
        <f t="shared" si="2"/>
        <v>1.6434869981551435E-2</v>
      </c>
      <c r="E80">
        <f t="shared" si="3"/>
        <v>1.6434869981551434</v>
      </c>
    </row>
    <row r="81" spans="1:5" x14ac:dyDescent="0.25">
      <c r="A81" t="s">
        <v>27</v>
      </c>
      <c r="B81" s="1" t="s">
        <v>19</v>
      </c>
      <c r="C81" s="2">
        <v>274835291</v>
      </c>
      <c r="D81">
        <f t="shared" si="2"/>
        <v>1.6865162697421283E-2</v>
      </c>
      <c r="E81">
        <f t="shared" si="3"/>
        <v>1.6865162697421283</v>
      </c>
    </row>
    <row r="82" spans="1:5" x14ac:dyDescent="0.25">
      <c r="A82" t="s">
        <v>27</v>
      </c>
      <c r="B82" s="1" t="s">
        <v>20</v>
      </c>
      <c r="C82" s="2">
        <v>277136834</v>
      </c>
      <c r="D82">
        <f t="shared" si="2"/>
        <v>8.3742629690158679E-3</v>
      </c>
      <c r="E82">
        <f t="shared" si="3"/>
        <v>0.83742629690158676</v>
      </c>
    </row>
    <row r="83" spans="1:5" x14ac:dyDescent="0.25">
      <c r="A83" t="s">
        <v>27</v>
      </c>
      <c r="B83" s="1" t="s">
        <v>21</v>
      </c>
      <c r="C83" s="2">
        <v>286152181</v>
      </c>
      <c r="D83">
        <f t="shared" si="2"/>
        <v>3.2530309558201853E-2</v>
      </c>
      <c r="E83">
        <f t="shared" si="3"/>
        <v>3.2530309558201855</v>
      </c>
    </row>
    <row r="84" spans="1:5" x14ac:dyDescent="0.25">
      <c r="A84" t="s">
        <v>27</v>
      </c>
      <c r="B84" s="1" t="s">
        <v>22</v>
      </c>
      <c r="C84" s="2">
        <v>289693214</v>
      </c>
      <c r="D84">
        <f t="shared" si="2"/>
        <v>1.2374649697323117E-2</v>
      </c>
      <c r="E84">
        <f t="shared" si="3"/>
        <v>1.2374649697323117</v>
      </c>
    </row>
    <row r="85" spans="1:5" x14ac:dyDescent="0.25">
      <c r="A85" t="s">
        <v>27</v>
      </c>
      <c r="B85" s="1" t="s">
        <v>23</v>
      </c>
      <c r="C85" s="2">
        <v>298281704</v>
      </c>
      <c r="D85">
        <f t="shared" si="2"/>
        <v>2.9646845645476528E-2</v>
      </c>
      <c r="E85">
        <f t="shared" si="3"/>
        <v>2.9646845645476527</v>
      </c>
    </row>
    <row r="86" spans="1:5" x14ac:dyDescent="0.25">
      <c r="A86" t="s">
        <v>28</v>
      </c>
      <c r="B86" s="1" t="s">
        <v>3</v>
      </c>
      <c r="C86" s="2">
        <v>97261271</v>
      </c>
      <c r="D86">
        <f t="shared" si="2"/>
        <v>-0.67392813673881924</v>
      </c>
      <c r="E86">
        <f t="shared" si="3"/>
        <v>-67.392813673881918</v>
      </c>
    </row>
    <row r="87" spans="1:5" x14ac:dyDescent="0.25">
      <c r="A87" t="s">
        <v>28</v>
      </c>
      <c r="B87" s="1" t="s">
        <v>4</v>
      </c>
      <c r="C87" s="2">
        <v>99411653</v>
      </c>
      <c r="D87">
        <f t="shared" si="2"/>
        <v>2.2109334762857459E-2</v>
      </c>
      <c r="E87">
        <f t="shared" si="3"/>
        <v>2.2109334762857458</v>
      </c>
    </row>
    <row r="88" spans="1:5" x14ac:dyDescent="0.25">
      <c r="A88" t="s">
        <v>28</v>
      </c>
      <c r="B88" s="1" t="s">
        <v>5</v>
      </c>
      <c r="C88" s="2">
        <v>102777896</v>
      </c>
      <c r="D88">
        <f t="shared" si="2"/>
        <v>3.3861654025610054E-2</v>
      </c>
      <c r="E88">
        <f t="shared" si="3"/>
        <v>3.3861654025610055</v>
      </c>
    </row>
    <row r="89" spans="1:5" x14ac:dyDescent="0.25">
      <c r="A89" t="s">
        <v>28</v>
      </c>
      <c r="B89" s="1" t="s">
        <v>6</v>
      </c>
      <c r="C89" s="2">
        <v>106593467</v>
      </c>
      <c r="D89">
        <f t="shared" si="2"/>
        <v>3.7124431891464291E-2</v>
      </c>
      <c r="E89">
        <f t="shared" si="3"/>
        <v>3.7124431891464291</v>
      </c>
    </row>
    <row r="90" spans="1:5" x14ac:dyDescent="0.25">
      <c r="A90" t="s">
        <v>28</v>
      </c>
      <c r="B90" s="1" t="s">
        <v>7</v>
      </c>
      <c r="C90" s="2">
        <v>106285955</v>
      </c>
      <c r="D90">
        <f t="shared" si="2"/>
        <v>-2.8849047568740775E-3</v>
      </c>
      <c r="E90">
        <f t="shared" si="3"/>
        <v>-0.28849047568740777</v>
      </c>
    </row>
    <row r="91" spans="1:5" x14ac:dyDescent="0.25">
      <c r="A91" t="s">
        <v>28</v>
      </c>
      <c r="B91" s="1" t="s">
        <v>8</v>
      </c>
      <c r="C91" s="2">
        <v>104261970</v>
      </c>
      <c r="D91">
        <f t="shared" si="2"/>
        <v>-1.9042826495749132E-2</v>
      </c>
      <c r="E91">
        <f t="shared" si="3"/>
        <v>-1.9042826495749132</v>
      </c>
    </row>
    <row r="92" spans="1:5" x14ac:dyDescent="0.25">
      <c r="A92" t="s">
        <v>28</v>
      </c>
      <c r="B92" s="1" t="s">
        <v>9</v>
      </c>
      <c r="C92" s="2">
        <v>106726622</v>
      </c>
      <c r="D92">
        <f t="shared" si="2"/>
        <v>2.3639031566351568E-2</v>
      </c>
      <c r="E92">
        <f t="shared" si="3"/>
        <v>2.3639031566351569</v>
      </c>
    </row>
    <row r="93" spans="1:5" x14ac:dyDescent="0.25">
      <c r="A93" t="s">
        <v>28</v>
      </c>
      <c r="B93" s="1" t="s">
        <v>10</v>
      </c>
      <c r="C93" s="2">
        <v>107287065</v>
      </c>
      <c r="D93">
        <f t="shared" si="2"/>
        <v>5.2512015230839031E-3</v>
      </c>
      <c r="E93">
        <f t="shared" si="3"/>
        <v>0.52512015230839026</v>
      </c>
    </row>
    <row r="94" spans="1:5" x14ac:dyDescent="0.25">
      <c r="A94" t="s">
        <v>28</v>
      </c>
      <c r="B94" s="1" t="s">
        <v>11</v>
      </c>
      <c r="C94" s="2">
        <v>107871057</v>
      </c>
      <c r="D94">
        <f t="shared" si="2"/>
        <v>5.4432656909758877E-3</v>
      </c>
      <c r="E94">
        <f t="shared" si="3"/>
        <v>0.54432656909758881</v>
      </c>
    </row>
    <row r="95" spans="1:5" x14ac:dyDescent="0.25">
      <c r="A95" t="s">
        <v>28</v>
      </c>
      <c r="B95" s="1" t="s">
        <v>12</v>
      </c>
      <c r="C95" s="2">
        <v>110215382</v>
      </c>
      <c r="D95">
        <f t="shared" si="2"/>
        <v>2.1732659947885744E-2</v>
      </c>
      <c r="E95">
        <f t="shared" si="3"/>
        <v>2.1732659947885744</v>
      </c>
    </row>
    <row r="96" spans="1:5" x14ac:dyDescent="0.25">
      <c r="A96" t="s">
        <v>28</v>
      </c>
      <c r="B96" s="1" t="s">
        <v>13</v>
      </c>
      <c r="C96" s="2">
        <v>103429867</v>
      </c>
      <c r="D96">
        <f t="shared" si="2"/>
        <v>-6.1565952745144051E-2</v>
      </c>
      <c r="E96">
        <f t="shared" si="3"/>
        <v>-6.1565952745144052</v>
      </c>
    </row>
    <row r="97" spans="1:5" x14ac:dyDescent="0.25">
      <c r="A97" t="s">
        <v>28</v>
      </c>
      <c r="B97" s="1" t="s">
        <v>14</v>
      </c>
      <c r="C97" s="2">
        <v>102685817</v>
      </c>
      <c r="D97">
        <f t="shared" si="2"/>
        <v>-7.1937634803301061E-3</v>
      </c>
      <c r="E97">
        <f t="shared" si="3"/>
        <v>-0.71937634803301065</v>
      </c>
    </row>
    <row r="98" spans="1:5" x14ac:dyDescent="0.25">
      <c r="A98" t="s">
        <v>28</v>
      </c>
      <c r="B98" s="1" t="s">
        <v>15</v>
      </c>
      <c r="C98" s="2">
        <v>117955677</v>
      </c>
      <c r="D98">
        <f t="shared" si="2"/>
        <v>0.14870466483214523</v>
      </c>
      <c r="E98">
        <f t="shared" si="3"/>
        <v>14.870466483214523</v>
      </c>
    </row>
    <row r="99" spans="1:5" x14ac:dyDescent="0.25">
      <c r="A99" t="s">
        <v>28</v>
      </c>
      <c r="B99" s="1" t="s">
        <v>16</v>
      </c>
      <c r="C99" s="2">
        <v>117531205</v>
      </c>
      <c r="D99">
        <f t="shared" si="2"/>
        <v>-3.5985720297294381E-3</v>
      </c>
      <c r="E99">
        <f t="shared" si="3"/>
        <v>-0.35985720297294382</v>
      </c>
    </row>
    <row r="100" spans="1:5" x14ac:dyDescent="0.25">
      <c r="A100" t="s">
        <v>28</v>
      </c>
      <c r="B100" s="1" t="s">
        <v>17</v>
      </c>
      <c r="C100" s="2">
        <v>120645470</v>
      </c>
      <c r="D100">
        <f t="shared" si="2"/>
        <v>2.6497345960164367E-2</v>
      </c>
      <c r="E100">
        <f t="shared" si="3"/>
        <v>2.6497345960164367</v>
      </c>
    </row>
    <row r="101" spans="1:5" x14ac:dyDescent="0.25">
      <c r="A101" t="s">
        <v>28</v>
      </c>
      <c r="B101" s="1" t="s">
        <v>18</v>
      </c>
      <c r="C101" s="2">
        <v>123981977</v>
      </c>
      <c r="D101">
        <f t="shared" si="2"/>
        <v>2.7655468539349221E-2</v>
      </c>
      <c r="E101">
        <f t="shared" si="3"/>
        <v>2.7655468539349219</v>
      </c>
    </row>
    <row r="102" spans="1:5" x14ac:dyDescent="0.25">
      <c r="A102" t="s">
        <v>28</v>
      </c>
      <c r="B102" s="1" t="s">
        <v>19</v>
      </c>
      <c r="C102" s="2">
        <v>125463678</v>
      </c>
      <c r="D102">
        <f t="shared" si="2"/>
        <v>1.1950938643283612E-2</v>
      </c>
      <c r="E102">
        <f t="shared" si="3"/>
        <v>1.1950938643283611</v>
      </c>
    </row>
    <row r="103" spans="1:5" x14ac:dyDescent="0.25">
      <c r="A103" t="s">
        <v>28</v>
      </c>
      <c r="B103" s="1" t="s">
        <v>20</v>
      </c>
      <c r="C103" s="2">
        <v>129485086</v>
      </c>
      <c r="D103">
        <f t="shared" si="2"/>
        <v>3.2052368176230257E-2</v>
      </c>
      <c r="E103">
        <f t="shared" si="3"/>
        <v>3.2052368176230259</v>
      </c>
    </row>
    <row r="104" spans="1:5" x14ac:dyDescent="0.25">
      <c r="A104" t="s">
        <v>28</v>
      </c>
      <c r="B104" s="1" t="s">
        <v>21</v>
      </c>
      <c r="C104" s="2">
        <v>134673292</v>
      </c>
      <c r="D104">
        <f t="shared" si="2"/>
        <v>4.0067981265425427E-2</v>
      </c>
      <c r="E104">
        <f t="shared" si="3"/>
        <v>4.0067981265425425</v>
      </c>
    </row>
    <row r="105" spans="1:5" x14ac:dyDescent="0.25">
      <c r="A105" t="s">
        <v>28</v>
      </c>
      <c r="B105" s="1" t="s">
        <v>22</v>
      </c>
      <c r="C105" s="2">
        <v>135656971</v>
      </c>
      <c r="D105">
        <f t="shared" si="2"/>
        <v>7.3041876781329441E-3</v>
      </c>
      <c r="E105">
        <f t="shared" si="3"/>
        <v>0.7304187678132944</v>
      </c>
    </row>
    <row r="106" spans="1:5" x14ac:dyDescent="0.25">
      <c r="A106" t="s">
        <v>28</v>
      </c>
      <c r="B106" s="1" t="s">
        <v>23</v>
      </c>
      <c r="C106" s="2">
        <v>136323646</v>
      </c>
      <c r="D106">
        <f t="shared" si="2"/>
        <v>4.9144175569127225E-3</v>
      </c>
      <c r="E106">
        <f t="shared" si="3"/>
        <v>0.49144175569127224</v>
      </c>
    </row>
    <row r="107" spans="1:5" x14ac:dyDescent="0.25">
      <c r="A107" t="s">
        <v>29</v>
      </c>
      <c r="B107" s="1" t="s">
        <v>3</v>
      </c>
      <c r="C107" s="2">
        <v>467619558</v>
      </c>
      <c r="D107">
        <f t="shared" si="2"/>
        <v>2.4302160463049822</v>
      </c>
      <c r="E107">
        <f t="shared" si="3"/>
        <v>243.02160463049822</v>
      </c>
    </row>
    <row r="108" spans="1:5" x14ac:dyDescent="0.25">
      <c r="A108" t="s">
        <v>29</v>
      </c>
      <c r="B108" s="1" t="s">
        <v>4</v>
      </c>
      <c r="C108" s="2">
        <v>470052360</v>
      </c>
      <c r="D108">
        <f t="shared" si="2"/>
        <v>5.2025240569599958E-3</v>
      </c>
      <c r="E108">
        <f t="shared" si="3"/>
        <v>0.52025240569599962</v>
      </c>
    </row>
    <row r="109" spans="1:5" x14ac:dyDescent="0.25">
      <c r="A109" t="s">
        <v>29</v>
      </c>
      <c r="B109" s="1" t="s">
        <v>5</v>
      </c>
      <c r="C109" s="2">
        <v>494419514</v>
      </c>
      <c r="D109">
        <f t="shared" si="2"/>
        <v>5.1839233399445114E-2</v>
      </c>
      <c r="E109">
        <f t="shared" si="3"/>
        <v>5.1839233399445117</v>
      </c>
    </row>
    <row r="110" spans="1:5" x14ac:dyDescent="0.25">
      <c r="A110" t="s">
        <v>29</v>
      </c>
      <c r="B110" s="1" t="s">
        <v>6</v>
      </c>
      <c r="C110" s="2">
        <v>515563085</v>
      </c>
      <c r="D110">
        <f t="shared" si="2"/>
        <v>4.2764434657811663E-2</v>
      </c>
      <c r="E110">
        <f t="shared" si="3"/>
        <v>4.2764434657811661</v>
      </c>
    </row>
    <row r="111" spans="1:5" x14ac:dyDescent="0.25">
      <c r="A111" t="s">
        <v>29</v>
      </c>
      <c r="B111" s="1" t="s">
        <v>7</v>
      </c>
      <c r="C111" s="2">
        <v>537914433</v>
      </c>
      <c r="D111">
        <f t="shared" si="2"/>
        <v>4.335327460460052E-2</v>
      </c>
      <c r="E111">
        <f t="shared" si="3"/>
        <v>4.3353274604600518</v>
      </c>
    </row>
    <row r="112" spans="1:5" x14ac:dyDescent="0.25">
      <c r="A112" t="s">
        <v>29</v>
      </c>
      <c r="B112" s="1" t="s">
        <v>8</v>
      </c>
      <c r="C112" s="2">
        <v>532123564</v>
      </c>
      <c r="D112">
        <f t="shared" si="2"/>
        <v>-1.0765409226340651E-2</v>
      </c>
      <c r="E112">
        <f t="shared" si="3"/>
        <v>-1.0765409226340652</v>
      </c>
    </row>
    <row r="113" spans="1:5" x14ac:dyDescent="0.25">
      <c r="A113" t="s">
        <v>29</v>
      </c>
      <c r="B113" s="1" t="s">
        <v>9</v>
      </c>
      <c r="C113" s="2">
        <v>551677550</v>
      </c>
      <c r="D113">
        <f t="shared" si="2"/>
        <v>3.6747077789624064E-2</v>
      </c>
      <c r="E113">
        <f t="shared" si="3"/>
        <v>3.6747077789624063</v>
      </c>
    </row>
    <row r="114" spans="1:5" x14ac:dyDescent="0.25">
      <c r="A114" t="s">
        <v>29</v>
      </c>
      <c r="B114" s="1" t="s">
        <v>10</v>
      </c>
      <c r="C114" s="2">
        <v>570625590</v>
      </c>
      <c r="D114">
        <f t="shared" si="2"/>
        <v>3.4346222716512574E-2</v>
      </c>
      <c r="E114">
        <f t="shared" si="3"/>
        <v>3.4346222716512576</v>
      </c>
    </row>
    <row r="115" spans="1:5" x14ac:dyDescent="0.25">
      <c r="A115" t="s">
        <v>29</v>
      </c>
      <c r="B115" s="1" t="s">
        <v>11</v>
      </c>
      <c r="C115" s="2">
        <v>588250950</v>
      </c>
      <c r="D115">
        <f t="shared" si="2"/>
        <v>3.0887784054689872E-2</v>
      </c>
      <c r="E115">
        <f t="shared" si="3"/>
        <v>3.0887784054689873</v>
      </c>
    </row>
    <row r="116" spans="1:5" x14ac:dyDescent="0.25">
      <c r="A116" t="s">
        <v>29</v>
      </c>
      <c r="B116" s="1" t="s">
        <v>12</v>
      </c>
      <c r="C116" s="2">
        <v>597728368</v>
      </c>
      <c r="D116">
        <f t="shared" si="2"/>
        <v>1.6111181800896369E-2</v>
      </c>
      <c r="E116">
        <f t="shared" si="3"/>
        <v>1.6111181800896368</v>
      </c>
    </row>
    <row r="117" spans="1:5" x14ac:dyDescent="0.25">
      <c r="A117" t="s">
        <v>29</v>
      </c>
      <c r="B117" s="1" t="s">
        <v>13</v>
      </c>
      <c r="C117" s="2">
        <v>582184109</v>
      </c>
      <c r="D117">
        <f t="shared" si="2"/>
        <v>-2.6005556758182842E-2</v>
      </c>
      <c r="E117">
        <f t="shared" si="3"/>
        <v>-2.6005556758182844</v>
      </c>
    </row>
    <row r="118" spans="1:5" x14ac:dyDescent="0.25">
      <c r="A118" t="s">
        <v>29</v>
      </c>
      <c r="B118" s="1" t="s">
        <v>14</v>
      </c>
      <c r="C118" s="2">
        <v>569164386</v>
      </c>
      <c r="D118">
        <f t="shared" si="2"/>
        <v>-2.2363583613375471E-2</v>
      </c>
      <c r="E118">
        <f t="shared" si="3"/>
        <v>-2.2363583613375471</v>
      </c>
    </row>
    <row r="119" spans="1:5" x14ac:dyDescent="0.25">
      <c r="A119" t="s">
        <v>29</v>
      </c>
      <c r="B119" s="1" t="s">
        <v>15</v>
      </c>
      <c r="C119" s="2">
        <v>575648735</v>
      </c>
      <c r="D119">
        <f t="shared" si="2"/>
        <v>1.1392752532481889E-2</v>
      </c>
      <c r="E119">
        <f t="shared" si="3"/>
        <v>1.1392752532481889</v>
      </c>
    </row>
    <row r="120" spans="1:5" x14ac:dyDescent="0.25">
      <c r="A120" t="s">
        <v>29</v>
      </c>
      <c r="B120" s="1" t="s">
        <v>16</v>
      </c>
      <c r="C120" s="2">
        <v>573933771</v>
      </c>
      <c r="D120">
        <f t="shared" si="2"/>
        <v>-2.9791848669657893E-3</v>
      </c>
      <c r="E120">
        <f t="shared" si="3"/>
        <v>-0.29791848669657894</v>
      </c>
    </row>
    <row r="121" spans="1:5" x14ac:dyDescent="0.25">
      <c r="A121" t="s">
        <v>29</v>
      </c>
      <c r="B121" s="1" t="s">
        <v>17</v>
      </c>
      <c r="C121" s="2">
        <v>579912255</v>
      </c>
      <c r="D121">
        <f t="shared" si="2"/>
        <v>1.041667924433741E-2</v>
      </c>
      <c r="E121">
        <f t="shared" si="3"/>
        <v>1.041667924433741</v>
      </c>
    </row>
    <row r="122" spans="1:5" x14ac:dyDescent="0.25">
      <c r="A122" t="s">
        <v>29</v>
      </c>
      <c r="B122" s="1" t="s">
        <v>18</v>
      </c>
      <c r="C122" s="2">
        <v>591363643</v>
      </c>
      <c r="D122">
        <f t="shared" si="2"/>
        <v>1.9746759792134416E-2</v>
      </c>
      <c r="E122">
        <f t="shared" si="3"/>
        <v>1.9746759792134416</v>
      </c>
    </row>
    <row r="123" spans="1:5" x14ac:dyDescent="0.25">
      <c r="A123" t="s">
        <v>29</v>
      </c>
      <c r="B123" s="1" t="s">
        <v>19</v>
      </c>
      <c r="C123" s="2">
        <v>620640134</v>
      </c>
      <c r="D123">
        <f t="shared" si="2"/>
        <v>4.9506748253037261E-2</v>
      </c>
      <c r="E123">
        <f t="shared" si="3"/>
        <v>4.950674825303726</v>
      </c>
    </row>
    <row r="124" spans="1:5" x14ac:dyDescent="0.25">
      <c r="A124" t="s">
        <v>29</v>
      </c>
      <c r="B124" s="1" t="s">
        <v>20</v>
      </c>
      <c r="C124" s="2">
        <v>619851707</v>
      </c>
      <c r="D124">
        <f t="shared" si="2"/>
        <v>-1.270344853334928E-3</v>
      </c>
      <c r="E124">
        <f t="shared" si="3"/>
        <v>-0.12703448533349279</v>
      </c>
    </row>
    <row r="125" spans="1:5" x14ac:dyDescent="0.25">
      <c r="A125" t="s">
        <v>29</v>
      </c>
      <c r="B125" s="1" t="s">
        <v>21</v>
      </c>
      <c r="C125" s="2">
        <v>656872451</v>
      </c>
      <c r="D125">
        <f t="shared" si="2"/>
        <v>5.9725162618613228E-2</v>
      </c>
      <c r="E125">
        <f t="shared" si="3"/>
        <v>5.9725162618613226</v>
      </c>
    </row>
    <row r="126" spans="1:5" x14ac:dyDescent="0.25">
      <c r="A126" t="s">
        <v>29</v>
      </c>
      <c r="B126" s="1" t="s">
        <v>22</v>
      </c>
      <c r="C126" s="2">
        <v>662674349</v>
      </c>
      <c r="D126">
        <f t="shared" si="2"/>
        <v>8.8326097268463469E-3</v>
      </c>
      <c r="E126">
        <f t="shared" si="3"/>
        <v>0.88326097268463466</v>
      </c>
    </row>
    <row r="127" spans="1:5" x14ac:dyDescent="0.25">
      <c r="A127" t="s">
        <v>29</v>
      </c>
      <c r="B127" s="1" t="s">
        <v>23</v>
      </c>
      <c r="C127" s="2">
        <v>691141340</v>
      </c>
      <c r="D127">
        <f t="shared" si="2"/>
        <v>4.295773790393085E-2</v>
      </c>
      <c r="E127">
        <f t="shared" si="3"/>
        <v>4.2957737903930848</v>
      </c>
    </row>
    <row r="128" spans="1:5" x14ac:dyDescent="0.25">
      <c r="A128" t="s">
        <v>30</v>
      </c>
      <c r="B128" s="1" t="s">
        <v>3</v>
      </c>
      <c r="C128" s="2">
        <v>111770490</v>
      </c>
      <c r="D128">
        <f t="shared" si="2"/>
        <v>-0.83828128411476588</v>
      </c>
      <c r="E128">
        <f t="shared" si="3"/>
        <v>-83.828128411476584</v>
      </c>
    </row>
    <row r="129" spans="1:5" x14ac:dyDescent="0.25">
      <c r="A129" t="s">
        <v>30</v>
      </c>
      <c r="B129" s="1" t="s">
        <v>4</v>
      </c>
      <c r="C129" s="2">
        <v>107539050</v>
      </c>
      <c r="D129">
        <f t="shared" si="2"/>
        <v>-3.7858293365270204E-2</v>
      </c>
      <c r="E129">
        <f t="shared" si="3"/>
        <v>-3.7858293365270206</v>
      </c>
    </row>
    <row r="130" spans="1:5" x14ac:dyDescent="0.25">
      <c r="A130" t="s">
        <v>30</v>
      </c>
      <c r="B130" s="1" t="s">
        <v>5</v>
      </c>
      <c r="C130" s="2">
        <v>111298493</v>
      </c>
      <c r="D130">
        <f t="shared" si="2"/>
        <v>3.4958863780180316E-2</v>
      </c>
      <c r="E130">
        <f t="shared" si="3"/>
        <v>3.4958863780180316</v>
      </c>
    </row>
    <row r="131" spans="1:5" x14ac:dyDescent="0.25">
      <c r="A131" t="s">
        <v>30</v>
      </c>
      <c r="B131" s="1" t="s">
        <v>6</v>
      </c>
      <c r="C131" s="2">
        <v>184056660</v>
      </c>
      <c r="D131">
        <f t="shared" si="2"/>
        <v>0.6537210436443196</v>
      </c>
      <c r="E131">
        <f t="shared" si="3"/>
        <v>65.372104364431962</v>
      </c>
    </row>
    <row r="132" spans="1:5" x14ac:dyDescent="0.25">
      <c r="A132" t="s">
        <v>30</v>
      </c>
      <c r="B132" s="1" t="s">
        <v>7</v>
      </c>
      <c r="C132" s="2">
        <v>118938088</v>
      </c>
      <c r="D132">
        <f t="shared" ref="D132:D195" si="4">(C132-C131)/C131</f>
        <v>-0.35379633641075525</v>
      </c>
      <c r="E132">
        <f t="shared" ref="E132:E195" si="5">D132*100</f>
        <v>-35.379633641075529</v>
      </c>
    </row>
    <row r="133" spans="1:5" x14ac:dyDescent="0.25">
      <c r="A133" t="s">
        <v>30</v>
      </c>
      <c r="B133" s="1" t="s">
        <v>8</v>
      </c>
      <c r="C133" s="2">
        <v>121382357</v>
      </c>
      <c r="D133">
        <f t="shared" si="4"/>
        <v>2.0550767555637853E-2</v>
      </c>
      <c r="E133">
        <f t="shared" si="5"/>
        <v>2.0550767555637854</v>
      </c>
    </row>
    <row r="134" spans="1:5" x14ac:dyDescent="0.25">
      <c r="A134" t="s">
        <v>30</v>
      </c>
      <c r="B134" s="1" t="s">
        <v>9</v>
      </c>
      <c r="C134" s="2">
        <v>121035591</v>
      </c>
      <c r="D134">
        <f t="shared" si="4"/>
        <v>-2.8568072705986423E-3</v>
      </c>
      <c r="E134">
        <f t="shared" si="5"/>
        <v>-0.28568072705986425</v>
      </c>
    </row>
    <row r="135" spans="1:5" x14ac:dyDescent="0.25">
      <c r="A135" t="s">
        <v>30</v>
      </c>
      <c r="B135" s="1" t="s">
        <v>10</v>
      </c>
      <c r="C135" s="2">
        <v>115726478</v>
      </c>
      <c r="D135">
        <f t="shared" si="4"/>
        <v>-4.3864064744394068E-2</v>
      </c>
      <c r="E135">
        <f t="shared" si="5"/>
        <v>-4.3864064744394069</v>
      </c>
    </row>
    <row r="136" spans="1:5" x14ac:dyDescent="0.25">
      <c r="A136" t="s">
        <v>30</v>
      </c>
      <c r="B136" s="1" t="s">
        <v>11</v>
      </c>
      <c r="C136" s="2">
        <v>108246585</v>
      </c>
      <c r="D136">
        <f t="shared" si="4"/>
        <v>-6.4634240402615548E-2</v>
      </c>
      <c r="E136">
        <f t="shared" si="5"/>
        <v>-6.4634240402615548</v>
      </c>
    </row>
    <row r="137" spans="1:5" x14ac:dyDescent="0.25">
      <c r="A137" t="s">
        <v>30</v>
      </c>
      <c r="B137" s="1" t="s">
        <v>12</v>
      </c>
      <c r="C137" s="2">
        <v>109100984</v>
      </c>
      <c r="D137">
        <f t="shared" si="4"/>
        <v>7.8930804144999121E-3</v>
      </c>
      <c r="E137">
        <f t="shared" si="5"/>
        <v>0.78930804144999123</v>
      </c>
    </row>
    <row r="138" spans="1:5" x14ac:dyDescent="0.25">
      <c r="A138" t="s">
        <v>30</v>
      </c>
      <c r="B138" s="1" t="s">
        <v>13</v>
      </c>
      <c r="C138" s="2">
        <v>103208523</v>
      </c>
      <c r="D138">
        <f t="shared" si="4"/>
        <v>-5.4009237900182458E-2</v>
      </c>
      <c r="E138">
        <f t="shared" si="5"/>
        <v>-5.4009237900182461</v>
      </c>
    </row>
    <row r="139" spans="1:5" x14ac:dyDescent="0.25">
      <c r="A139" t="s">
        <v>30</v>
      </c>
      <c r="B139" s="1" t="s">
        <v>14</v>
      </c>
      <c r="C139" s="2">
        <v>97827874</v>
      </c>
      <c r="D139">
        <f t="shared" si="4"/>
        <v>-5.2133766123171825E-2</v>
      </c>
      <c r="E139">
        <f t="shared" si="5"/>
        <v>-5.2133766123171821</v>
      </c>
    </row>
    <row r="140" spans="1:5" x14ac:dyDescent="0.25">
      <c r="A140" t="s">
        <v>30</v>
      </c>
      <c r="B140" s="1" t="s">
        <v>15</v>
      </c>
      <c r="C140" s="2">
        <v>94381957</v>
      </c>
      <c r="D140">
        <f t="shared" si="4"/>
        <v>-3.5224285871734269E-2</v>
      </c>
      <c r="E140">
        <f t="shared" si="5"/>
        <v>-3.5224285871734269</v>
      </c>
    </row>
    <row r="141" spans="1:5" x14ac:dyDescent="0.25">
      <c r="A141" t="s">
        <v>30</v>
      </c>
      <c r="B141" s="1" t="s">
        <v>16</v>
      </c>
      <c r="C141" s="2">
        <v>92178499</v>
      </c>
      <c r="D141">
        <f t="shared" si="4"/>
        <v>-2.334617833787871E-2</v>
      </c>
      <c r="E141">
        <f t="shared" si="5"/>
        <v>-2.3346178337878709</v>
      </c>
    </row>
    <row r="142" spans="1:5" x14ac:dyDescent="0.25">
      <c r="A142" t="s">
        <v>30</v>
      </c>
      <c r="B142" s="1" t="s">
        <v>17</v>
      </c>
      <c r="C142" s="2">
        <v>89033010</v>
      </c>
      <c r="D142">
        <f t="shared" si="4"/>
        <v>-3.4123890431324987E-2</v>
      </c>
      <c r="E142">
        <f t="shared" si="5"/>
        <v>-3.4123890431324986</v>
      </c>
    </row>
    <row r="143" spans="1:5" x14ac:dyDescent="0.25">
      <c r="A143" t="s">
        <v>30</v>
      </c>
      <c r="B143" s="1" t="s">
        <v>18</v>
      </c>
      <c r="C143" s="2">
        <v>88781717</v>
      </c>
      <c r="D143">
        <f t="shared" si="4"/>
        <v>-2.8224700029797936E-3</v>
      </c>
      <c r="E143">
        <f t="shared" si="5"/>
        <v>-0.28224700029797933</v>
      </c>
    </row>
    <row r="144" spans="1:5" x14ac:dyDescent="0.25">
      <c r="A144" t="s">
        <v>30</v>
      </c>
      <c r="B144" s="1" t="s">
        <v>19</v>
      </c>
      <c r="C144" s="2">
        <v>90708235</v>
      </c>
      <c r="D144">
        <f t="shared" si="4"/>
        <v>2.1699490222744849E-2</v>
      </c>
      <c r="E144">
        <f t="shared" si="5"/>
        <v>2.1699490222744848</v>
      </c>
    </row>
    <row r="145" spans="1:5" x14ac:dyDescent="0.25">
      <c r="A145" t="s">
        <v>30</v>
      </c>
      <c r="B145" s="1" t="s">
        <v>20</v>
      </c>
      <c r="C145" s="2">
        <v>89193327</v>
      </c>
      <c r="D145">
        <f t="shared" si="4"/>
        <v>-1.6700887190672378E-2</v>
      </c>
      <c r="E145">
        <f t="shared" si="5"/>
        <v>-1.6700887190672378</v>
      </c>
    </row>
    <row r="146" spans="1:5" x14ac:dyDescent="0.25">
      <c r="A146" t="s">
        <v>30</v>
      </c>
      <c r="B146" s="1" t="s">
        <v>21</v>
      </c>
      <c r="C146" s="2">
        <v>96509030</v>
      </c>
      <c r="D146">
        <f t="shared" si="4"/>
        <v>8.2020743547328384E-2</v>
      </c>
      <c r="E146">
        <f t="shared" si="5"/>
        <v>8.2020743547328383</v>
      </c>
    </row>
    <row r="147" spans="1:5" x14ac:dyDescent="0.25">
      <c r="A147" t="s">
        <v>30</v>
      </c>
      <c r="B147" s="1" t="s">
        <v>22</v>
      </c>
      <c r="C147" s="2">
        <v>100914804</v>
      </c>
      <c r="D147">
        <f t="shared" si="4"/>
        <v>4.5651417281885438E-2</v>
      </c>
      <c r="E147">
        <f t="shared" si="5"/>
        <v>4.5651417281885438</v>
      </c>
    </row>
    <row r="148" spans="1:5" x14ac:dyDescent="0.25">
      <c r="A148" t="s">
        <v>30</v>
      </c>
      <c r="B148" s="1" t="s">
        <v>23</v>
      </c>
      <c r="C148" s="2">
        <v>95958897</v>
      </c>
      <c r="D148">
        <f t="shared" si="4"/>
        <v>-4.9109811480186789E-2</v>
      </c>
      <c r="E148">
        <f t="shared" si="5"/>
        <v>-4.9109811480186787</v>
      </c>
    </row>
    <row r="149" spans="1:5" x14ac:dyDescent="0.25">
      <c r="A149" t="s">
        <v>31</v>
      </c>
      <c r="B149" s="1" t="s">
        <v>3</v>
      </c>
      <c r="C149" s="2">
        <v>127274920</v>
      </c>
      <c r="D149">
        <f t="shared" si="4"/>
        <v>0.32634830098140871</v>
      </c>
      <c r="E149">
        <f t="shared" si="5"/>
        <v>32.634830098140874</v>
      </c>
    </row>
    <row r="150" spans="1:5" x14ac:dyDescent="0.25">
      <c r="A150" t="s">
        <v>31</v>
      </c>
      <c r="B150" s="1" t="s">
        <v>4</v>
      </c>
      <c r="C150" s="2">
        <v>127843341</v>
      </c>
      <c r="D150">
        <f t="shared" si="4"/>
        <v>4.4660880556829262E-3</v>
      </c>
      <c r="E150">
        <f t="shared" si="5"/>
        <v>0.44660880556829263</v>
      </c>
    </row>
    <row r="151" spans="1:5" x14ac:dyDescent="0.25">
      <c r="A151" t="s">
        <v>31</v>
      </c>
      <c r="B151" s="1" t="s">
        <v>5</v>
      </c>
      <c r="C151" s="2">
        <v>133839523</v>
      </c>
      <c r="D151">
        <f t="shared" si="4"/>
        <v>4.6902575864315059E-2</v>
      </c>
      <c r="E151">
        <f t="shared" si="5"/>
        <v>4.6902575864315059</v>
      </c>
    </row>
    <row r="152" spans="1:5" x14ac:dyDescent="0.25">
      <c r="A152" t="s">
        <v>31</v>
      </c>
      <c r="B152" s="1" t="s">
        <v>6</v>
      </c>
      <c r="C152" s="2">
        <v>132648354</v>
      </c>
      <c r="D152">
        <f t="shared" si="4"/>
        <v>-8.8999794178883911E-3</v>
      </c>
      <c r="E152">
        <f t="shared" si="5"/>
        <v>-0.88999794178883906</v>
      </c>
    </row>
    <row r="153" spans="1:5" x14ac:dyDescent="0.25">
      <c r="A153" t="s">
        <v>31</v>
      </c>
      <c r="B153" s="1" t="s">
        <v>7</v>
      </c>
      <c r="C153" s="2">
        <v>136248157</v>
      </c>
      <c r="D153">
        <f t="shared" si="4"/>
        <v>2.7137939457582715E-2</v>
      </c>
      <c r="E153">
        <f t="shared" si="5"/>
        <v>2.7137939457582716</v>
      </c>
    </row>
    <row r="154" spans="1:5" x14ac:dyDescent="0.25">
      <c r="A154" t="s">
        <v>31</v>
      </c>
      <c r="B154" s="1" t="s">
        <v>8</v>
      </c>
      <c r="C154" s="2">
        <v>137075803</v>
      </c>
      <c r="D154">
        <f t="shared" si="4"/>
        <v>6.0745482230633039E-3</v>
      </c>
      <c r="E154">
        <f t="shared" si="5"/>
        <v>0.60745482230633041</v>
      </c>
    </row>
    <row r="155" spans="1:5" x14ac:dyDescent="0.25">
      <c r="A155" t="s">
        <v>31</v>
      </c>
      <c r="B155" s="1" t="s">
        <v>9</v>
      </c>
      <c r="C155" s="2">
        <v>136104941</v>
      </c>
      <c r="D155">
        <f t="shared" si="4"/>
        <v>-7.0826650565016204E-3</v>
      </c>
      <c r="E155">
        <f t="shared" si="5"/>
        <v>-0.70826650565016203</v>
      </c>
    </row>
    <row r="156" spans="1:5" x14ac:dyDescent="0.25">
      <c r="A156" t="s">
        <v>31</v>
      </c>
      <c r="B156" s="1" t="s">
        <v>10</v>
      </c>
      <c r="C156" s="2">
        <v>135545876</v>
      </c>
      <c r="D156">
        <f t="shared" si="4"/>
        <v>-4.1076025300213021E-3</v>
      </c>
      <c r="E156">
        <f t="shared" si="5"/>
        <v>-0.4107602530021302</v>
      </c>
    </row>
    <row r="157" spans="1:5" x14ac:dyDescent="0.25">
      <c r="A157" t="s">
        <v>31</v>
      </c>
      <c r="B157" s="1" t="s">
        <v>11</v>
      </c>
      <c r="C157" s="2">
        <v>132491854</v>
      </c>
      <c r="D157">
        <f t="shared" si="4"/>
        <v>-2.2531279372896597E-2</v>
      </c>
      <c r="E157">
        <f t="shared" si="5"/>
        <v>-2.2531279372896598</v>
      </c>
    </row>
    <row r="158" spans="1:5" x14ac:dyDescent="0.25">
      <c r="A158" t="s">
        <v>31</v>
      </c>
      <c r="B158" s="1" t="s">
        <v>12</v>
      </c>
      <c r="C158" s="2">
        <v>131705526</v>
      </c>
      <c r="D158">
        <f t="shared" si="4"/>
        <v>-5.9349158175415074E-3</v>
      </c>
      <c r="E158">
        <f t="shared" si="5"/>
        <v>-0.59349158175415073</v>
      </c>
    </row>
    <row r="159" spans="1:5" x14ac:dyDescent="0.25">
      <c r="A159" t="s">
        <v>31</v>
      </c>
      <c r="B159" s="1" t="s">
        <v>13</v>
      </c>
      <c r="C159" s="2">
        <v>121709076</v>
      </c>
      <c r="D159">
        <f t="shared" si="4"/>
        <v>-7.590000437794843E-2</v>
      </c>
      <c r="E159">
        <f t="shared" si="5"/>
        <v>-7.5900004377948429</v>
      </c>
    </row>
    <row r="160" spans="1:5" x14ac:dyDescent="0.25">
      <c r="A160" t="s">
        <v>31</v>
      </c>
      <c r="B160" s="1" t="s">
        <v>14</v>
      </c>
      <c r="C160" s="2">
        <v>116775318</v>
      </c>
      <c r="D160">
        <f t="shared" si="4"/>
        <v>-4.0537305533401631E-2</v>
      </c>
      <c r="E160">
        <f t="shared" si="5"/>
        <v>-4.0537305533401629</v>
      </c>
    </row>
    <row r="161" spans="1:5" x14ac:dyDescent="0.25">
      <c r="A161" t="s">
        <v>31</v>
      </c>
      <c r="B161" s="1" t="s">
        <v>15</v>
      </c>
      <c r="C161" s="2">
        <v>113587709</v>
      </c>
      <c r="D161">
        <f t="shared" si="4"/>
        <v>-2.7296941293707289E-2</v>
      </c>
      <c r="E161">
        <f t="shared" si="5"/>
        <v>-2.7296941293707291</v>
      </c>
    </row>
    <row r="162" spans="1:5" x14ac:dyDescent="0.25">
      <c r="A162" t="s">
        <v>31</v>
      </c>
      <c r="B162" s="1" t="s">
        <v>16</v>
      </c>
      <c r="C162" s="2">
        <v>112469011</v>
      </c>
      <c r="D162">
        <f t="shared" si="4"/>
        <v>-9.8487592526406188E-3</v>
      </c>
      <c r="E162">
        <f t="shared" si="5"/>
        <v>-0.98487592526406187</v>
      </c>
    </row>
    <row r="163" spans="1:5" x14ac:dyDescent="0.25">
      <c r="A163" t="s">
        <v>31</v>
      </c>
      <c r="B163" s="1" t="s">
        <v>17</v>
      </c>
      <c r="C163" s="2">
        <v>110891662</v>
      </c>
      <c r="D163">
        <f t="shared" si="4"/>
        <v>-1.4024743224602553E-2</v>
      </c>
      <c r="E163">
        <f t="shared" si="5"/>
        <v>-1.4024743224602554</v>
      </c>
    </row>
    <row r="164" spans="1:5" x14ac:dyDescent="0.25">
      <c r="A164" t="s">
        <v>31</v>
      </c>
      <c r="B164" s="1" t="s">
        <v>18</v>
      </c>
      <c r="C164" s="2">
        <v>109449083</v>
      </c>
      <c r="D164">
        <f t="shared" si="4"/>
        <v>-1.3008904132034742E-2</v>
      </c>
      <c r="E164">
        <f t="shared" si="5"/>
        <v>-1.3008904132034742</v>
      </c>
    </row>
    <row r="165" spans="1:5" x14ac:dyDescent="0.25">
      <c r="A165" t="s">
        <v>31</v>
      </c>
      <c r="B165" s="1" t="s">
        <v>19</v>
      </c>
      <c r="C165" s="2">
        <v>111281807</v>
      </c>
      <c r="D165">
        <f t="shared" si="4"/>
        <v>1.6744991824189152E-2</v>
      </c>
      <c r="E165">
        <f t="shared" si="5"/>
        <v>1.6744991824189153</v>
      </c>
    </row>
    <row r="166" spans="1:5" x14ac:dyDescent="0.25">
      <c r="A166" t="s">
        <v>31</v>
      </c>
      <c r="B166" s="1" t="s">
        <v>20</v>
      </c>
      <c r="C166" s="2">
        <v>109717554</v>
      </c>
      <c r="D166">
        <f t="shared" si="4"/>
        <v>-1.4056682239173201E-2</v>
      </c>
      <c r="E166">
        <f t="shared" si="5"/>
        <v>-1.4056682239173202</v>
      </c>
    </row>
    <row r="167" spans="1:5" x14ac:dyDescent="0.25">
      <c r="A167" t="s">
        <v>31</v>
      </c>
      <c r="B167" s="1" t="s">
        <v>21</v>
      </c>
      <c r="C167" s="2">
        <v>116426349</v>
      </c>
      <c r="D167">
        <f t="shared" si="4"/>
        <v>6.1146049610256534E-2</v>
      </c>
      <c r="E167">
        <f t="shared" si="5"/>
        <v>6.1146049610256537</v>
      </c>
    </row>
    <row r="168" spans="1:5" x14ac:dyDescent="0.25">
      <c r="A168" t="s">
        <v>31</v>
      </c>
      <c r="B168" s="1" t="s">
        <v>22</v>
      </c>
      <c r="C168" s="2">
        <v>114731259</v>
      </c>
      <c r="D168">
        <f t="shared" si="4"/>
        <v>-1.4559333128276659E-2</v>
      </c>
      <c r="E168">
        <f t="shared" si="5"/>
        <v>-1.4559333128276659</v>
      </c>
    </row>
    <row r="169" spans="1:5" x14ac:dyDescent="0.25">
      <c r="A169" t="s">
        <v>31</v>
      </c>
      <c r="B169" s="1" t="s">
        <v>23</v>
      </c>
      <c r="C169" s="2">
        <v>120287068</v>
      </c>
      <c r="D169">
        <f t="shared" si="4"/>
        <v>4.8424544874906321E-2</v>
      </c>
      <c r="E169">
        <f t="shared" si="5"/>
        <v>4.8424544874906319</v>
      </c>
    </row>
    <row r="170" spans="1:5" x14ac:dyDescent="0.25">
      <c r="A170" t="s">
        <v>32</v>
      </c>
      <c r="B170" s="1" t="s">
        <v>3</v>
      </c>
      <c r="C170" s="2">
        <v>182294121</v>
      </c>
      <c r="D170">
        <f t="shared" si="4"/>
        <v>0.51549226388991376</v>
      </c>
      <c r="E170">
        <f t="shared" si="5"/>
        <v>51.549226388991379</v>
      </c>
    </row>
    <row r="171" spans="1:5" x14ac:dyDescent="0.25">
      <c r="A171" t="s">
        <v>32</v>
      </c>
      <c r="B171" s="1" t="s">
        <v>4</v>
      </c>
      <c r="C171" s="2">
        <v>176642758</v>
      </c>
      <c r="D171">
        <f t="shared" si="4"/>
        <v>-3.10013453478294E-2</v>
      </c>
      <c r="E171">
        <f t="shared" si="5"/>
        <v>-3.1001345347829399</v>
      </c>
    </row>
    <row r="172" spans="1:5" x14ac:dyDescent="0.25">
      <c r="A172" t="s">
        <v>32</v>
      </c>
      <c r="B172" s="1" t="s">
        <v>5</v>
      </c>
      <c r="C172" s="2">
        <v>183661279</v>
      </c>
      <c r="D172">
        <f t="shared" si="4"/>
        <v>3.9732854488152863E-2</v>
      </c>
      <c r="E172">
        <f t="shared" si="5"/>
        <v>3.9732854488152864</v>
      </c>
    </row>
    <row r="173" spans="1:5" x14ac:dyDescent="0.25">
      <c r="A173" t="s">
        <v>32</v>
      </c>
      <c r="B173" s="1" t="s">
        <v>6</v>
      </c>
      <c r="C173" s="2">
        <v>180856764</v>
      </c>
      <c r="D173">
        <f t="shared" si="4"/>
        <v>-1.5270039581941494E-2</v>
      </c>
      <c r="E173">
        <f t="shared" si="5"/>
        <v>-1.5270039581941495</v>
      </c>
    </row>
    <row r="174" spans="1:5" x14ac:dyDescent="0.25">
      <c r="A174" t="s">
        <v>32</v>
      </c>
      <c r="B174" s="1" t="s">
        <v>7</v>
      </c>
      <c r="C174" s="2">
        <v>186513788</v>
      </c>
      <c r="D174">
        <f t="shared" si="4"/>
        <v>3.1279029187982151E-2</v>
      </c>
      <c r="E174">
        <f t="shared" si="5"/>
        <v>3.127902918798215</v>
      </c>
    </row>
    <row r="175" spans="1:5" x14ac:dyDescent="0.25">
      <c r="A175" t="s">
        <v>32</v>
      </c>
      <c r="B175" s="1" t="s">
        <v>8</v>
      </c>
      <c r="C175" s="2">
        <v>185935010</v>
      </c>
      <c r="D175">
        <f t="shared" si="4"/>
        <v>-3.1031378763268697E-3</v>
      </c>
      <c r="E175">
        <f t="shared" si="5"/>
        <v>-0.31031378763268697</v>
      </c>
    </row>
    <row r="176" spans="1:5" x14ac:dyDescent="0.25">
      <c r="A176" t="s">
        <v>32</v>
      </c>
      <c r="B176" s="1" t="s">
        <v>9</v>
      </c>
      <c r="C176" s="2">
        <v>188247439</v>
      </c>
      <c r="D176">
        <f t="shared" si="4"/>
        <v>1.2436759489243042E-2</v>
      </c>
      <c r="E176">
        <f t="shared" si="5"/>
        <v>1.2436759489243043</v>
      </c>
    </row>
    <row r="177" spans="1:5" x14ac:dyDescent="0.25">
      <c r="A177" t="s">
        <v>32</v>
      </c>
      <c r="B177" s="1" t="s">
        <v>10</v>
      </c>
      <c r="C177" s="2">
        <v>188950045</v>
      </c>
      <c r="D177">
        <f t="shared" si="4"/>
        <v>3.732353564714365E-3</v>
      </c>
      <c r="E177">
        <f t="shared" si="5"/>
        <v>0.37323535647143652</v>
      </c>
    </row>
    <row r="178" spans="1:5" x14ac:dyDescent="0.25">
      <c r="A178" t="s">
        <v>32</v>
      </c>
      <c r="B178" s="1" t="s">
        <v>11</v>
      </c>
      <c r="C178" s="2">
        <v>191451100</v>
      </c>
      <c r="D178">
        <f t="shared" si="4"/>
        <v>1.3236593830924993E-2</v>
      </c>
      <c r="E178">
        <f t="shared" si="5"/>
        <v>1.3236593830924994</v>
      </c>
    </row>
    <row r="179" spans="1:5" x14ac:dyDescent="0.25">
      <c r="A179" t="s">
        <v>32</v>
      </c>
      <c r="B179" s="1" t="s">
        <v>12</v>
      </c>
      <c r="C179" s="2">
        <v>191314879</v>
      </c>
      <c r="D179">
        <f t="shared" si="4"/>
        <v>-7.1151850263592113E-4</v>
      </c>
      <c r="E179">
        <f t="shared" si="5"/>
        <v>-7.1151850263592109E-2</v>
      </c>
    </row>
    <row r="180" spans="1:5" x14ac:dyDescent="0.25">
      <c r="A180" t="s">
        <v>32</v>
      </c>
      <c r="B180" s="1" t="s">
        <v>13</v>
      </c>
      <c r="C180" s="2">
        <v>183036862</v>
      </c>
      <c r="D180">
        <f t="shared" si="4"/>
        <v>-4.3269070567166917E-2</v>
      </c>
      <c r="E180">
        <f t="shared" si="5"/>
        <v>-4.3269070567166921</v>
      </c>
    </row>
    <row r="181" spans="1:5" x14ac:dyDescent="0.25">
      <c r="A181" t="s">
        <v>32</v>
      </c>
      <c r="B181" s="1" t="s">
        <v>14</v>
      </c>
      <c r="C181" s="2">
        <v>177812233</v>
      </c>
      <c r="D181">
        <f t="shared" si="4"/>
        <v>-2.8544135552323883E-2</v>
      </c>
      <c r="E181">
        <f t="shared" si="5"/>
        <v>-2.8544135552323882</v>
      </c>
    </row>
    <row r="182" spans="1:5" x14ac:dyDescent="0.25">
      <c r="A182" t="s">
        <v>32</v>
      </c>
      <c r="B182" s="1" t="s">
        <v>15</v>
      </c>
      <c r="C182" s="2">
        <v>171935239</v>
      </c>
      <c r="D182">
        <f t="shared" si="4"/>
        <v>-3.3051685482179398E-2</v>
      </c>
      <c r="E182">
        <f t="shared" si="5"/>
        <v>-3.3051685482179396</v>
      </c>
    </row>
    <row r="183" spans="1:5" x14ac:dyDescent="0.25">
      <c r="A183" t="s">
        <v>32</v>
      </c>
      <c r="B183" s="1" t="s">
        <v>16</v>
      </c>
      <c r="C183" s="2">
        <v>170353995</v>
      </c>
      <c r="D183">
        <f t="shared" si="4"/>
        <v>-9.1967418034647336E-3</v>
      </c>
      <c r="E183">
        <f t="shared" si="5"/>
        <v>-0.91967418034647341</v>
      </c>
    </row>
    <row r="184" spans="1:5" x14ac:dyDescent="0.25">
      <c r="A184" t="s">
        <v>32</v>
      </c>
      <c r="B184" s="1" t="s">
        <v>17</v>
      </c>
      <c r="C184" s="2">
        <v>170189837</v>
      </c>
      <c r="D184">
        <f t="shared" si="4"/>
        <v>-9.6362870738663918E-4</v>
      </c>
      <c r="E184">
        <f t="shared" si="5"/>
        <v>-9.6362870738663925E-2</v>
      </c>
    </row>
    <row r="185" spans="1:5" x14ac:dyDescent="0.25">
      <c r="A185" t="s">
        <v>32</v>
      </c>
      <c r="B185" s="1" t="s">
        <v>18</v>
      </c>
      <c r="C185" s="2">
        <v>173780448</v>
      </c>
      <c r="D185">
        <f t="shared" si="4"/>
        <v>2.1097681643587215E-2</v>
      </c>
      <c r="E185">
        <f t="shared" si="5"/>
        <v>2.1097681643587216</v>
      </c>
    </row>
    <row r="186" spans="1:5" x14ac:dyDescent="0.25">
      <c r="A186" t="s">
        <v>32</v>
      </c>
      <c r="B186" s="1" t="s">
        <v>19</v>
      </c>
      <c r="C186" s="2">
        <v>178056198</v>
      </c>
      <c r="D186">
        <f t="shared" si="4"/>
        <v>2.4604321425158254E-2</v>
      </c>
      <c r="E186">
        <f t="shared" si="5"/>
        <v>2.4604321425158253</v>
      </c>
    </row>
    <row r="187" spans="1:5" x14ac:dyDescent="0.25">
      <c r="A187" t="s">
        <v>32</v>
      </c>
      <c r="B187" s="1" t="s">
        <v>20</v>
      </c>
      <c r="C187" s="2">
        <v>178258238</v>
      </c>
      <c r="D187">
        <f t="shared" si="4"/>
        <v>1.1346979339635231E-3</v>
      </c>
      <c r="E187">
        <f t="shared" si="5"/>
        <v>0.11346979339635231</v>
      </c>
    </row>
    <row r="188" spans="1:5" x14ac:dyDescent="0.25">
      <c r="A188" t="s">
        <v>32</v>
      </c>
      <c r="B188" s="1" t="s">
        <v>21</v>
      </c>
      <c r="C188" s="2">
        <v>184713731</v>
      </c>
      <c r="D188">
        <f t="shared" si="4"/>
        <v>3.6214275830550959E-2</v>
      </c>
      <c r="E188">
        <f t="shared" si="5"/>
        <v>3.6214275830550959</v>
      </c>
    </row>
    <row r="189" spans="1:5" x14ac:dyDescent="0.25">
      <c r="A189" t="s">
        <v>32</v>
      </c>
      <c r="B189" s="1" t="s">
        <v>22</v>
      </c>
      <c r="C189" s="2">
        <v>189579296</v>
      </c>
      <c r="D189">
        <f t="shared" si="4"/>
        <v>2.6341111587421726E-2</v>
      </c>
      <c r="E189">
        <f t="shared" si="5"/>
        <v>2.6341111587421726</v>
      </c>
    </row>
    <row r="190" spans="1:5" x14ac:dyDescent="0.25">
      <c r="A190" t="s">
        <v>32</v>
      </c>
      <c r="B190" s="1" t="s">
        <v>23</v>
      </c>
      <c r="C190" s="2">
        <v>191347651</v>
      </c>
      <c r="D190">
        <f t="shared" si="4"/>
        <v>9.327785456065836E-3</v>
      </c>
      <c r="E190">
        <f t="shared" si="5"/>
        <v>0.93277854560658358</v>
      </c>
    </row>
    <row r="191" spans="1:5" x14ac:dyDescent="0.25">
      <c r="A191" t="s">
        <v>33</v>
      </c>
      <c r="B191" s="1" t="s">
        <v>3</v>
      </c>
      <c r="C191" s="2">
        <v>70701276</v>
      </c>
      <c r="D191">
        <f t="shared" si="4"/>
        <v>-0.63050878528945198</v>
      </c>
      <c r="E191">
        <f t="shared" si="5"/>
        <v>-63.050878528945198</v>
      </c>
    </row>
    <row r="192" spans="1:5" x14ac:dyDescent="0.25">
      <c r="A192" t="s">
        <v>33</v>
      </c>
      <c r="B192" s="1" t="s">
        <v>4</v>
      </c>
      <c r="C192" s="2">
        <v>71007594</v>
      </c>
      <c r="D192">
        <f t="shared" si="4"/>
        <v>4.3325667842260725E-3</v>
      </c>
      <c r="E192">
        <f t="shared" si="5"/>
        <v>0.43325667842260723</v>
      </c>
    </row>
    <row r="193" spans="1:5" x14ac:dyDescent="0.25">
      <c r="A193" t="s">
        <v>33</v>
      </c>
      <c r="B193" s="1" t="s">
        <v>5</v>
      </c>
      <c r="C193" s="2">
        <v>71890852</v>
      </c>
      <c r="D193">
        <f t="shared" si="4"/>
        <v>1.2438923081945292E-2</v>
      </c>
      <c r="E193">
        <f t="shared" si="5"/>
        <v>1.2438923081945292</v>
      </c>
    </row>
    <row r="194" spans="1:5" x14ac:dyDescent="0.25">
      <c r="A194" t="s">
        <v>33</v>
      </c>
      <c r="B194" s="1" t="s">
        <v>6</v>
      </c>
      <c r="C194" s="2">
        <v>74216000</v>
      </c>
      <c r="D194">
        <f t="shared" si="4"/>
        <v>3.2342752037491498E-2</v>
      </c>
      <c r="E194">
        <f t="shared" si="5"/>
        <v>3.2342752037491498</v>
      </c>
    </row>
    <row r="195" spans="1:5" x14ac:dyDescent="0.25">
      <c r="A195" t="s">
        <v>33</v>
      </c>
      <c r="B195" s="1" t="s">
        <v>7</v>
      </c>
      <c r="C195" s="2">
        <v>74991717</v>
      </c>
      <c r="D195">
        <f t="shared" si="4"/>
        <v>1.0452153174517625E-2</v>
      </c>
      <c r="E195">
        <f t="shared" si="5"/>
        <v>1.0452153174517624</v>
      </c>
    </row>
    <row r="196" spans="1:5" x14ac:dyDescent="0.25">
      <c r="A196" t="s">
        <v>33</v>
      </c>
      <c r="B196" s="1" t="s">
        <v>8</v>
      </c>
      <c r="C196" s="2">
        <v>75410928</v>
      </c>
      <c r="D196">
        <f t="shared" ref="D196:D259" si="6">(C196-C195)/C195</f>
        <v>5.5900973703535816E-3</v>
      </c>
      <c r="E196">
        <f t="shared" ref="E196:E259" si="7">D196*100</f>
        <v>0.55900973703535817</v>
      </c>
    </row>
    <row r="197" spans="1:5" x14ac:dyDescent="0.25">
      <c r="A197" t="s">
        <v>33</v>
      </c>
      <c r="B197" s="1" t="s">
        <v>9</v>
      </c>
      <c r="C197" s="2">
        <v>77802714</v>
      </c>
      <c r="D197">
        <f t="shared" si="6"/>
        <v>3.1716702916054822E-2</v>
      </c>
      <c r="E197">
        <f t="shared" si="7"/>
        <v>3.1716702916054822</v>
      </c>
    </row>
    <row r="198" spans="1:5" x14ac:dyDescent="0.25">
      <c r="A198" t="s">
        <v>33</v>
      </c>
      <c r="B198" s="1" t="s">
        <v>10</v>
      </c>
      <c r="C198" s="2">
        <v>81481133</v>
      </c>
      <c r="D198">
        <f t="shared" si="6"/>
        <v>4.7278800582714893E-2</v>
      </c>
      <c r="E198">
        <f t="shared" si="7"/>
        <v>4.7278800582714897</v>
      </c>
    </row>
    <row r="199" spans="1:5" x14ac:dyDescent="0.25">
      <c r="A199" t="s">
        <v>33</v>
      </c>
      <c r="B199" s="1" t="s">
        <v>11</v>
      </c>
      <c r="C199" s="2">
        <v>81514657</v>
      </c>
      <c r="D199">
        <f t="shared" si="6"/>
        <v>4.1143266871362727E-4</v>
      </c>
      <c r="E199">
        <f t="shared" si="7"/>
        <v>4.114326687136273E-2</v>
      </c>
    </row>
    <row r="200" spans="1:5" x14ac:dyDescent="0.25">
      <c r="A200" t="s">
        <v>33</v>
      </c>
      <c r="B200" s="1" t="s">
        <v>12</v>
      </c>
      <c r="C200" s="2">
        <v>82323287</v>
      </c>
      <c r="D200">
        <f t="shared" si="6"/>
        <v>9.920056462974506E-3</v>
      </c>
      <c r="E200">
        <f t="shared" si="7"/>
        <v>0.99200564629745058</v>
      </c>
    </row>
    <row r="201" spans="1:5" x14ac:dyDescent="0.25">
      <c r="A201" t="s">
        <v>33</v>
      </c>
      <c r="B201" s="1" t="s">
        <v>13</v>
      </c>
      <c r="C201" s="2">
        <v>85467829</v>
      </c>
      <c r="D201">
        <f t="shared" si="6"/>
        <v>3.8197478679392383E-2</v>
      </c>
      <c r="E201">
        <f t="shared" si="7"/>
        <v>3.8197478679392383</v>
      </c>
    </row>
    <row r="202" spans="1:5" x14ac:dyDescent="0.25">
      <c r="A202" t="s">
        <v>33</v>
      </c>
      <c r="B202" s="1" t="s">
        <v>14</v>
      </c>
      <c r="C202" s="2">
        <v>88596458</v>
      </c>
      <c r="D202">
        <f t="shared" si="6"/>
        <v>3.6605925722063212E-2</v>
      </c>
      <c r="E202">
        <f t="shared" si="7"/>
        <v>3.6605925722063213</v>
      </c>
    </row>
    <row r="203" spans="1:5" x14ac:dyDescent="0.25">
      <c r="A203" t="s">
        <v>33</v>
      </c>
      <c r="B203" s="1" t="s">
        <v>15</v>
      </c>
      <c r="C203" s="2">
        <v>89095582</v>
      </c>
      <c r="D203">
        <f t="shared" si="6"/>
        <v>5.6336789445916675E-3</v>
      </c>
      <c r="E203">
        <f t="shared" si="7"/>
        <v>0.5633678944591668</v>
      </c>
    </row>
    <row r="204" spans="1:5" x14ac:dyDescent="0.25">
      <c r="A204" t="s">
        <v>33</v>
      </c>
      <c r="B204" s="1" t="s">
        <v>16</v>
      </c>
      <c r="C204" s="2">
        <v>90814201</v>
      </c>
      <c r="D204">
        <f t="shared" si="6"/>
        <v>1.9289609668861021E-2</v>
      </c>
      <c r="E204">
        <f t="shared" si="7"/>
        <v>1.9289609668861021</v>
      </c>
    </row>
    <row r="205" spans="1:5" x14ac:dyDescent="0.25">
      <c r="A205" t="s">
        <v>33</v>
      </c>
      <c r="B205" s="1" t="s">
        <v>17</v>
      </c>
      <c r="C205" s="2">
        <v>91251411</v>
      </c>
      <c r="D205">
        <f t="shared" si="6"/>
        <v>4.8143351500719586E-3</v>
      </c>
      <c r="E205">
        <f t="shared" si="7"/>
        <v>0.48143351500719589</v>
      </c>
    </row>
    <row r="206" spans="1:5" x14ac:dyDescent="0.25">
      <c r="A206" t="s">
        <v>33</v>
      </c>
      <c r="B206" s="1" t="s">
        <v>18</v>
      </c>
      <c r="C206" s="2">
        <v>94734918</v>
      </c>
      <c r="D206">
        <f t="shared" si="6"/>
        <v>3.8174828880180277E-2</v>
      </c>
      <c r="E206">
        <f t="shared" si="7"/>
        <v>3.8174828880180276</v>
      </c>
    </row>
    <row r="207" spans="1:5" x14ac:dyDescent="0.25">
      <c r="A207" t="s">
        <v>33</v>
      </c>
      <c r="B207" s="1" t="s">
        <v>19</v>
      </c>
      <c r="C207" s="2">
        <v>95443112</v>
      </c>
      <c r="D207">
        <f t="shared" si="6"/>
        <v>7.4755329391851056E-3</v>
      </c>
      <c r="E207">
        <f t="shared" si="7"/>
        <v>0.74755329391851055</v>
      </c>
    </row>
    <row r="208" spans="1:5" x14ac:dyDescent="0.25">
      <c r="A208" t="s">
        <v>33</v>
      </c>
      <c r="B208" s="1" t="s">
        <v>20</v>
      </c>
      <c r="C208" s="2">
        <v>98256294</v>
      </c>
      <c r="D208">
        <f t="shared" si="6"/>
        <v>2.9474960958942746E-2</v>
      </c>
      <c r="E208">
        <f t="shared" si="7"/>
        <v>2.9474960958942744</v>
      </c>
    </row>
    <row r="209" spans="1:5" x14ac:dyDescent="0.25">
      <c r="A209" t="s">
        <v>33</v>
      </c>
      <c r="B209" s="1" t="s">
        <v>21</v>
      </c>
      <c r="C209" s="2">
        <v>103021079</v>
      </c>
      <c r="D209">
        <f t="shared" si="6"/>
        <v>4.8493432899067004E-2</v>
      </c>
      <c r="E209">
        <f t="shared" si="7"/>
        <v>4.8493432899067006</v>
      </c>
    </row>
    <row r="210" spans="1:5" x14ac:dyDescent="0.25">
      <c r="A210" t="s">
        <v>33</v>
      </c>
      <c r="B210" s="1" t="s">
        <v>22</v>
      </c>
      <c r="C210" s="2">
        <v>105768240</v>
      </c>
      <c r="D210">
        <f t="shared" si="6"/>
        <v>2.66660088077703E-2</v>
      </c>
      <c r="E210">
        <f t="shared" si="7"/>
        <v>2.6666008807770298</v>
      </c>
    </row>
    <row r="211" spans="1:5" x14ac:dyDescent="0.25">
      <c r="A211" t="s">
        <v>33</v>
      </c>
      <c r="B211" s="1" t="s">
        <v>23</v>
      </c>
      <c r="C211" s="2">
        <v>107993106</v>
      </c>
      <c r="D211">
        <f t="shared" si="6"/>
        <v>2.1035293770606374E-2</v>
      </c>
      <c r="E211">
        <f t="shared" si="7"/>
        <v>2.1035293770606374</v>
      </c>
    </row>
    <row r="212" spans="1:5" x14ac:dyDescent="0.25">
      <c r="A212" t="s">
        <v>34</v>
      </c>
      <c r="B212" s="1" t="s">
        <v>3</v>
      </c>
      <c r="C212" s="2">
        <v>105977270</v>
      </c>
      <c r="D212">
        <f t="shared" si="6"/>
        <v>-1.8666339682831237E-2</v>
      </c>
      <c r="E212">
        <f t="shared" si="7"/>
        <v>-1.8666339682831237</v>
      </c>
    </row>
    <row r="213" spans="1:5" x14ac:dyDescent="0.25">
      <c r="A213" t="s">
        <v>34</v>
      </c>
      <c r="B213" s="1" t="s">
        <v>4</v>
      </c>
      <c r="C213" s="2">
        <v>110381295</v>
      </c>
      <c r="D213">
        <f t="shared" si="6"/>
        <v>4.1556316746034314E-2</v>
      </c>
      <c r="E213">
        <f t="shared" si="7"/>
        <v>4.1556316746034314</v>
      </c>
    </row>
    <row r="214" spans="1:5" x14ac:dyDescent="0.25">
      <c r="A214" t="s">
        <v>34</v>
      </c>
      <c r="B214" s="1" t="s">
        <v>5</v>
      </c>
      <c r="C214" s="2">
        <v>116534559</v>
      </c>
      <c r="D214">
        <f t="shared" si="6"/>
        <v>5.5745531885633338E-2</v>
      </c>
      <c r="E214">
        <f t="shared" si="7"/>
        <v>5.5745531885633337</v>
      </c>
    </row>
    <row r="215" spans="1:5" x14ac:dyDescent="0.25">
      <c r="A215" t="s">
        <v>34</v>
      </c>
      <c r="B215" s="1" t="s">
        <v>6</v>
      </c>
      <c r="C215" s="2">
        <v>119524010</v>
      </c>
      <c r="D215">
        <f t="shared" si="6"/>
        <v>2.5652913827905764E-2</v>
      </c>
      <c r="E215">
        <f t="shared" si="7"/>
        <v>2.5652913827905763</v>
      </c>
    </row>
    <row r="216" spans="1:5" x14ac:dyDescent="0.25">
      <c r="A216" t="s">
        <v>34</v>
      </c>
      <c r="B216" s="1" t="s">
        <v>7</v>
      </c>
      <c r="C216" s="2">
        <v>117408472</v>
      </c>
      <c r="D216">
        <f t="shared" si="6"/>
        <v>-1.7699690631196193E-2</v>
      </c>
      <c r="E216">
        <f t="shared" si="7"/>
        <v>-1.7699690631196192</v>
      </c>
    </row>
    <row r="217" spans="1:5" x14ac:dyDescent="0.25">
      <c r="A217" t="s">
        <v>34</v>
      </c>
      <c r="B217" s="1" t="s">
        <v>8</v>
      </c>
      <c r="C217" s="2">
        <v>117077135</v>
      </c>
      <c r="D217">
        <f t="shared" si="6"/>
        <v>-2.822087659909244E-3</v>
      </c>
      <c r="E217">
        <f t="shared" si="7"/>
        <v>-0.28220876599092443</v>
      </c>
    </row>
    <row r="218" spans="1:5" x14ac:dyDescent="0.25">
      <c r="A218" t="s">
        <v>34</v>
      </c>
      <c r="B218" s="1" t="s">
        <v>9</v>
      </c>
      <c r="C218" s="2">
        <v>118834441</v>
      </c>
      <c r="D218">
        <f t="shared" si="6"/>
        <v>1.5009813829147766E-2</v>
      </c>
      <c r="E218">
        <f t="shared" si="7"/>
        <v>1.5009813829147767</v>
      </c>
    </row>
    <row r="219" spans="1:5" x14ac:dyDescent="0.25">
      <c r="A219" t="s">
        <v>34</v>
      </c>
      <c r="B219" s="1" t="s">
        <v>10</v>
      </c>
      <c r="C219" s="2">
        <v>119553224</v>
      </c>
      <c r="D219">
        <f t="shared" si="6"/>
        <v>6.0486084164775092E-3</v>
      </c>
      <c r="E219">
        <f t="shared" si="7"/>
        <v>0.60486084164775089</v>
      </c>
    </row>
    <row r="220" spans="1:5" x14ac:dyDescent="0.25">
      <c r="A220" t="s">
        <v>34</v>
      </c>
      <c r="B220" s="1" t="s">
        <v>11</v>
      </c>
      <c r="C220" s="2">
        <v>118651323</v>
      </c>
      <c r="D220">
        <f t="shared" si="6"/>
        <v>-7.543928719145207E-3</v>
      </c>
      <c r="E220">
        <f t="shared" si="7"/>
        <v>-0.75439287191452076</v>
      </c>
    </row>
    <row r="221" spans="1:5" x14ac:dyDescent="0.25">
      <c r="A221" t="s">
        <v>34</v>
      </c>
      <c r="B221" s="1" t="s">
        <v>12</v>
      </c>
      <c r="C221" s="2">
        <v>123482586</v>
      </c>
      <c r="D221">
        <f t="shared" si="6"/>
        <v>4.0718155329797716E-2</v>
      </c>
      <c r="E221">
        <f t="shared" si="7"/>
        <v>4.0718155329797714</v>
      </c>
    </row>
    <row r="222" spans="1:5" x14ac:dyDescent="0.25">
      <c r="A222" t="s">
        <v>34</v>
      </c>
      <c r="B222" s="1" t="s">
        <v>13</v>
      </c>
      <c r="C222" s="2">
        <v>117156524</v>
      </c>
      <c r="D222">
        <f t="shared" si="6"/>
        <v>-5.1230397782566682E-2</v>
      </c>
      <c r="E222">
        <f t="shared" si="7"/>
        <v>-5.1230397782566683</v>
      </c>
    </row>
    <row r="223" spans="1:5" x14ac:dyDescent="0.25">
      <c r="A223" t="s">
        <v>34</v>
      </c>
      <c r="B223" s="1" t="s">
        <v>14</v>
      </c>
      <c r="C223" s="2">
        <v>118577108</v>
      </c>
      <c r="D223">
        <f t="shared" si="6"/>
        <v>1.2125521921425391E-2</v>
      </c>
      <c r="E223">
        <f t="shared" si="7"/>
        <v>1.2125521921425391</v>
      </c>
    </row>
    <row r="224" spans="1:5" x14ac:dyDescent="0.25">
      <c r="A224" t="s">
        <v>34</v>
      </c>
      <c r="B224" s="1" t="s">
        <v>15</v>
      </c>
      <c r="C224" s="2">
        <v>114549272</v>
      </c>
      <c r="D224">
        <f t="shared" si="6"/>
        <v>-3.3968074174991689E-2</v>
      </c>
      <c r="E224">
        <f t="shared" si="7"/>
        <v>-3.3968074174991689</v>
      </c>
    </row>
    <row r="225" spans="1:5" x14ac:dyDescent="0.25">
      <c r="A225" t="s">
        <v>34</v>
      </c>
      <c r="B225" s="1" t="s">
        <v>16</v>
      </c>
      <c r="C225" s="2">
        <v>114571797</v>
      </c>
      <c r="D225">
        <f t="shared" si="6"/>
        <v>1.9664027196960275E-4</v>
      </c>
      <c r="E225">
        <f t="shared" si="7"/>
        <v>1.9664027196960275E-2</v>
      </c>
    </row>
    <row r="226" spans="1:5" x14ac:dyDescent="0.25">
      <c r="A226" t="s">
        <v>34</v>
      </c>
      <c r="B226" s="1" t="s">
        <v>17</v>
      </c>
      <c r="C226" s="2">
        <v>115176963</v>
      </c>
      <c r="D226">
        <f t="shared" si="6"/>
        <v>5.2819805209130136E-3</v>
      </c>
      <c r="E226">
        <f t="shared" si="7"/>
        <v>0.52819805209130133</v>
      </c>
    </row>
    <row r="227" spans="1:5" x14ac:dyDescent="0.25">
      <c r="A227" t="s">
        <v>34</v>
      </c>
      <c r="B227" s="1" t="s">
        <v>18</v>
      </c>
      <c r="C227" s="2">
        <v>117039077</v>
      </c>
      <c r="D227">
        <f t="shared" si="6"/>
        <v>1.6167417090169323E-2</v>
      </c>
      <c r="E227">
        <f t="shared" si="7"/>
        <v>1.6167417090169323</v>
      </c>
    </row>
    <row r="228" spans="1:5" x14ac:dyDescent="0.25">
      <c r="A228" t="s">
        <v>34</v>
      </c>
      <c r="B228" s="1" t="s">
        <v>19</v>
      </c>
      <c r="C228" s="2">
        <v>120500106</v>
      </c>
      <c r="D228">
        <f t="shared" si="6"/>
        <v>2.957156779354984E-2</v>
      </c>
      <c r="E228">
        <f t="shared" si="7"/>
        <v>2.957156779354984</v>
      </c>
    </row>
    <row r="229" spans="1:5" x14ac:dyDescent="0.25">
      <c r="A229" t="s">
        <v>34</v>
      </c>
      <c r="B229" s="1" t="s">
        <v>20</v>
      </c>
      <c r="C229" s="2">
        <v>122995313</v>
      </c>
      <c r="D229">
        <f t="shared" si="6"/>
        <v>2.0707093817826185E-2</v>
      </c>
      <c r="E229">
        <f t="shared" si="7"/>
        <v>2.0707093817826183</v>
      </c>
    </row>
    <row r="230" spans="1:5" x14ac:dyDescent="0.25">
      <c r="A230" t="s">
        <v>34</v>
      </c>
      <c r="B230" s="1" t="s">
        <v>21</v>
      </c>
      <c r="C230" s="2">
        <v>126816000</v>
      </c>
      <c r="D230">
        <f t="shared" si="6"/>
        <v>3.1063679637938723E-2</v>
      </c>
      <c r="E230">
        <f t="shared" si="7"/>
        <v>3.1063679637938724</v>
      </c>
    </row>
    <row r="231" spans="1:5" x14ac:dyDescent="0.25">
      <c r="A231" t="s">
        <v>34</v>
      </c>
      <c r="B231" s="1" t="s">
        <v>22</v>
      </c>
      <c r="C231" s="2">
        <v>131164973</v>
      </c>
      <c r="D231">
        <f t="shared" si="6"/>
        <v>3.4293567057784503E-2</v>
      </c>
      <c r="E231">
        <f t="shared" si="7"/>
        <v>3.4293567057784502</v>
      </c>
    </row>
    <row r="232" spans="1:5" x14ac:dyDescent="0.25">
      <c r="A232" t="s">
        <v>34</v>
      </c>
      <c r="B232" s="1" t="s">
        <v>23</v>
      </c>
      <c r="C232" s="2">
        <v>137161734</v>
      </c>
      <c r="D232">
        <f t="shared" si="6"/>
        <v>4.5719225665528863E-2</v>
      </c>
      <c r="E232">
        <f t="shared" si="7"/>
        <v>4.5719225665528862</v>
      </c>
    </row>
    <row r="233" spans="1:5" x14ac:dyDescent="0.25">
      <c r="A233" t="s">
        <v>35</v>
      </c>
      <c r="B233" s="1" t="s">
        <v>3</v>
      </c>
      <c r="C233" s="2">
        <v>4528965</v>
      </c>
      <c r="D233">
        <f t="shared" si="6"/>
        <v>-0.9669808417557626</v>
      </c>
      <c r="E233">
        <f t="shared" si="7"/>
        <v>-96.698084175576255</v>
      </c>
    </row>
    <row r="234" spans="1:5" x14ac:dyDescent="0.25">
      <c r="A234" t="s">
        <v>35</v>
      </c>
      <c r="B234" s="1" t="s">
        <v>4</v>
      </c>
      <c r="C234" s="2">
        <v>4665321</v>
      </c>
      <c r="D234">
        <f t="shared" si="6"/>
        <v>3.0107541126946222E-2</v>
      </c>
      <c r="E234">
        <f t="shared" si="7"/>
        <v>3.0107541126946225</v>
      </c>
    </row>
    <row r="235" spans="1:5" x14ac:dyDescent="0.25">
      <c r="A235" t="s">
        <v>35</v>
      </c>
      <c r="B235" s="1" t="s">
        <v>5</v>
      </c>
      <c r="C235" s="2">
        <v>4749586</v>
      </c>
      <c r="D235">
        <f t="shared" si="6"/>
        <v>1.8061994019275416E-2</v>
      </c>
      <c r="E235">
        <f t="shared" si="7"/>
        <v>1.8061994019275416</v>
      </c>
    </row>
    <row r="236" spans="1:5" x14ac:dyDescent="0.25">
      <c r="A236" t="s">
        <v>35</v>
      </c>
      <c r="B236" s="1" t="s">
        <v>6</v>
      </c>
      <c r="C236" s="2">
        <v>4729122</v>
      </c>
      <c r="D236">
        <f t="shared" si="6"/>
        <v>-4.3085860536055147E-3</v>
      </c>
      <c r="E236">
        <f t="shared" si="7"/>
        <v>-0.43085860536055148</v>
      </c>
    </row>
    <row r="237" spans="1:5" x14ac:dyDescent="0.25">
      <c r="A237" t="s">
        <v>35</v>
      </c>
      <c r="B237" s="1" t="s">
        <v>7</v>
      </c>
      <c r="C237" s="2">
        <v>4766544</v>
      </c>
      <c r="D237">
        <f t="shared" si="6"/>
        <v>7.9130967651077719E-3</v>
      </c>
      <c r="E237">
        <f t="shared" si="7"/>
        <v>0.79130967651077722</v>
      </c>
    </row>
    <row r="238" spans="1:5" x14ac:dyDescent="0.25">
      <c r="A238" t="s">
        <v>35</v>
      </c>
      <c r="B238" s="1" t="s">
        <v>8</v>
      </c>
      <c r="C238" s="2">
        <v>4718968</v>
      </c>
      <c r="D238">
        <f t="shared" si="6"/>
        <v>-9.9812358807555325E-3</v>
      </c>
      <c r="E238">
        <f t="shared" si="7"/>
        <v>-0.99812358807555324</v>
      </c>
    </row>
    <row r="239" spans="1:5" x14ac:dyDescent="0.25">
      <c r="A239" t="s">
        <v>35</v>
      </c>
      <c r="B239" s="1" t="s">
        <v>9</v>
      </c>
      <c r="C239" s="2">
        <v>4689739</v>
      </c>
      <c r="D239">
        <f t="shared" si="6"/>
        <v>-6.1939390137843702E-3</v>
      </c>
      <c r="E239">
        <f t="shared" si="7"/>
        <v>-0.61939390137843697</v>
      </c>
    </row>
    <row r="240" spans="1:5" x14ac:dyDescent="0.25">
      <c r="A240" t="s">
        <v>35</v>
      </c>
      <c r="B240" s="1" t="s">
        <v>10</v>
      </c>
      <c r="C240" s="2">
        <v>4926273</v>
      </c>
      <c r="D240">
        <f t="shared" si="6"/>
        <v>5.0436495506466353E-2</v>
      </c>
      <c r="E240">
        <f t="shared" si="7"/>
        <v>5.0436495506466352</v>
      </c>
    </row>
    <row r="241" spans="1:5" x14ac:dyDescent="0.25">
      <c r="A241" t="s">
        <v>35</v>
      </c>
      <c r="B241" s="1" t="s">
        <v>11</v>
      </c>
      <c r="C241" s="2">
        <v>5165686</v>
      </c>
      <c r="D241">
        <f t="shared" si="6"/>
        <v>4.8599214862838497E-2</v>
      </c>
      <c r="E241">
        <f t="shared" si="7"/>
        <v>4.8599214862838496</v>
      </c>
    </row>
    <row r="242" spans="1:5" x14ac:dyDescent="0.25">
      <c r="A242" t="s">
        <v>35</v>
      </c>
      <c r="B242" s="1" t="s">
        <v>12</v>
      </c>
      <c r="C242" s="2">
        <v>5218425</v>
      </c>
      <c r="D242">
        <f t="shared" si="6"/>
        <v>1.0209486213447739E-2</v>
      </c>
      <c r="E242">
        <f t="shared" si="7"/>
        <v>1.0209486213447738</v>
      </c>
    </row>
    <row r="243" spans="1:5" x14ac:dyDescent="0.25">
      <c r="A243" t="s">
        <v>35</v>
      </c>
      <c r="B243" s="1" t="s">
        <v>13</v>
      </c>
      <c r="C243" s="2">
        <v>4916138</v>
      </c>
      <c r="D243">
        <f t="shared" si="6"/>
        <v>-5.7926864906557053E-2</v>
      </c>
      <c r="E243">
        <f t="shared" si="7"/>
        <v>-5.7926864906557052</v>
      </c>
    </row>
    <row r="244" spans="1:5" x14ac:dyDescent="0.25">
      <c r="A244" t="s">
        <v>35</v>
      </c>
      <c r="B244" s="1" t="s">
        <v>14</v>
      </c>
      <c r="C244" s="2">
        <v>4664302</v>
      </c>
      <c r="D244">
        <f t="shared" si="6"/>
        <v>-5.1226389495168771E-2</v>
      </c>
      <c r="E244">
        <f t="shared" si="7"/>
        <v>-5.1226389495168769</v>
      </c>
    </row>
    <row r="245" spans="1:5" x14ac:dyDescent="0.25">
      <c r="A245" t="s">
        <v>35</v>
      </c>
      <c r="B245" s="1" t="s">
        <v>15</v>
      </c>
      <c r="C245" s="2">
        <v>4576091</v>
      </c>
      <c r="D245">
        <f t="shared" si="6"/>
        <v>-1.8911940093072874E-2</v>
      </c>
      <c r="E245">
        <f t="shared" si="7"/>
        <v>-1.8911940093072874</v>
      </c>
    </row>
    <row r="246" spans="1:5" x14ac:dyDescent="0.25">
      <c r="A246" t="s">
        <v>35</v>
      </c>
      <c r="B246" s="1" t="s">
        <v>16</v>
      </c>
      <c r="C246" s="2">
        <v>4453290</v>
      </c>
      <c r="D246">
        <f t="shared" si="6"/>
        <v>-2.6835349209620177E-2</v>
      </c>
      <c r="E246">
        <f t="shared" si="7"/>
        <v>-2.6835349209620176</v>
      </c>
    </row>
    <row r="247" spans="1:5" x14ac:dyDescent="0.25">
      <c r="A247" t="s">
        <v>35</v>
      </c>
      <c r="B247" s="1" t="s">
        <v>17</v>
      </c>
      <c r="C247" s="2">
        <v>4365534</v>
      </c>
      <c r="D247">
        <f t="shared" si="6"/>
        <v>-1.9705880371590441E-2</v>
      </c>
      <c r="E247">
        <f t="shared" si="7"/>
        <v>-1.9705880371590441</v>
      </c>
    </row>
    <row r="248" spans="1:5" x14ac:dyDescent="0.25">
      <c r="A248" t="s">
        <v>35</v>
      </c>
      <c r="B248" s="1" t="s">
        <v>18</v>
      </c>
      <c r="C248" s="2">
        <v>4265270</v>
      </c>
      <c r="D248">
        <f t="shared" si="6"/>
        <v>-2.2967178814779589E-2</v>
      </c>
      <c r="E248">
        <f t="shared" si="7"/>
        <v>-2.2967178814779587</v>
      </c>
    </row>
    <row r="249" spans="1:5" x14ac:dyDescent="0.25">
      <c r="A249" t="s">
        <v>35</v>
      </c>
      <c r="B249" s="1" t="s">
        <v>19</v>
      </c>
      <c r="C249" s="2">
        <v>3970764</v>
      </c>
      <c r="D249">
        <f t="shared" si="6"/>
        <v>-6.9047445999901536E-2</v>
      </c>
      <c r="E249">
        <f t="shared" si="7"/>
        <v>-6.9047445999901536</v>
      </c>
    </row>
    <row r="250" spans="1:5" x14ac:dyDescent="0.25">
      <c r="A250" t="s">
        <v>35</v>
      </c>
      <c r="B250" s="1" t="s">
        <v>20</v>
      </c>
      <c r="C250" s="2">
        <v>4085998</v>
      </c>
      <c r="D250">
        <f t="shared" si="6"/>
        <v>2.9020611650553897E-2</v>
      </c>
      <c r="E250">
        <f t="shared" si="7"/>
        <v>2.9020611650553896</v>
      </c>
    </row>
    <row r="251" spans="1:5" x14ac:dyDescent="0.25">
      <c r="A251" t="s">
        <v>35</v>
      </c>
      <c r="B251" s="1" t="s">
        <v>21</v>
      </c>
      <c r="C251" s="2">
        <v>4057286</v>
      </c>
      <c r="D251">
        <f t="shared" si="6"/>
        <v>-7.0269246338348669E-3</v>
      </c>
      <c r="E251">
        <f t="shared" si="7"/>
        <v>-0.70269246338348668</v>
      </c>
    </row>
    <row r="252" spans="1:5" x14ac:dyDescent="0.25">
      <c r="A252" t="s">
        <v>35</v>
      </c>
      <c r="B252" s="1" t="s">
        <v>22</v>
      </c>
      <c r="C252" s="2">
        <v>3978576</v>
      </c>
      <c r="D252">
        <f t="shared" si="6"/>
        <v>-1.9399667659612853E-2</v>
      </c>
      <c r="E252">
        <f t="shared" si="7"/>
        <v>-1.9399667659612854</v>
      </c>
    </row>
    <row r="253" spans="1:5" x14ac:dyDescent="0.25">
      <c r="A253" t="s">
        <v>35</v>
      </c>
      <c r="B253" s="1" t="s">
        <v>23</v>
      </c>
      <c r="C253" s="2">
        <v>3845625</v>
      </c>
      <c r="D253">
        <f t="shared" si="6"/>
        <v>-3.3416730005911666E-2</v>
      </c>
      <c r="E253">
        <f t="shared" si="7"/>
        <v>-3.3416730005911663</v>
      </c>
    </row>
    <row r="254" spans="1:5" x14ac:dyDescent="0.25">
      <c r="A254" t="s">
        <v>36</v>
      </c>
      <c r="B254" s="1" t="s">
        <v>3</v>
      </c>
      <c r="C254" s="2">
        <v>31754413</v>
      </c>
      <c r="D254">
        <f t="shared" si="6"/>
        <v>7.2572827563790021</v>
      </c>
      <c r="E254">
        <f t="shared" si="7"/>
        <v>725.7282756379002</v>
      </c>
    </row>
    <row r="255" spans="1:5" x14ac:dyDescent="0.25">
      <c r="A255" t="s">
        <v>36</v>
      </c>
      <c r="B255" s="1" t="s">
        <v>4</v>
      </c>
      <c r="C255" s="2">
        <v>31407499</v>
      </c>
      <c r="D255">
        <f t="shared" si="6"/>
        <v>-1.0924906720839084E-2</v>
      </c>
      <c r="E255">
        <f t="shared" si="7"/>
        <v>-1.0924906720839085</v>
      </c>
    </row>
    <row r="256" spans="1:5" x14ac:dyDescent="0.25">
      <c r="A256" t="s">
        <v>36</v>
      </c>
      <c r="B256" s="1" t="s">
        <v>5</v>
      </c>
      <c r="C256" s="2">
        <v>32118304</v>
      </c>
      <c r="D256">
        <f t="shared" si="6"/>
        <v>2.2631696971478054E-2</v>
      </c>
      <c r="E256">
        <f t="shared" si="7"/>
        <v>2.2631696971478052</v>
      </c>
    </row>
    <row r="257" spans="1:5" x14ac:dyDescent="0.25">
      <c r="A257" t="s">
        <v>36</v>
      </c>
      <c r="B257" s="1" t="s">
        <v>6</v>
      </c>
      <c r="C257" s="2">
        <v>33073299</v>
      </c>
      <c r="D257">
        <f t="shared" si="6"/>
        <v>2.9733668378006509E-2</v>
      </c>
      <c r="E257">
        <f t="shared" si="7"/>
        <v>2.973366837800651</v>
      </c>
    </row>
    <row r="258" spans="1:5" x14ac:dyDescent="0.25">
      <c r="A258" t="s">
        <v>36</v>
      </c>
      <c r="B258" s="1" t="s">
        <v>7</v>
      </c>
      <c r="C258" s="2">
        <v>33893237</v>
      </c>
      <c r="D258">
        <f t="shared" si="6"/>
        <v>2.4791539543726798E-2</v>
      </c>
      <c r="E258">
        <f t="shared" si="7"/>
        <v>2.4791539543726797</v>
      </c>
    </row>
    <row r="259" spans="1:5" x14ac:dyDescent="0.25">
      <c r="A259" t="s">
        <v>36</v>
      </c>
      <c r="B259" s="1" t="s">
        <v>8</v>
      </c>
      <c r="C259" s="2">
        <v>33692065</v>
      </c>
      <c r="D259">
        <f t="shared" si="6"/>
        <v>-5.9354614019310106E-3</v>
      </c>
      <c r="E259">
        <f t="shared" si="7"/>
        <v>-0.59354614019310104</v>
      </c>
    </row>
    <row r="260" spans="1:5" x14ac:dyDescent="0.25">
      <c r="A260" t="s">
        <v>36</v>
      </c>
      <c r="B260" s="1" t="s">
        <v>9</v>
      </c>
      <c r="C260" s="2">
        <v>34768927</v>
      </c>
      <c r="D260">
        <f t="shared" ref="D260:D323" si="8">(C260-C259)/C259</f>
        <v>3.1961887761999749E-2</v>
      </c>
      <c r="E260">
        <f t="shared" ref="E260:E323" si="9">D260*100</f>
        <v>3.1961887761999748</v>
      </c>
    </row>
    <row r="261" spans="1:5" x14ac:dyDescent="0.25">
      <c r="A261" t="s">
        <v>36</v>
      </c>
      <c r="B261" s="1" t="s">
        <v>10</v>
      </c>
      <c r="C261" s="2">
        <v>37727639</v>
      </c>
      <c r="D261">
        <f t="shared" si="8"/>
        <v>8.5096442579318018E-2</v>
      </c>
      <c r="E261">
        <f t="shared" si="9"/>
        <v>8.5096442579318019</v>
      </c>
    </row>
    <row r="262" spans="1:5" x14ac:dyDescent="0.25">
      <c r="A262" t="s">
        <v>36</v>
      </c>
      <c r="B262" s="1" t="s">
        <v>11</v>
      </c>
      <c r="C262" s="2">
        <v>38352300</v>
      </c>
      <c r="D262">
        <f t="shared" si="8"/>
        <v>1.6557118774381825E-2</v>
      </c>
      <c r="E262">
        <f t="shared" si="9"/>
        <v>1.6557118774381825</v>
      </c>
    </row>
    <row r="263" spans="1:5" x14ac:dyDescent="0.25">
      <c r="A263" t="s">
        <v>36</v>
      </c>
      <c r="B263" s="1" t="s">
        <v>12</v>
      </c>
      <c r="C263" s="2">
        <v>38414981</v>
      </c>
      <c r="D263">
        <f t="shared" si="8"/>
        <v>1.6343478748341038E-3</v>
      </c>
      <c r="E263">
        <f t="shared" si="9"/>
        <v>0.16343478748341037</v>
      </c>
    </row>
    <row r="264" spans="1:5" x14ac:dyDescent="0.25">
      <c r="A264" t="s">
        <v>36</v>
      </c>
      <c r="B264" s="1" t="s">
        <v>13</v>
      </c>
      <c r="C264" s="2">
        <v>39181197</v>
      </c>
      <c r="D264">
        <f t="shared" si="8"/>
        <v>1.9945760223075471E-2</v>
      </c>
      <c r="E264">
        <f t="shared" si="9"/>
        <v>1.994576022307547</v>
      </c>
    </row>
    <row r="265" spans="1:5" x14ac:dyDescent="0.25">
      <c r="A265" t="s">
        <v>36</v>
      </c>
      <c r="B265" s="1" t="s">
        <v>14</v>
      </c>
      <c r="C265" s="2">
        <v>40381538</v>
      </c>
      <c r="D265">
        <f t="shared" si="8"/>
        <v>3.0635638824408555E-2</v>
      </c>
      <c r="E265">
        <f t="shared" si="9"/>
        <v>3.0635638824408553</v>
      </c>
    </row>
    <row r="266" spans="1:5" x14ac:dyDescent="0.25">
      <c r="A266" t="s">
        <v>36</v>
      </c>
      <c r="B266" s="1" t="s">
        <v>15</v>
      </c>
      <c r="C266" s="2">
        <v>41480766</v>
      </c>
      <c r="D266">
        <f t="shared" si="8"/>
        <v>2.7221053343733464E-2</v>
      </c>
      <c r="E266">
        <f t="shared" si="9"/>
        <v>2.7221053343733463</v>
      </c>
    </row>
    <row r="267" spans="1:5" x14ac:dyDescent="0.25">
      <c r="A267" t="s">
        <v>36</v>
      </c>
      <c r="B267" s="1" t="s">
        <v>16</v>
      </c>
      <c r="C267" s="2">
        <v>41731085</v>
      </c>
      <c r="D267">
        <f t="shared" si="8"/>
        <v>6.0345799785857376E-3</v>
      </c>
      <c r="E267">
        <f t="shared" si="9"/>
        <v>0.60345799785857379</v>
      </c>
    </row>
    <row r="268" spans="1:5" x14ac:dyDescent="0.25">
      <c r="A268" t="s">
        <v>36</v>
      </c>
      <c r="B268" s="1" t="s">
        <v>17</v>
      </c>
      <c r="C268" s="2">
        <v>42597008</v>
      </c>
      <c r="D268">
        <f t="shared" si="8"/>
        <v>2.0750071559366357E-2</v>
      </c>
      <c r="E268">
        <f t="shared" si="9"/>
        <v>2.0750071559366359</v>
      </c>
    </row>
    <row r="269" spans="1:5" x14ac:dyDescent="0.25">
      <c r="A269" t="s">
        <v>36</v>
      </c>
      <c r="B269" s="1" t="s">
        <v>18</v>
      </c>
      <c r="C269" s="2">
        <v>43035586</v>
      </c>
      <c r="D269">
        <f t="shared" si="8"/>
        <v>1.029598135155408E-2</v>
      </c>
      <c r="E269">
        <f t="shared" si="9"/>
        <v>1.029598135155408</v>
      </c>
    </row>
    <row r="270" spans="1:5" x14ac:dyDescent="0.25">
      <c r="A270" t="s">
        <v>36</v>
      </c>
      <c r="B270" s="1" t="s">
        <v>19</v>
      </c>
      <c r="C270" s="2">
        <v>42749559</v>
      </c>
      <c r="D270">
        <f t="shared" si="8"/>
        <v>-6.6462903514314872E-3</v>
      </c>
      <c r="E270">
        <f t="shared" si="9"/>
        <v>-0.66462903514314875</v>
      </c>
    </row>
    <row r="271" spans="1:5" x14ac:dyDescent="0.25">
      <c r="A271" t="s">
        <v>36</v>
      </c>
      <c r="B271" s="1" t="s">
        <v>20</v>
      </c>
      <c r="C271" s="2">
        <v>42306747</v>
      </c>
      <c r="D271">
        <f t="shared" si="8"/>
        <v>-1.0358282292455929E-2</v>
      </c>
      <c r="E271">
        <f t="shared" si="9"/>
        <v>-1.0358282292455929</v>
      </c>
    </row>
    <row r="272" spans="1:5" x14ac:dyDescent="0.25">
      <c r="A272" t="s">
        <v>36</v>
      </c>
      <c r="B272" s="1" t="s">
        <v>21</v>
      </c>
      <c r="C272" s="2">
        <v>43540377</v>
      </c>
      <c r="D272">
        <f t="shared" si="8"/>
        <v>2.9159178794814927E-2</v>
      </c>
      <c r="E272">
        <f t="shared" si="9"/>
        <v>2.9159178794814928</v>
      </c>
    </row>
    <row r="273" spans="1:5" x14ac:dyDescent="0.25">
      <c r="A273" t="s">
        <v>36</v>
      </c>
      <c r="B273" s="1" t="s">
        <v>22</v>
      </c>
      <c r="C273" s="2">
        <v>45975608</v>
      </c>
      <c r="D273">
        <f t="shared" si="8"/>
        <v>5.5930406849715612E-2</v>
      </c>
      <c r="E273">
        <f t="shared" si="9"/>
        <v>5.5930406849715615</v>
      </c>
    </row>
    <row r="274" spans="1:5" x14ac:dyDescent="0.25">
      <c r="A274" t="s">
        <v>36</v>
      </c>
      <c r="B274" s="1" t="s">
        <v>23</v>
      </c>
      <c r="C274" s="2">
        <v>46196657</v>
      </c>
      <c r="D274">
        <f t="shared" si="8"/>
        <v>4.8079625178638202E-3</v>
      </c>
      <c r="E274">
        <f t="shared" si="9"/>
        <v>0.48079625178638202</v>
      </c>
    </row>
    <row r="275" spans="1:5" x14ac:dyDescent="0.25">
      <c r="A275" t="s">
        <v>37</v>
      </c>
      <c r="B275" s="1" t="s">
        <v>3</v>
      </c>
      <c r="C275" s="2">
        <v>14021839</v>
      </c>
      <c r="D275">
        <f t="shared" si="8"/>
        <v>-0.69647502848528631</v>
      </c>
      <c r="E275">
        <f t="shared" si="9"/>
        <v>-69.647502848528632</v>
      </c>
    </row>
    <row r="276" spans="1:5" x14ac:dyDescent="0.25">
      <c r="A276" t="s">
        <v>37</v>
      </c>
      <c r="B276" s="1" t="s">
        <v>4</v>
      </c>
      <c r="C276" s="2">
        <v>12819621</v>
      </c>
      <c r="D276">
        <f t="shared" si="8"/>
        <v>-8.573896762043838E-2</v>
      </c>
      <c r="E276">
        <f t="shared" si="9"/>
        <v>-8.5738967620438373</v>
      </c>
    </row>
    <row r="277" spans="1:5" x14ac:dyDescent="0.25">
      <c r="A277" t="s">
        <v>37</v>
      </c>
      <c r="B277" s="1" t="s">
        <v>5</v>
      </c>
      <c r="C277" s="2">
        <v>12471799</v>
      </c>
      <c r="D277">
        <f t="shared" si="8"/>
        <v>-2.7132003356417481E-2</v>
      </c>
      <c r="E277">
        <f t="shared" si="9"/>
        <v>-2.7132003356417482</v>
      </c>
    </row>
    <row r="278" spans="1:5" x14ac:dyDescent="0.25">
      <c r="A278" t="s">
        <v>37</v>
      </c>
      <c r="B278" s="1" t="s">
        <v>6</v>
      </c>
      <c r="C278" s="2">
        <v>12165949</v>
      </c>
      <c r="D278">
        <f t="shared" si="8"/>
        <v>-2.4523326586645598E-2</v>
      </c>
      <c r="E278">
        <f t="shared" si="9"/>
        <v>-2.45233265866456</v>
      </c>
    </row>
    <row r="279" spans="1:5" x14ac:dyDescent="0.25">
      <c r="A279" t="s">
        <v>37</v>
      </c>
      <c r="B279" s="1" t="s">
        <v>7</v>
      </c>
      <c r="C279" s="2">
        <v>11218751</v>
      </c>
      <c r="D279">
        <f t="shared" si="8"/>
        <v>-7.7856482876921485E-2</v>
      </c>
      <c r="E279">
        <f t="shared" si="9"/>
        <v>-7.7856482876921485</v>
      </c>
    </row>
    <row r="280" spans="1:5" x14ac:dyDescent="0.25">
      <c r="A280" t="s">
        <v>37</v>
      </c>
      <c r="B280" s="1" t="s">
        <v>8</v>
      </c>
      <c r="C280" s="2">
        <v>10600144</v>
      </c>
      <c r="D280">
        <f t="shared" si="8"/>
        <v>-5.5140451909486181E-2</v>
      </c>
      <c r="E280">
        <f t="shared" si="9"/>
        <v>-5.5140451909486181</v>
      </c>
    </row>
    <row r="281" spans="1:5" x14ac:dyDescent="0.25">
      <c r="A281" t="s">
        <v>37</v>
      </c>
      <c r="B281" s="1" t="s">
        <v>9</v>
      </c>
      <c r="C281" s="2">
        <v>12812083</v>
      </c>
      <c r="D281">
        <f t="shared" si="8"/>
        <v>0.20867065579486468</v>
      </c>
      <c r="E281">
        <f t="shared" si="9"/>
        <v>20.867065579486468</v>
      </c>
    </row>
    <row r="282" spans="1:5" x14ac:dyDescent="0.25">
      <c r="A282" t="s">
        <v>37</v>
      </c>
      <c r="B282" s="1" t="s">
        <v>10</v>
      </c>
      <c r="C282" s="2">
        <v>13004698</v>
      </c>
      <c r="D282">
        <f t="shared" si="8"/>
        <v>1.5033855150641781E-2</v>
      </c>
      <c r="E282">
        <f t="shared" si="9"/>
        <v>1.5033855150641782</v>
      </c>
    </row>
    <row r="283" spans="1:5" x14ac:dyDescent="0.25">
      <c r="A283" t="s">
        <v>37</v>
      </c>
      <c r="B283" s="1" t="s">
        <v>11</v>
      </c>
      <c r="C283" s="2">
        <v>14050161</v>
      </c>
      <c r="D283">
        <f t="shared" si="8"/>
        <v>8.0391178634059784E-2</v>
      </c>
      <c r="E283">
        <f t="shared" si="9"/>
        <v>8.0391178634059788</v>
      </c>
    </row>
    <row r="284" spans="1:5" x14ac:dyDescent="0.25">
      <c r="A284" t="s">
        <v>37</v>
      </c>
      <c r="B284" s="1" t="s">
        <v>12</v>
      </c>
      <c r="C284" s="2">
        <v>14229938</v>
      </c>
      <c r="D284">
        <f t="shared" si="8"/>
        <v>1.2795369391140786E-2</v>
      </c>
      <c r="E284">
        <f t="shared" si="9"/>
        <v>1.2795369391140785</v>
      </c>
    </row>
    <row r="285" spans="1:5" x14ac:dyDescent="0.25">
      <c r="A285" t="s">
        <v>37</v>
      </c>
      <c r="B285" s="1" t="s">
        <v>13</v>
      </c>
      <c r="C285" s="2">
        <v>13145270</v>
      </c>
      <c r="D285">
        <f t="shared" si="8"/>
        <v>-7.6224365840525804E-2</v>
      </c>
      <c r="E285">
        <f t="shared" si="9"/>
        <v>-7.6224365840525801</v>
      </c>
    </row>
    <row r="286" spans="1:5" x14ac:dyDescent="0.25">
      <c r="A286" t="s">
        <v>37</v>
      </c>
      <c r="B286" s="1" t="s">
        <v>14</v>
      </c>
      <c r="C286" s="2">
        <v>12662417</v>
      </c>
      <c r="D286">
        <f t="shared" si="8"/>
        <v>-3.6732071688143339E-2</v>
      </c>
      <c r="E286">
        <f t="shared" si="9"/>
        <v>-3.6732071688143337</v>
      </c>
    </row>
    <row r="287" spans="1:5" x14ac:dyDescent="0.25">
      <c r="A287" t="s">
        <v>37</v>
      </c>
      <c r="B287" s="1" t="s">
        <v>15</v>
      </c>
      <c r="C287" s="2">
        <v>11924410</v>
      </c>
      <c r="D287">
        <f t="shared" si="8"/>
        <v>-5.8283264561576197E-2</v>
      </c>
      <c r="E287">
        <f t="shared" si="9"/>
        <v>-5.8283264561576198</v>
      </c>
    </row>
    <row r="288" spans="1:5" x14ac:dyDescent="0.25">
      <c r="A288" t="s">
        <v>37</v>
      </c>
      <c r="B288" s="1" t="s">
        <v>16</v>
      </c>
      <c r="C288" s="2">
        <v>11340031</v>
      </c>
      <c r="D288">
        <f t="shared" si="8"/>
        <v>-4.900695296454919E-2</v>
      </c>
      <c r="E288">
        <f t="shared" si="9"/>
        <v>-4.9006952964549191</v>
      </c>
    </row>
    <row r="289" spans="1:5" x14ac:dyDescent="0.25">
      <c r="A289" t="s">
        <v>37</v>
      </c>
      <c r="B289" s="1" t="s">
        <v>17</v>
      </c>
      <c r="C289" s="2">
        <v>11447581</v>
      </c>
      <c r="D289">
        <f t="shared" si="8"/>
        <v>9.4841010575720652E-3</v>
      </c>
      <c r="E289">
        <f t="shared" si="9"/>
        <v>0.94841010575720652</v>
      </c>
    </row>
    <row r="290" spans="1:5" x14ac:dyDescent="0.25">
      <c r="A290" t="s">
        <v>37</v>
      </c>
      <c r="B290" s="1" t="s">
        <v>18</v>
      </c>
      <c r="C290" s="2">
        <v>10839067</v>
      </c>
      <c r="D290">
        <f t="shared" si="8"/>
        <v>-5.3156557704199692E-2</v>
      </c>
      <c r="E290">
        <f t="shared" si="9"/>
        <v>-5.3156557704199692</v>
      </c>
    </row>
    <row r="291" spans="1:5" x14ac:dyDescent="0.25">
      <c r="A291" t="s">
        <v>37</v>
      </c>
      <c r="B291" s="1" t="s">
        <v>19</v>
      </c>
      <c r="C291" s="2">
        <v>9758760</v>
      </c>
      <c r="D291">
        <f t="shared" si="8"/>
        <v>-9.9667895769995699E-2</v>
      </c>
      <c r="E291">
        <f t="shared" si="9"/>
        <v>-9.9667895769995702</v>
      </c>
    </row>
    <row r="292" spans="1:5" x14ac:dyDescent="0.25">
      <c r="A292" t="s">
        <v>37</v>
      </c>
      <c r="B292" s="1" t="s">
        <v>20</v>
      </c>
      <c r="C292" s="2">
        <v>10097479</v>
      </c>
      <c r="D292">
        <f t="shared" si="8"/>
        <v>3.4709225352401327E-2</v>
      </c>
      <c r="E292">
        <f t="shared" si="9"/>
        <v>3.4709225352401325</v>
      </c>
    </row>
    <row r="293" spans="1:5" x14ac:dyDescent="0.25">
      <c r="A293" t="s">
        <v>37</v>
      </c>
      <c r="B293" s="1" t="s">
        <v>21</v>
      </c>
      <c r="C293" s="2">
        <v>9803603</v>
      </c>
      <c r="D293">
        <f t="shared" si="8"/>
        <v>-2.9103898111597953E-2</v>
      </c>
      <c r="E293">
        <f t="shared" si="9"/>
        <v>-2.9103898111597952</v>
      </c>
    </row>
    <row r="294" spans="1:5" x14ac:dyDescent="0.25">
      <c r="A294" t="s">
        <v>37</v>
      </c>
      <c r="B294" s="1" t="s">
        <v>22</v>
      </c>
      <c r="C294" s="2">
        <v>9461431</v>
      </c>
      <c r="D294">
        <f t="shared" si="8"/>
        <v>-3.4902678127623078E-2</v>
      </c>
      <c r="E294">
        <f t="shared" si="9"/>
        <v>-3.4902678127623079</v>
      </c>
    </row>
    <row r="295" spans="1:5" x14ac:dyDescent="0.25">
      <c r="A295" t="s">
        <v>37</v>
      </c>
      <c r="B295" s="1" t="s">
        <v>23</v>
      </c>
      <c r="C295" s="2">
        <v>9662250</v>
      </c>
      <c r="D295">
        <f t="shared" si="8"/>
        <v>2.1225013425558988E-2</v>
      </c>
      <c r="E295">
        <f t="shared" si="9"/>
        <v>2.122501342555899</v>
      </c>
    </row>
    <row r="296" spans="1:5" x14ac:dyDescent="0.25">
      <c r="A296" t="s">
        <v>38</v>
      </c>
      <c r="B296" s="1" t="s">
        <v>3</v>
      </c>
      <c r="C296" s="2">
        <v>18808100</v>
      </c>
      <c r="D296">
        <f t="shared" si="8"/>
        <v>0.94655489145902871</v>
      </c>
      <c r="E296">
        <f t="shared" si="9"/>
        <v>94.655489145902877</v>
      </c>
    </row>
    <row r="297" spans="1:5" x14ac:dyDescent="0.25">
      <c r="A297" t="s">
        <v>38</v>
      </c>
      <c r="B297" s="1" t="s">
        <v>4</v>
      </c>
      <c r="C297" s="2">
        <v>19788629</v>
      </c>
      <c r="D297">
        <f t="shared" si="8"/>
        <v>5.2133336168991018E-2</v>
      </c>
      <c r="E297">
        <f t="shared" si="9"/>
        <v>5.213333616899102</v>
      </c>
    </row>
    <row r="298" spans="1:5" x14ac:dyDescent="0.25">
      <c r="A298" t="s">
        <v>38</v>
      </c>
      <c r="B298" s="1" t="s">
        <v>5</v>
      </c>
      <c r="C298" s="2">
        <v>21132629</v>
      </c>
      <c r="D298">
        <f t="shared" si="8"/>
        <v>6.7917792586843689E-2</v>
      </c>
      <c r="E298">
        <f t="shared" si="9"/>
        <v>6.791779258684369</v>
      </c>
    </row>
    <row r="299" spans="1:5" x14ac:dyDescent="0.25">
      <c r="A299" t="s">
        <v>38</v>
      </c>
      <c r="B299" s="1" t="s">
        <v>6</v>
      </c>
      <c r="C299" s="2">
        <v>22131913</v>
      </c>
      <c r="D299">
        <f t="shared" si="8"/>
        <v>4.7286307822845895E-2</v>
      </c>
      <c r="E299">
        <f t="shared" si="9"/>
        <v>4.7286307822845899</v>
      </c>
    </row>
    <row r="300" spans="1:5" x14ac:dyDescent="0.25">
      <c r="A300" t="s">
        <v>38</v>
      </c>
      <c r="B300" s="1" t="s">
        <v>7</v>
      </c>
      <c r="C300" s="2">
        <v>22528964</v>
      </c>
      <c r="D300">
        <f t="shared" si="8"/>
        <v>1.794020245787158E-2</v>
      </c>
      <c r="E300">
        <f t="shared" si="9"/>
        <v>1.7940202457871579</v>
      </c>
    </row>
    <row r="301" spans="1:5" x14ac:dyDescent="0.25">
      <c r="A301" t="s">
        <v>38</v>
      </c>
      <c r="B301" s="1" t="s">
        <v>8</v>
      </c>
      <c r="C301" s="2">
        <v>23531841</v>
      </c>
      <c r="D301">
        <f t="shared" si="8"/>
        <v>4.4515007436649108E-2</v>
      </c>
      <c r="E301">
        <f t="shared" si="9"/>
        <v>4.4515007436649112</v>
      </c>
    </row>
    <row r="302" spans="1:5" x14ac:dyDescent="0.25">
      <c r="A302" t="s">
        <v>38</v>
      </c>
      <c r="B302" s="1" t="s">
        <v>9</v>
      </c>
      <c r="C302" s="2">
        <v>25293112</v>
      </c>
      <c r="D302">
        <f t="shared" si="8"/>
        <v>7.4846290181885891E-2</v>
      </c>
      <c r="E302">
        <f t="shared" si="9"/>
        <v>7.4846290181885893</v>
      </c>
    </row>
    <row r="303" spans="1:5" x14ac:dyDescent="0.25">
      <c r="A303" t="s">
        <v>38</v>
      </c>
      <c r="B303" s="1" t="s">
        <v>10</v>
      </c>
      <c r="C303" s="2">
        <v>26304720</v>
      </c>
      <c r="D303">
        <f t="shared" si="8"/>
        <v>3.9995394793649747E-2</v>
      </c>
      <c r="E303">
        <f t="shared" si="9"/>
        <v>3.9995394793649748</v>
      </c>
    </row>
    <row r="304" spans="1:5" x14ac:dyDescent="0.25">
      <c r="A304" t="s">
        <v>38</v>
      </c>
      <c r="B304" s="1" t="s">
        <v>11</v>
      </c>
      <c r="C304" s="2">
        <v>26674450</v>
      </c>
      <c r="D304">
        <f t="shared" si="8"/>
        <v>1.4055652369612754E-2</v>
      </c>
      <c r="E304">
        <f t="shared" si="9"/>
        <v>1.4055652369612754</v>
      </c>
    </row>
    <row r="305" spans="1:5" x14ac:dyDescent="0.25">
      <c r="A305" t="s">
        <v>38</v>
      </c>
      <c r="B305" s="1" t="s">
        <v>12</v>
      </c>
      <c r="C305" s="2">
        <v>29323079</v>
      </c>
      <c r="D305">
        <f t="shared" si="8"/>
        <v>9.9294605886906764E-2</v>
      </c>
      <c r="E305">
        <f t="shared" si="9"/>
        <v>9.9294605886906773</v>
      </c>
    </row>
    <row r="306" spans="1:5" x14ac:dyDescent="0.25">
      <c r="A306" t="s">
        <v>38</v>
      </c>
      <c r="B306" s="1" t="s">
        <v>13</v>
      </c>
      <c r="C306" s="2">
        <v>27730986</v>
      </c>
      <c r="D306">
        <f t="shared" si="8"/>
        <v>-5.4294878106081558E-2</v>
      </c>
      <c r="E306">
        <f t="shared" si="9"/>
        <v>-5.4294878106081557</v>
      </c>
    </row>
    <row r="307" spans="1:5" x14ac:dyDescent="0.25">
      <c r="A307" t="s">
        <v>38</v>
      </c>
      <c r="B307" s="1" t="s">
        <v>14</v>
      </c>
      <c r="C307" s="2">
        <v>29812037</v>
      </c>
      <c r="D307">
        <f t="shared" si="8"/>
        <v>7.5044248336499822E-2</v>
      </c>
      <c r="E307">
        <f t="shared" si="9"/>
        <v>7.5044248336499821</v>
      </c>
    </row>
    <row r="308" spans="1:5" x14ac:dyDescent="0.25">
      <c r="A308" t="s">
        <v>38</v>
      </c>
      <c r="B308" s="1" t="s">
        <v>15</v>
      </c>
      <c r="C308" s="2">
        <v>30011903</v>
      </c>
      <c r="D308">
        <f t="shared" si="8"/>
        <v>6.7042047479009903E-3</v>
      </c>
      <c r="E308">
        <f t="shared" si="9"/>
        <v>0.67042047479009903</v>
      </c>
    </row>
    <row r="309" spans="1:5" x14ac:dyDescent="0.25">
      <c r="A309" t="s">
        <v>38</v>
      </c>
      <c r="B309" s="1" t="s">
        <v>16</v>
      </c>
      <c r="C309" s="2">
        <v>30878357</v>
      </c>
      <c r="D309">
        <f t="shared" si="8"/>
        <v>2.8870345209365763E-2</v>
      </c>
      <c r="E309">
        <f t="shared" si="9"/>
        <v>2.8870345209365764</v>
      </c>
    </row>
    <row r="310" spans="1:5" x14ac:dyDescent="0.25">
      <c r="A310" t="s">
        <v>38</v>
      </c>
      <c r="B310" s="1" t="s">
        <v>17</v>
      </c>
      <c r="C310" s="2">
        <v>31438847</v>
      </c>
      <c r="D310">
        <f t="shared" si="8"/>
        <v>1.8151548672100656E-2</v>
      </c>
      <c r="E310">
        <f t="shared" si="9"/>
        <v>1.8151548672100657</v>
      </c>
    </row>
    <row r="311" spans="1:5" x14ac:dyDescent="0.25">
      <c r="A311" t="s">
        <v>38</v>
      </c>
      <c r="B311" s="1" t="s">
        <v>18</v>
      </c>
      <c r="C311" s="2">
        <v>32456359</v>
      </c>
      <c r="D311">
        <f t="shared" si="8"/>
        <v>3.2364800146773828E-2</v>
      </c>
      <c r="E311">
        <f t="shared" si="9"/>
        <v>3.2364800146773827</v>
      </c>
    </row>
    <row r="312" spans="1:5" x14ac:dyDescent="0.25">
      <c r="A312" t="s">
        <v>38</v>
      </c>
      <c r="B312" s="1" t="s">
        <v>19</v>
      </c>
      <c r="C312" s="2">
        <v>33941970</v>
      </c>
      <c r="D312">
        <f t="shared" si="8"/>
        <v>4.5772571100781825E-2</v>
      </c>
      <c r="E312">
        <f t="shared" si="9"/>
        <v>4.5772571100781825</v>
      </c>
    </row>
    <row r="313" spans="1:5" x14ac:dyDescent="0.25">
      <c r="A313" t="s">
        <v>38</v>
      </c>
      <c r="B313" s="1" t="s">
        <v>20</v>
      </c>
      <c r="C313" s="2">
        <v>35545567</v>
      </c>
      <c r="D313">
        <f t="shared" si="8"/>
        <v>4.7245254179412687E-2</v>
      </c>
      <c r="E313">
        <f t="shared" si="9"/>
        <v>4.724525417941269</v>
      </c>
    </row>
    <row r="314" spans="1:5" x14ac:dyDescent="0.25">
      <c r="A314" t="s">
        <v>38</v>
      </c>
      <c r="B314" s="1" t="s">
        <v>21</v>
      </c>
      <c r="C314" s="2">
        <v>37873366</v>
      </c>
      <c r="D314">
        <f t="shared" si="8"/>
        <v>6.5487744224195385E-2</v>
      </c>
      <c r="E314">
        <f t="shared" si="9"/>
        <v>6.5487744224195383</v>
      </c>
    </row>
    <row r="315" spans="1:5" x14ac:dyDescent="0.25">
      <c r="A315" t="s">
        <v>38</v>
      </c>
      <c r="B315" s="1" t="s">
        <v>22</v>
      </c>
      <c r="C315" s="2">
        <v>39085868</v>
      </c>
      <c r="D315">
        <f t="shared" si="8"/>
        <v>3.2014635298061443E-2</v>
      </c>
      <c r="E315">
        <f t="shared" si="9"/>
        <v>3.2014635298061442</v>
      </c>
    </row>
    <row r="316" spans="1:5" x14ac:dyDescent="0.25">
      <c r="A316" t="s">
        <v>38</v>
      </c>
      <c r="B316" s="1" t="s">
        <v>23</v>
      </c>
      <c r="C316" s="2">
        <v>40290444</v>
      </c>
      <c r="D316">
        <f t="shared" si="8"/>
        <v>3.0818709207123148E-2</v>
      </c>
      <c r="E316">
        <f t="shared" si="9"/>
        <v>3.0818709207123147</v>
      </c>
    </row>
    <row r="317" spans="1:5" x14ac:dyDescent="0.25">
      <c r="A317" t="s">
        <v>39</v>
      </c>
      <c r="B317" s="1" t="s">
        <v>3</v>
      </c>
      <c r="C317" s="2">
        <v>35222577</v>
      </c>
      <c r="D317">
        <f t="shared" si="8"/>
        <v>-0.12578334952079456</v>
      </c>
      <c r="E317">
        <f t="shared" si="9"/>
        <v>-12.578334952079457</v>
      </c>
    </row>
    <row r="318" spans="1:5" x14ac:dyDescent="0.25">
      <c r="A318" t="s">
        <v>39</v>
      </c>
      <c r="B318" s="1" t="s">
        <v>4</v>
      </c>
      <c r="C318" s="2">
        <v>36429309</v>
      </c>
      <c r="D318">
        <f t="shared" si="8"/>
        <v>3.4260184880850711E-2</v>
      </c>
      <c r="E318">
        <f t="shared" si="9"/>
        <v>3.426018488085071</v>
      </c>
    </row>
    <row r="319" spans="1:5" x14ac:dyDescent="0.25">
      <c r="A319" t="s">
        <v>39</v>
      </c>
      <c r="B319" s="1" t="s">
        <v>5</v>
      </c>
      <c r="C319" s="2">
        <v>38559273</v>
      </c>
      <c r="D319">
        <f t="shared" si="8"/>
        <v>5.8468416186538155E-2</v>
      </c>
      <c r="E319">
        <f t="shared" si="9"/>
        <v>5.8468416186538157</v>
      </c>
    </row>
    <row r="320" spans="1:5" x14ac:dyDescent="0.25">
      <c r="A320" t="s">
        <v>39</v>
      </c>
      <c r="B320" s="1" t="s">
        <v>6</v>
      </c>
      <c r="C320" s="2">
        <v>40188041</v>
      </c>
      <c r="D320">
        <f t="shared" si="8"/>
        <v>4.2240630418524751E-2</v>
      </c>
      <c r="E320">
        <f t="shared" si="9"/>
        <v>4.2240630418524754</v>
      </c>
    </row>
    <row r="321" spans="1:5" x14ac:dyDescent="0.25">
      <c r="A321" t="s">
        <v>39</v>
      </c>
      <c r="B321" s="1" t="s">
        <v>7</v>
      </c>
      <c r="C321" s="2">
        <v>42252702</v>
      </c>
      <c r="D321">
        <f t="shared" si="8"/>
        <v>5.1375009794580435E-2</v>
      </c>
      <c r="E321">
        <f t="shared" si="9"/>
        <v>5.1375009794580437</v>
      </c>
    </row>
    <row r="322" spans="1:5" x14ac:dyDescent="0.25">
      <c r="A322" t="s">
        <v>39</v>
      </c>
      <c r="B322" s="1" t="s">
        <v>8</v>
      </c>
      <c r="C322" s="2">
        <v>43572733</v>
      </c>
      <c r="D322">
        <f t="shared" si="8"/>
        <v>3.1241339311270554E-2</v>
      </c>
      <c r="E322">
        <f t="shared" si="9"/>
        <v>3.1241339311270555</v>
      </c>
    </row>
    <row r="323" spans="1:5" x14ac:dyDescent="0.25">
      <c r="A323" t="s">
        <v>39</v>
      </c>
      <c r="B323" s="1" t="s">
        <v>9</v>
      </c>
      <c r="C323" s="2">
        <v>46152775</v>
      </c>
      <c r="D323">
        <f t="shared" si="8"/>
        <v>5.9212306007979804E-2</v>
      </c>
      <c r="E323">
        <f t="shared" si="9"/>
        <v>5.9212306007979807</v>
      </c>
    </row>
    <row r="324" spans="1:5" x14ac:dyDescent="0.25">
      <c r="A324" t="s">
        <v>39</v>
      </c>
      <c r="B324" s="1" t="s">
        <v>10</v>
      </c>
      <c r="C324" s="2">
        <v>48237405</v>
      </c>
      <c r="D324">
        <f t="shared" ref="D324:D387" si="10">(C324-C323)/C323</f>
        <v>4.5168031608066907E-2</v>
      </c>
      <c r="E324">
        <f t="shared" ref="E324:E387" si="11">D324*100</f>
        <v>4.516803160806691</v>
      </c>
    </row>
    <row r="325" spans="1:5" x14ac:dyDescent="0.25">
      <c r="A325" t="s">
        <v>39</v>
      </c>
      <c r="B325" s="1" t="s">
        <v>11</v>
      </c>
      <c r="C325" s="2">
        <v>53015303</v>
      </c>
      <c r="D325">
        <f t="shared" si="10"/>
        <v>9.9049648296793746E-2</v>
      </c>
      <c r="E325">
        <f t="shared" si="11"/>
        <v>9.9049648296793755</v>
      </c>
    </row>
    <row r="326" spans="1:5" x14ac:dyDescent="0.25">
      <c r="A326" t="s">
        <v>39</v>
      </c>
      <c r="B326" s="1" t="s">
        <v>12</v>
      </c>
      <c r="C326" s="2">
        <v>53661930</v>
      </c>
      <c r="D326">
        <f t="shared" si="10"/>
        <v>1.2196987726355161E-2</v>
      </c>
      <c r="E326">
        <f t="shared" si="11"/>
        <v>1.2196987726355162</v>
      </c>
    </row>
    <row r="327" spans="1:5" x14ac:dyDescent="0.25">
      <c r="A327" t="s">
        <v>39</v>
      </c>
      <c r="B327" s="1" t="s">
        <v>13</v>
      </c>
      <c r="C327" s="2">
        <v>49972071</v>
      </c>
      <c r="D327">
        <f t="shared" si="10"/>
        <v>-6.8761205569758677E-2</v>
      </c>
      <c r="E327">
        <f t="shared" si="11"/>
        <v>-6.8761205569758674</v>
      </c>
    </row>
    <row r="328" spans="1:5" x14ac:dyDescent="0.25">
      <c r="A328" t="s">
        <v>39</v>
      </c>
      <c r="B328" s="1" t="s">
        <v>14</v>
      </c>
      <c r="C328" s="2">
        <v>50510325</v>
      </c>
      <c r="D328">
        <f t="shared" si="10"/>
        <v>1.0771096519093635E-2</v>
      </c>
      <c r="E328">
        <f t="shared" si="11"/>
        <v>1.0771096519093635</v>
      </c>
    </row>
    <row r="329" spans="1:5" x14ac:dyDescent="0.25">
      <c r="A329" t="s">
        <v>39</v>
      </c>
      <c r="B329" s="1" t="s">
        <v>15</v>
      </c>
      <c r="C329" s="2">
        <v>48486524</v>
      </c>
      <c r="D329">
        <f t="shared" si="10"/>
        <v>-4.0067075394981125E-2</v>
      </c>
      <c r="E329">
        <f t="shared" si="11"/>
        <v>-4.0067075394981124</v>
      </c>
    </row>
    <row r="330" spans="1:5" x14ac:dyDescent="0.25">
      <c r="A330" t="s">
        <v>39</v>
      </c>
      <c r="B330" s="1" t="s">
        <v>16</v>
      </c>
      <c r="C330" s="2">
        <v>49266249</v>
      </c>
      <c r="D330">
        <f t="shared" si="10"/>
        <v>1.6081272396429161E-2</v>
      </c>
      <c r="E330">
        <f t="shared" si="11"/>
        <v>1.608127239642916</v>
      </c>
    </row>
    <row r="331" spans="1:5" x14ac:dyDescent="0.25">
      <c r="A331" t="s">
        <v>39</v>
      </c>
      <c r="B331" s="1" t="s">
        <v>17</v>
      </c>
      <c r="C331" s="2">
        <v>52456906</v>
      </c>
      <c r="D331">
        <f t="shared" si="10"/>
        <v>6.4763546337777811E-2</v>
      </c>
      <c r="E331">
        <f t="shared" si="11"/>
        <v>6.4763546337777811</v>
      </c>
    </row>
    <row r="332" spans="1:5" x14ac:dyDescent="0.25">
      <c r="A332" t="s">
        <v>39</v>
      </c>
      <c r="B332" s="1" t="s">
        <v>18</v>
      </c>
      <c r="C332" s="2">
        <v>53941987</v>
      </c>
      <c r="D332">
        <f t="shared" si="10"/>
        <v>2.8310495476038942E-2</v>
      </c>
      <c r="E332">
        <f t="shared" si="11"/>
        <v>2.8310495476038944</v>
      </c>
    </row>
    <row r="333" spans="1:5" x14ac:dyDescent="0.25">
      <c r="A333" t="s">
        <v>39</v>
      </c>
      <c r="B333" s="1" t="s">
        <v>19</v>
      </c>
      <c r="C333" s="2">
        <v>60677415</v>
      </c>
      <c r="D333">
        <f t="shared" si="10"/>
        <v>0.12486429170656987</v>
      </c>
      <c r="E333">
        <f t="shared" si="11"/>
        <v>12.486429170656987</v>
      </c>
    </row>
    <row r="334" spans="1:5" x14ac:dyDescent="0.25">
      <c r="A334" t="s">
        <v>39</v>
      </c>
      <c r="B334" s="1" t="s">
        <v>20</v>
      </c>
      <c r="C334" s="2">
        <v>62523254</v>
      </c>
      <c r="D334">
        <f t="shared" si="10"/>
        <v>3.0420527967448843E-2</v>
      </c>
      <c r="E334">
        <f t="shared" si="11"/>
        <v>3.0420527967448843</v>
      </c>
    </row>
    <row r="335" spans="1:5" x14ac:dyDescent="0.25">
      <c r="A335" t="s">
        <v>39</v>
      </c>
      <c r="B335" s="1" t="s">
        <v>21</v>
      </c>
      <c r="C335" s="2">
        <v>64380942</v>
      </c>
      <c r="D335">
        <f t="shared" si="10"/>
        <v>2.9711953251825313E-2</v>
      </c>
      <c r="E335">
        <f t="shared" si="11"/>
        <v>2.9711953251825314</v>
      </c>
    </row>
    <row r="336" spans="1:5" x14ac:dyDescent="0.25">
      <c r="A336" t="s">
        <v>39</v>
      </c>
      <c r="B336" s="1" t="s">
        <v>22</v>
      </c>
      <c r="C336" s="2">
        <v>68283485</v>
      </c>
      <c r="D336">
        <f t="shared" si="10"/>
        <v>6.061643211122944E-2</v>
      </c>
      <c r="E336">
        <f t="shared" si="11"/>
        <v>6.0616432111229441</v>
      </c>
    </row>
    <row r="337" spans="1:5" x14ac:dyDescent="0.25">
      <c r="A337" t="s">
        <v>39</v>
      </c>
      <c r="B337" s="1" t="s">
        <v>23</v>
      </c>
      <c r="C337" s="2">
        <v>70289357</v>
      </c>
      <c r="D337">
        <f t="shared" si="10"/>
        <v>2.9375653571284476E-2</v>
      </c>
      <c r="E337">
        <f t="shared" si="11"/>
        <v>2.9375653571284475</v>
      </c>
    </row>
    <row r="338" spans="1:5" x14ac:dyDescent="0.25">
      <c r="A338" t="s">
        <v>40</v>
      </c>
      <c r="B338" s="1" t="s">
        <v>3</v>
      </c>
      <c r="C338" s="2">
        <v>1739097</v>
      </c>
      <c r="D338">
        <f t="shared" si="10"/>
        <v>-0.97525803230779307</v>
      </c>
      <c r="E338">
        <f t="shared" si="11"/>
        <v>-97.525803230779303</v>
      </c>
    </row>
    <row r="339" spans="1:5" x14ac:dyDescent="0.25">
      <c r="A339" t="s">
        <v>40</v>
      </c>
      <c r="B339" s="1" t="s">
        <v>4</v>
      </c>
      <c r="C339" s="2">
        <v>1661123</v>
      </c>
      <c r="D339">
        <f t="shared" si="10"/>
        <v>-4.4835911970407628E-2</v>
      </c>
      <c r="E339">
        <f t="shared" si="11"/>
        <v>-4.4835911970407629</v>
      </c>
    </row>
    <row r="340" spans="1:5" x14ac:dyDescent="0.25">
      <c r="A340" t="s">
        <v>40</v>
      </c>
      <c r="B340" s="1" t="s">
        <v>5</v>
      </c>
      <c r="C340" s="2">
        <v>1605857</v>
      </c>
      <c r="D340">
        <f t="shared" si="10"/>
        <v>-3.3270263550622077E-2</v>
      </c>
      <c r="E340">
        <f t="shared" si="11"/>
        <v>-3.3270263550622077</v>
      </c>
    </row>
    <row r="341" spans="1:5" x14ac:dyDescent="0.25">
      <c r="A341" t="s">
        <v>40</v>
      </c>
      <c r="B341" s="1" t="s">
        <v>6</v>
      </c>
      <c r="C341" s="2">
        <v>1761793</v>
      </c>
      <c r="D341">
        <f t="shared" si="10"/>
        <v>9.7104536705323083E-2</v>
      </c>
      <c r="E341">
        <f t="shared" si="11"/>
        <v>9.7104536705323081</v>
      </c>
    </row>
    <row r="342" spans="1:5" x14ac:dyDescent="0.25">
      <c r="A342" t="s">
        <v>40</v>
      </c>
      <c r="B342" s="1" t="s">
        <v>7</v>
      </c>
      <c r="C342" s="2">
        <v>1561125</v>
      </c>
      <c r="D342">
        <f t="shared" si="10"/>
        <v>-0.11389987359468451</v>
      </c>
      <c r="E342">
        <f t="shared" si="11"/>
        <v>-11.389987359468451</v>
      </c>
    </row>
    <row r="343" spans="1:5" x14ac:dyDescent="0.25">
      <c r="A343" t="s">
        <v>40</v>
      </c>
      <c r="B343" s="1" t="s">
        <v>8</v>
      </c>
      <c r="C343" s="2">
        <v>1515744</v>
      </c>
      <c r="D343">
        <f t="shared" si="10"/>
        <v>-2.9069421090559693E-2</v>
      </c>
      <c r="E343">
        <f t="shared" si="11"/>
        <v>-2.9069421090559695</v>
      </c>
    </row>
    <row r="344" spans="1:5" x14ac:dyDescent="0.25">
      <c r="A344" t="s">
        <v>40</v>
      </c>
      <c r="B344" s="1" t="s">
        <v>9</v>
      </c>
      <c r="C344" s="2">
        <v>1979987</v>
      </c>
      <c r="D344">
        <f t="shared" si="10"/>
        <v>0.30628061202947199</v>
      </c>
      <c r="E344">
        <f t="shared" si="11"/>
        <v>30.628061202947197</v>
      </c>
    </row>
    <row r="345" spans="1:5" x14ac:dyDescent="0.25">
      <c r="A345" t="s">
        <v>40</v>
      </c>
      <c r="B345" s="1" t="s">
        <v>10</v>
      </c>
      <c r="C345" s="2">
        <v>1730435</v>
      </c>
      <c r="D345">
        <f t="shared" si="10"/>
        <v>-0.12603719115327525</v>
      </c>
      <c r="E345">
        <f t="shared" si="11"/>
        <v>-12.603719115327525</v>
      </c>
    </row>
    <row r="346" spans="1:5" x14ac:dyDescent="0.25">
      <c r="A346" t="s">
        <v>40</v>
      </c>
      <c r="B346" s="1" t="s">
        <v>11</v>
      </c>
      <c r="C346" s="2">
        <v>1660864</v>
      </c>
      <c r="D346">
        <f t="shared" si="10"/>
        <v>-4.0204341682871646E-2</v>
      </c>
      <c r="E346">
        <f t="shared" si="11"/>
        <v>-4.0204341682871645</v>
      </c>
    </row>
    <row r="347" spans="1:5" x14ac:dyDescent="0.25">
      <c r="A347" t="s">
        <v>40</v>
      </c>
      <c r="B347" s="1" t="s">
        <v>12</v>
      </c>
      <c r="C347" s="2">
        <v>1568173</v>
      </c>
      <c r="D347">
        <f t="shared" si="10"/>
        <v>-5.5808904281145238E-2</v>
      </c>
      <c r="E347">
        <f t="shared" si="11"/>
        <v>-5.5808904281145235</v>
      </c>
    </row>
    <row r="348" spans="1:5" x14ac:dyDescent="0.25">
      <c r="A348" t="s">
        <v>40</v>
      </c>
      <c r="B348" s="1" t="s">
        <v>13</v>
      </c>
      <c r="C348" s="2">
        <v>1487373</v>
      </c>
      <c r="D348">
        <f t="shared" si="10"/>
        <v>-5.1524927415533876E-2</v>
      </c>
      <c r="E348">
        <f t="shared" si="11"/>
        <v>-5.1524927415533872</v>
      </c>
    </row>
    <row r="349" spans="1:5" x14ac:dyDescent="0.25">
      <c r="A349" t="s">
        <v>40</v>
      </c>
      <c r="B349" s="1" t="s">
        <v>14</v>
      </c>
      <c r="C349" s="2">
        <v>1371613</v>
      </c>
      <c r="D349">
        <f t="shared" si="10"/>
        <v>-7.7828493592394105E-2</v>
      </c>
      <c r="E349">
        <f t="shared" si="11"/>
        <v>-7.7828493592394103</v>
      </c>
    </row>
    <row r="350" spans="1:5" x14ac:dyDescent="0.25">
      <c r="A350" t="s">
        <v>40</v>
      </c>
      <c r="B350" s="1" t="s">
        <v>15</v>
      </c>
      <c r="C350" s="2">
        <v>1275827</v>
      </c>
      <c r="D350">
        <f t="shared" si="10"/>
        <v>-6.983456703895341E-2</v>
      </c>
      <c r="E350">
        <f t="shared" si="11"/>
        <v>-6.9834567038953406</v>
      </c>
    </row>
    <row r="351" spans="1:5" x14ac:dyDescent="0.25">
      <c r="A351" t="s">
        <v>40</v>
      </c>
      <c r="B351" s="1" t="s">
        <v>16</v>
      </c>
      <c r="C351" s="2">
        <v>1010412</v>
      </c>
      <c r="D351">
        <f t="shared" si="10"/>
        <v>-0.20803369108821179</v>
      </c>
      <c r="E351">
        <f t="shared" si="11"/>
        <v>-20.80336910882118</v>
      </c>
    </row>
    <row r="352" spans="1:5" x14ac:dyDescent="0.25">
      <c r="A352" t="s">
        <v>40</v>
      </c>
      <c r="B352" s="1" t="s">
        <v>17</v>
      </c>
      <c r="C352" s="2">
        <v>889285</v>
      </c>
      <c r="D352">
        <f t="shared" si="10"/>
        <v>-0.11987882170837243</v>
      </c>
      <c r="E352">
        <f t="shared" si="11"/>
        <v>-11.987882170837242</v>
      </c>
    </row>
    <row r="353" spans="1:5" x14ac:dyDescent="0.25">
      <c r="A353" t="s">
        <v>40</v>
      </c>
      <c r="B353" s="1" t="s">
        <v>18</v>
      </c>
      <c r="C353" s="2">
        <v>2065267</v>
      </c>
      <c r="D353">
        <f t="shared" si="10"/>
        <v>1.3223904597513734</v>
      </c>
      <c r="E353">
        <f t="shared" si="11"/>
        <v>132.23904597513734</v>
      </c>
    </row>
    <row r="354" spans="1:5" x14ac:dyDescent="0.25">
      <c r="A354" t="s">
        <v>40</v>
      </c>
      <c r="B354" s="1" t="s">
        <v>19</v>
      </c>
      <c r="C354" s="2">
        <v>2198243</v>
      </c>
      <c r="D354">
        <f t="shared" si="10"/>
        <v>6.4386832307880768E-2</v>
      </c>
      <c r="E354">
        <f t="shared" si="11"/>
        <v>6.4386832307880768</v>
      </c>
    </row>
    <row r="355" spans="1:5" x14ac:dyDescent="0.25">
      <c r="A355" t="s">
        <v>40</v>
      </c>
      <c r="B355" s="1" t="s">
        <v>20</v>
      </c>
      <c r="C355" s="2">
        <v>4814254</v>
      </c>
      <c r="D355">
        <f t="shared" si="10"/>
        <v>1.1900463233591554</v>
      </c>
      <c r="E355">
        <f t="shared" si="11"/>
        <v>119.00463233591555</v>
      </c>
    </row>
    <row r="356" spans="1:5" x14ac:dyDescent="0.25">
      <c r="A356" t="s">
        <v>40</v>
      </c>
      <c r="B356" s="1" t="s">
        <v>21</v>
      </c>
      <c r="C356" s="2">
        <v>6713749</v>
      </c>
      <c r="D356">
        <f t="shared" si="10"/>
        <v>0.39455645672205913</v>
      </c>
      <c r="E356">
        <f t="shared" si="11"/>
        <v>39.455645672205911</v>
      </c>
    </row>
    <row r="357" spans="1:5" x14ac:dyDescent="0.25">
      <c r="A357" t="s">
        <v>40</v>
      </c>
      <c r="B357" s="1" t="s">
        <v>22</v>
      </c>
      <c r="C357" s="2">
        <v>7158814</v>
      </c>
      <c r="D357">
        <f t="shared" si="10"/>
        <v>6.6291575690422738E-2</v>
      </c>
      <c r="E357">
        <f t="shared" si="11"/>
        <v>6.6291575690422739</v>
      </c>
    </row>
    <row r="358" spans="1:5" x14ac:dyDescent="0.25">
      <c r="A358" t="s">
        <v>40</v>
      </c>
      <c r="B358" s="1" t="s">
        <v>23</v>
      </c>
      <c r="C358" s="2">
        <v>7205558</v>
      </c>
      <c r="D358">
        <f t="shared" si="10"/>
        <v>6.529573194666044E-3</v>
      </c>
      <c r="E358">
        <f t="shared" si="11"/>
        <v>0.6529573194666044</v>
      </c>
    </row>
    <row r="359" spans="1:5" x14ac:dyDescent="0.25">
      <c r="A359" t="s">
        <v>41</v>
      </c>
      <c r="B359" s="1" t="s">
        <v>3</v>
      </c>
      <c r="C359" s="2">
        <v>10981623</v>
      </c>
      <c r="D359">
        <f t="shared" si="10"/>
        <v>0.5240489355578013</v>
      </c>
      <c r="E359">
        <f t="shared" si="11"/>
        <v>52.404893555780127</v>
      </c>
    </row>
    <row r="360" spans="1:5" x14ac:dyDescent="0.25">
      <c r="A360" t="s">
        <v>41</v>
      </c>
      <c r="B360" s="1" t="s">
        <v>4</v>
      </c>
      <c r="C360" s="2">
        <v>12506448</v>
      </c>
      <c r="D360">
        <f t="shared" si="10"/>
        <v>0.13885242645827489</v>
      </c>
      <c r="E360">
        <f t="shared" si="11"/>
        <v>13.885242645827489</v>
      </c>
    </row>
    <row r="361" spans="1:5" x14ac:dyDescent="0.25">
      <c r="A361" t="s">
        <v>41</v>
      </c>
      <c r="B361" s="1" t="s">
        <v>5</v>
      </c>
      <c r="C361" s="2">
        <v>13163247</v>
      </c>
      <c r="D361">
        <f t="shared" si="10"/>
        <v>5.2516829718557978E-2</v>
      </c>
      <c r="E361">
        <f t="shared" si="11"/>
        <v>5.2516829718557982</v>
      </c>
    </row>
    <row r="362" spans="1:5" x14ac:dyDescent="0.25">
      <c r="A362" t="s">
        <v>41</v>
      </c>
      <c r="B362" s="1" t="s">
        <v>6</v>
      </c>
      <c r="C362" s="2">
        <v>13661814</v>
      </c>
      <c r="D362">
        <f t="shared" si="10"/>
        <v>3.7875685231766903E-2</v>
      </c>
      <c r="E362">
        <f t="shared" si="11"/>
        <v>3.7875685231766902</v>
      </c>
    </row>
    <row r="363" spans="1:5" x14ac:dyDescent="0.25">
      <c r="A363" t="s">
        <v>41</v>
      </c>
      <c r="B363" s="1" t="s">
        <v>7</v>
      </c>
      <c r="C363" s="2">
        <v>15670832</v>
      </c>
      <c r="D363">
        <f t="shared" si="10"/>
        <v>0.14705353183698738</v>
      </c>
      <c r="E363">
        <f t="shared" si="11"/>
        <v>14.705353183698739</v>
      </c>
    </row>
    <row r="364" spans="1:5" x14ac:dyDescent="0.25">
      <c r="A364" t="s">
        <v>41</v>
      </c>
      <c r="B364" s="1" t="s">
        <v>8</v>
      </c>
      <c r="C364" s="2">
        <v>16309071</v>
      </c>
      <c r="D364">
        <f t="shared" si="10"/>
        <v>4.0727831170674279E-2</v>
      </c>
      <c r="E364">
        <f t="shared" si="11"/>
        <v>4.072783117067428</v>
      </c>
    </row>
    <row r="365" spans="1:5" x14ac:dyDescent="0.25">
      <c r="A365" t="s">
        <v>41</v>
      </c>
      <c r="B365" s="1" t="s">
        <v>9</v>
      </c>
      <c r="C365" s="2">
        <v>17580708</v>
      </c>
      <c r="D365">
        <f t="shared" si="10"/>
        <v>7.7971148693877168E-2</v>
      </c>
      <c r="E365">
        <f t="shared" si="11"/>
        <v>7.797114869387717</v>
      </c>
    </row>
    <row r="366" spans="1:5" x14ac:dyDescent="0.25">
      <c r="A366" t="s">
        <v>41</v>
      </c>
      <c r="B366" s="1" t="s">
        <v>10</v>
      </c>
      <c r="C366" s="2">
        <v>18390023</v>
      </c>
      <c r="D366">
        <f t="shared" si="10"/>
        <v>4.6034266651832224E-2</v>
      </c>
      <c r="E366">
        <f t="shared" si="11"/>
        <v>4.6034266651832221</v>
      </c>
    </row>
    <row r="367" spans="1:5" x14ac:dyDescent="0.25">
      <c r="A367" t="s">
        <v>41</v>
      </c>
      <c r="B367" s="1" t="s">
        <v>11</v>
      </c>
      <c r="C367" s="2">
        <v>19366245</v>
      </c>
      <c r="D367">
        <f t="shared" si="10"/>
        <v>5.3084327300732578E-2</v>
      </c>
      <c r="E367">
        <f t="shared" si="11"/>
        <v>5.3084327300732577</v>
      </c>
    </row>
    <row r="368" spans="1:5" x14ac:dyDescent="0.25">
      <c r="A368" t="s">
        <v>41</v>
      </c>
      <c r="B368" s="1" t="s">
        <v>12</v>
      </c>
      <c r="C368" s="2">
        <v>18914203</v>
      </c>
      <c r="D368">
        <f t="shared" si="10"/>
        <v>-2.3341747458012641E-2</v>
      </c>
      <c r="E368">
        <f t="shared" si="11"/>
        <v>-2.3341747458012643</v>
      </c>
    </row>
    <row r="369" spans="1:5" x14ac:dyDescent="0.25">
      <c r="A369" t="s">
        <v>41</v>
      </c>
      <c r="B369" s="1" t="s">
        <v>13</v>
      </c>
      <c r="C369" s="2">
        <v>19193337</v>
      </c>
      <c r="D369">
        <f t="shared" si="10"/>
        <v>1.475790441711977E-2</v>
      </c>
      <c r="E369">
        <f t="shared" si="11"/>
        <v>1.4757904417119769</v>
      </c>
    </row>
    <row r="370" spans="1:5" x14ac:dyDescent="0.25">
      <c r="A370" t="s">
        <v>41</v>
      </c>
      <c r="B370" s="1" t="s">
        <v>14</v>
      </c>
      <c r="C370" s="2">
        <v>19923613</v>
      </c>
      <c r="D370">
        <f t="shared" si="10"/>
        <v>3.8048412321421754E-2</v>
      </c>
      <c r="E370">
        <f t="shared" si="11"/>
        <v>3.8048412321421754</v>
      </c>
    </row>
    <row r="371" spans="1:5" x14ac:dyDescent="0.25">
      <c r="A371" t="s">
        <v>41</v>
      </c>
      <c r="B371" s="1" t="s">
        <v>15</v>
      </c>
      <c r="C371" s="2">
        <v>19491934</v>
      </c>
      <c r="D371">
        <f t="shared" si="10"/>
        <v>-2.1666702721037594E-2</v>
      </c>
      <c r="E371">
        <f t="shared" si="11"/>
        <v>-2.1666702721037594</v>
      </c>
    </row>
    <row r="372" spans="1:5" x14ac:dyDescent="0.25">
      <c r="A372" t="s">
        <v>41</v>
      </c>
      <c r="B372" s="1" t="s">
        <v>16</v>
      </c>
      <c r="C372" s="2">
        <v>18488594</v>
      </c>
      <c r="D372">
        <f t="shared" si="10"/>
        <v>-5.1474625350157663E-2</v>
      </c>
      <c r="E372">
        <f t="shared" si="11"/>
        <v>-5.1474625350157659</v>
      </c>
    </row>
    <row r="373" spans="1:5" x14ac:dyDescent="0.25">
      <c r="A373" t="s">
        <v>41</v>
      </c>
      <c r="B373" s="1" t="s">
        <v>17</v>
      </c>
      <c r="C373" s="2">
        <v>18369481</v>
      </c>
      <c r="D373">
        <f t="shared" si="10"/>
        <v>-6.4425126107480104E-3</v>
      </c>
      <c r="E373">
        <f t="shared" si="11"/>
        <v>-0.64425126107480102</v>
      </c>
    </row>
    <row r="374" spans="1:5" x14ac:dyDescent="0.25">
      <c r="A374" t="s">
        <v>41</v>
      </c>
      <c r="B374" s="1" t="s">
        <v>18</v>
      </c>
      <c r="C374" s="2">
        <v>14320814</v>
      </c>
      <c r="D374">
        <f t="shared" si="10"/>
        <v>-0.2204018175581553</v>
      </c>
      <c r="E374">
        <f t="shared" si="11"/>
        <v>-22.040181755815532</v>
      </c>
    </row>
    <row r="375" spans="1:5" x14ac:dyDescent="0.25">
      <c r="A375" t="s">
        <v>41</v>
      </c>
      <c r="B375" s="1" t="s">
        <v>19</v>
      </c>
      <c r="C375" s="2">
        <v>11608327</v>
      </c>
      <c r="D375">
        <f t="shared" si="10"/>
        <v>-0.189408716571558</v>
      </c>
      <c r="E375">
        <f t="shared" si="11"/>
        <v>-18.9408716571558</v>
      </c>
    </row>
    <row r="376" spans="1:5" x14ac:dyDescent="0.25">
      <c r="A376" t="s">
        <v>41</v>
      </c>
      <c r="B376" s="1" t="s">
        <v>20</v>
      </c>
      <c r="C376" s="2">
        <v>9527115</v>
      </c>
      <c r="D376">
        <f t="shared" si="10"/>
        <v>-0.17928612796658813</v>
      </c>
      <c r="E376">
        <f t="shared" si="11"/>
        <v>-17.928612796658815</v>
      </c>
    </row>
    <row r="377" spans="1:5" x14ac:dyDescent="0.25">
      <c r="A377" t="s">
        <v>41</v>
      </c>
      <c r="B377" s="1" t="s">
        <v>21</v>
      </c>
      <c r="C377" s="2">
        <v>9267396</v>
      </c>
      <c r="D377">
        <f t="shared" si="10"/>
        <v>-2.7261033376840733E-2</v>
      </c>
      <c r="E377">
        <f t="shared" si="11"/>
        <v>-2.7261033376840733</v>
      </c>
    </row>
    <row r="378" spans="1:5" x14ac:dyDescent="0.25">
      <c r="A378" t="s">
        <v>41</v>
      </c>
      <c r="B378" s="1" t="s">
        <v>22</v>
      </c>
      <c r="C378" s="2">
        <v>8374410</v>
      </c>
      <c r="D378">
        <f t="shared" si="10"/>
        <v>-9.6357811838406388E-2</v>
      </c>
      <c r="E378">
        <f t="shared" si="11"/>
        <v>-9.6357811838406384</v>
      </c>
    </row>
    <row r="379" spans="1:5" x14ac:dyDescent="0.25">
      <c r="A379" t="s">
        <v>41</v>
      </c>
      <c r="B379" s="1" t="s">
        <v>23</v>
      </c>
      <c r="C379" s="2">
        <v>7766644</v>
      </c>
      <c r="D379">
        <f t="shared" si="10"/>
        <v>-7.2574187315882555E-2</v>
      </c>
      <c r="E379">
        <f t="shared" si="11"/>
        <v>-7.2574187315882552</v>
      </c>
    </row>
    <row r="380" spans="1:5" x14ac:dyDescent="0.25">
      <c r="A380" t="s">
        <v>42</v>
      </c>
      <c r="B380" s="1" t="s">
        <v>3</v>
      </c>
      <c r="C380" s="2">
        <v>10109907</v>
      </c>
      <c r="D380">
        <f t="shared" si="10"/>
        <v>0.30170856292627807</v>
      </c>
      <c r="E380">
        <f t="shared" si="11"/>
        <v>30.170856292627807</v>
      </c>
    </row>
    <row r="381" spans="1:5" x14ac:dyDescent="0.25">
      <c r="A381" t="s">
        <v>42</v>
      </c>
      <c r="B381" s="1" t="s">
        <v>4</v>
      </c>
      <c r="C381" s="2">
        <v>10438566</v>
      </c>
      <c r="D381">
        <f t="shared" si="10"/>
        <v>3.2508607645945702E-2</v>
      </c>
      <c r="E381">
        <f t="shared" si="11"/>
        <v>3.2508607645945702</v>
      </c>
    </row>
    <row r="382" spans="1:5" x14ac:dyDescent="0.25">
      <c r="A382" t="s">
        <v>42</v>
      </c>
      <c r="B382" s="1" t="s">
        <v>5</v>
      </c>
      <c r="C382" s="2">
        <v>10874554</v>
      </c>
      <c r="D382">
        <f t="shared" si="10"/>
        <v>4.1767039648932622E-2</v>
      </c>
      <c r="E382">
        <f t="shared" si="11"/>
        <v>4.176703964893262</v>
      </c>
    </row>
    <row r="383" spans="1:5" x14ac:dyDescent="0.25">
      <c r="A383" t="s">
        <v>42</v>
      </c>
      <c r="B383" s="1" t="s">
        <v>6</v>
      </c>
      <c r="C383" s="2">
        <v>11051604</v>
      </c>
      <c r="D383">
        <f t="shared" si="10"/>
        <v>1.6281127483481161E-2</v>
      </c>
      <c r="E383">
        <f t="shared" si="11"/>
        <v>1.6281127483481161</v>
      </c>
    </row>
    <row r="384" spans="1:5" x14ac:dyDescent="0.25">
      <c r="A384" t="s">
        <v>42</v>
      </c>
      <c r="B384" s="1" t="s">
        <v>7</v>
      </c>
      <c r="C384" s="2">
        <v>11550654</v>
      </c>
      <c r="D384">
        <f t="shared" si="10"/>
        <v>4.5156341106684601E-2</v>
      </c>
      <c r="E384">
        <f t="shared" si="11"/>
        <v>4.5156341106684605</v>
      </c>
    </row>
    <row r="385" spans="1:5" x14ac:dyDescent="0.25">
      <c r="A385" t="s">
        <v>42</v>
      </c>
      <c r="B385" s="1" t="s">
        <v>8</v>
      </c>
      <c r="C385" s="2">
        <v>11324576</v>
      </c>
      <c r="D385">
        <f t="shared" si="10"/>
        <v>-1.9572744538967232E-2</v>
      </c>
      <c r="E385">
        <f t="shared" si="11"/>
        <v>-1.9572744538967231</v>
      </c>
    </row>
    <row r="386" spans="1:5" x14ac:dyDescent="0.25">
      <c r="A386" t="s">
        <v>42</v>
      </c>
      <c r="B386" s="1" t="s">
        <v>9</v>
      </c>
      <c r="C386" s="2">
        <v>12149656</v>
      </c>
      <c r="D386">
        <f t="shared" si="10"/>
        <v>7.2857473869220354E-2</v>
      </c>
      <c r="E386">
        <f t="shared" si="11"/>
        <v>7.2857473869220355</v>
      </c>
    </row>
    <row r="387" spans="1:5" x14ac:dyDescent="0.25">
      <c r="A387" t="s">
        <v>42</v>
      </c>
      <c r="B387" s="1" t="s">
        <v>10</v>
      </c>
      <c r="C387" s="2">
        <v>13069123</v>
      </c>
      <c r="D387">
        <f t="shared" si="10"/>
        <v>7.567843896156401E-2</v>
      </c>
      <c r="E387">
        <f t="shared" si="11"/>
        <v>7.5678438961564005</v>
      </c>
    </row>
    <row r="388" spans="1:5" x14ac:dyDescent="0.25">
      <c r="A388" t="s">
        <v>42</v>
      </c>
      <c r="B388" s="1" t="s">
        <v>11</v>
      </c>
      <c r="C388" s="2">
        <v>13858412</v>
      </c>
      <c r="D388">
        <f t="shared" ref="D388:D451" si="12">(C388-C387)/C387</f>
        <v>6.039341737008673E-2</v>
      </c>
      <c r="E388">
        <f t="shared" ref="E388:E451" si="13">D388*100</f>
        <v>6.0393417370086731</v>
      </c>
    </row>
    <row r="389" spans="1:5" x14ac:dyDescent="0.25">
      <c r="A389" t="s">
        <v>42</v>
      </c>
      <c r="B389" s="1" t="s">
        <v>12</v>
      </c>
      <c r="C389" s="2">
        <v>14872241</v>
      </c>
      <c r="D389">
        <f t="shared" si="12"/>
        <v>7.3156217321291933E-2</v>
      </c>
      <c r="E389">
        <f t="shared" si="13"/>
        <v>7.315621732129193</v>
      </c>
    </row>
    <row r="390" spans="1:5" x14ac:dyDescent="0.25">
      <c r="A390" t="s">
        <v>42</v>
      </c>
      <c r="B390" s="1" t="s">
        <v>13</v>
      </c>
      <c r="C390" s="2">
        <v>14207870</v>
      </c>
      <c r="D390">
        <f t="shared" si="12"/>
        <v>-4.4671882334343563E-2</v>
      </c>
      <c r="E390">
        <f t="shared" si="13"/>
        <v>-4.4671882334343564</v>
      </c>
    </row>
    <row r="391" spans="1:5" x14ac:dyDescent="0.25">
      <c r="A391" t="s">
        <v>42</v>
      </c>
      <c r="B391" s="1" t="s">
        <v>14</v>
      </c>
      <c r="C391" s="2">
        <v>15012254</v>
      </c>
      <c r="D391">
        <f t="shared" si="12"/>
        <v>5.6615382882867028E-2</v>
      </c>
      <c r="E391">
        <f t="shared" si="13"/>
        <v>5.6615382882867031</v>
      </c>
    </row>
    <row r="392" spans="1:5" x14ac:dyDescent="0.25">
      <c r="A392" t="s">
        <v>42</v>
      </c>
      <c r="B392" s="1" t="s">
        <v>15</v>
      </c>
      <c r="C392" s="2">
        <v>14729081</v>
      </c>
      <c r="D392">
        <f t="shared" si="12"/>
        <v>-1.8862790357797036E-2</v>
      </c>
      <c r="E392">
        <f t="shared" si="13"/>
        <v>-1.8862790357797037</v>
      </c>
    </row>
    <row r="393" spans="1:5" x14ac:dyDescent="0.25">
      <c r="A393" t="s">
        <v>42</v>
      </c>
      <c r="B393" s="1" t="s">
        <v>16</v>
      </c>
      <c r="C393" s="2">
        <v>14268757</v>
      </c>
      <c r="D393">
        <f t="shared" si="12"/>
        <v>-3.1252730567507915E-2</v>
      </c>
      <c r="E393">
        <f t="shared" si="13"/>
        <v>-3.1252730567507916</v>
      </c>
    </row>
    <row r="394" spans="1:5" x14ac:dyDescent="0.25">
      <c r="A394" t="s">
        <v>42</v>
      </c>
      <c r="B394" s="1" t="s">
        <v>17</v>
      </c>
      <c r="C394" s="2">
        <v>14344283</v>
      </c>
      <c r="D394">
        <f t="shared" si="12"/>
        <v>5.2931029661518521E-3</v>
      </c>
      <c r="E394">
        <f t="shared" si="13"/>
        <v>0.52931029661518525</v>
      </c>
    </row>
    <row r="395" spans="1:5" x14ac:dyDescent="0.25">
      <c r="A395" t="s">
        <v>42</v>
      </c>
      <c r="B395" s="1" t="s">
        <v>18</v>
      </c>
      <c r="C395" s="2">
        <v>13944876</v>
      </c>
      <c r="D395">
        <f t="shared" si="12"/>
        <v>-2.7844333522979155E-2</v>
      </c>
      <c r="E395">
        <f t="shared" si="13"/>
        <v>-2.7844333522979157</v>
      </c>
    </row>
    <row r="396" spans="1:5" x14ac:dyDescent="0.25">
      <c r="A396" t="s">
        <v>42</v>
      </c>
      <c r="B396" s="1" t="s">
        <v>19</v>
      </c>
      <c r="C396" s="2">
        <v>13772663</v>
      </c>
      <c r="D396">
        <f t="shared" si="12"/>
        <v>-1.2349554058422606E-2</v>
      </c>
      <c r="E396">
        <f t="shared" si="13"/>
        <v>-1.2349554058422605</v>
      </c>
    </row>
    <row r="397" spans="1:5" x14ac:dyDescent="0.25">
      <c r="A397" t="s">
        <v>42</v>
      </c>
      <c r="B397" s="1" t="s">
        <v>20</v>
      </c>
      <c r="C397" s="2">
        <v>12885415</v>
      </c>
      <c r="D397">
        <f t="shared" si="12"/>
        <v>-6.4420947495774789E-2</v>
      </c>
      <c r="E397">
        <f t="shared" si="13"/>
        <v>-6.4420947495774792</v>
      </c>
    </row>
    <row r="398" spans="1:5" x14ac:dyDescent="0.25">
      <c r="A398" t="s">
        <v>42</v>
      </c>
      <c r="B398" s="1" t="s">
        <v>21</v>
      </c>
      <c r="C398" s="2">
        <v>14139078</v>
      </c>
      <c r="D398">
        <f t="shared" si="12"/>
        <v>9.7293179924744372E-2</v>
      </c>
      <c r="E398">
        <f t="shared" si="13"/>
        <v>9.7293179924744368</v>
      </c>
    </row>
    <row r="399" spans="1:5" x14ac:dyDescent="0.25">
      <c r="A399" t="s">
        <v>42</v>
      </c>
      <c r="B399" s="1" t="s">
        <v>22</v>
      </c>
      <c r="C399" s="2">
        <v>15079881</v>
      </c>
      <c r="D399">
        <f t="shared" si="12"/>
        <v>6.6539204324355519E-2</v>
      </c>
      <c r="E399">
        <f t="shared" si="13"/>
        <v>6.6539204324355516</v>
      </c>
    </row>
    <row r="400" spans="1:5" x14ac:dyDescent="0.25">
      <c r="A400" t="s">
        <v>42</v>
      </c>
      <c r="B400" s="1" t="s">
        <v>23</v>
      </c>
      <c r="C400" s="2">
        <v>16687285</v>
      </c>
      <c r="D400">
        <f t="shared" si="12"/>
        <v>0.10659261833697493</v>
      </c>
      <c r="E400">
        <f t="shared" si="13"/>
        <v>10.659261833697494</v>
      </c>
    </row>
    <row r="401" spans="1:5" x14ac:dyDescent="0.25">
      <c r="A401" t="s">
        <v>43</v>
      </c>
      <c r="B401" s="1" t="s">
        <v>3</v>
      </c>
      <c r="C401" s="2">
        <v>2774415</v>
      </c>
      <c r="D401">
        <f t="shared" si="12"/>
        <v>-0.83374077928195034</v>
      </c>
      <c r="E401">
        <f t="shared" si="13"/>
        <v>-83.374077928195035</v>
      </c>
    </row>
    <row r="402" spans="1:5" x14ac:dyDescent="0.25">
      <c r="A402" t="s">
        <v>43</v>
      </c>
      <c r="B402" s="1" t="s">
        <v>4</v>
      </c>
      <c r="C402" s="2">
        <v>2795605</v>
      </c>
      <c r="D402">
        <f t="shared" si="12"/>
        <v>7.6376461344103167E-3</v>
      </c>
      <c r="E402">
        <f t="shared" si="13"/>
        <v>0.76376461344103164</v>
      </c>
    </row>
    <row r="403" spans="1:5" x14ac:dyDescent="0.25">
      <c r="A403" t="s">
        <v>43</v>
      </c>
      <c r="B403" s="1" t="s">
        <v>5</v>
      </c>
      <c r="C403" s="2">
        <v>2952087</v>
      </c>
      <c r="D403">
        <f t="shared" si="12"/>
        <v>5.5974288213105926E-2</v>
      </c>
      <c r="E403">
        <f t="shared" si="13"/>
        <v>5.5974288213105927</v>
      </c>
    </row>
    <row r="404" spans="1:5" x14ac:dyDescent="0.25">
      <c r="A404" t="s">
        <v>43</v>
      </c>
      <c r="B404" s="1" t="s">
        <v>6</v>
      </c>
      <c r="C404" s="2">
        <v>2855800</v>
      </c>
      <c r="D404">
        <f t="shared" si="12"/>
        <v>-3.2616586164296649E-2</v>
      </c>
      <c r="E404">
        <f t="shared" si="13"/>
        <v>-3.2616586164296648</v>
      </c>
    </row>
    <row r="405" spans="1:5" x14ac:dyDescent="0.25">
      <c r="A405" t="s">
        <v>43</v>
      </c>
      <c r="B405" s="1" t="s">
        <v>7</v>
      </c>
      <c r="C405" s="2">
        <v>2982477</v>
      </c>
      <c r="D405">
        <f t="shared" si="12"/>
        <v>4.4357798165137616E-2</v>
      </c>
      <c r="E405">
        <f t="shared" si="13"/>
        <v>4.4357798165137616</v>
      </c>
    </row>
    <row r="406" spans="1:5" x14ac:dyDescent="0.25">
      <c r="A406" t="s">
        <v>43</v>
      </c>
      <c r="B406" s="1" t="s">
        <v>8</v>
      </c>
      <c r="C406" s="2">
        <v>3058799</v>
      </c>
      <c r="D406">
        <f t="shared" si="12"/>
        <v>2.5590138666618384E-2</v>
      </c>
      <c r="E406">
        <f t="shared" si="13"/>
        <v>2.5590138666618385</v>
      </c>
    </row>
    <row r="407" spans="1:5" x14ac:dyDescent="0.25">
      <c r="A407" t="s">
        <v>43</v>
      </c>
      <c r="B407" s="1" t="s">
        <v>9</v>
      </c>
      <c r="C407" s="2">
        <v>3268904</v>
      </c>
      <c r="D407">
        <f t="shared" si="12"/>
        <v>6.8688723907651336E-2</v>
      </c>
      <c r="E407">
        <f t="shared" si="13"/>
        <v>6.8688723907651337</v>
      </c>
    </row>
    <row r="408" spans="1:5" x14ac:dyDescent="0.25">
      <c r="A408" t="s">
        <v>43</v>
      </c>
      <c r="B408" s="1" t="s">
        <v>10</v>
      </c>
      <c r="C408" s="2">
        <v>3955309</v>
      </c>
      <c r="D408">
        <f t="shared" si="12"/>
        <v>0.20998016460562929</v>
      </c>
      <c r="E408">
        <f t="shared" si="13"/>
        <v>20.99801646056293</v>
      </c>
    </row>
    <row r="409" spans="1:5" x14ac:dyDescent="0.25">
      <c r="A409" t="s">
        <v>43</v>
      </c>
      <c r="B409" s="1" t="s">
        <v>11</v>
      </c>
      <c r="C409" s="2">
        <v>4156767</v>
      </c>
      <c r="D409">
        <f t="shared" si="12"/>
        <v>5.0933568022119131E-2</v>
      </c>
      <c r="E409">
        <f t="shared" si="13"/>
        <v>5.0933568022119129</v>
      </c>
    </row>
    <row r="410" spans="1:5" x14ac:dyDescent="0.25">
      <c r="A410" t="s">
        <v>43</v>
      </c>
      <c r="B410" s="1" t="s">
        <v>12</v>
      </c>
      <c r="C410" s="2">
        <v>4295556</v>
      </c>
      <c r="D410">
        <f t="shared" si="12"/>
        <v>3.3388688853621097E-2</v>
      </c>
      <c r="E410">
        <f t="shared" si="13"/>
        <v>3.3388688853621096</v>
      </c>
    </row>
    <row r="411" spans="1:5" x14ac:dyDescent="0.25">
      <c r="A411" t="s">
        <v>43</v>
      </c>
      <c r="B411" s="1" t="s">
        <v>13</v>
      </c>
      <c r="C411" s="2">
        <v>4664906</v>
      </c>
      <c r="D411">
        <f t="shared" si="12"/>
        <v>8.598421252103336E-2</v>
      </c>
      <c r="E411">
        <f t="shared" si="13"/>
        <v>8.5984212521033356</v>
      </c>
    </row>
    <row r="412" spans="1:5" x14ac:dyDescent="0.25">
      <c r="A412" t="s">
        <v>43</v>
      </c>
      <c r="B412" s="1" t="s">
        <v>14</v>
      </c>
      <c r="C412" s="2">
        <v>4955278</v>
      </c>
      <c r="D412">
        <f t="shared" si="12"/>
        <v>6.2246055976261899E-2</v>
      </c>
      <c r="E412">
        <f t="shared" si="13"/>
        <v>6.2246055976261898</v>
      </c>
    </row>
    <row r="413" spans="1:5" x14ac:dyDescent="0.25">
      <c r="A413" t="s">
        <v>43</v>
      </c>
      <c r="B413" s="1" t="s">
        <v>15</v>
      </c>
      <c r="C413" s="2">
        <v>5105932</v>
      </c>
      <c r="D413">
        <f t="shared" si="12"/>
        <v>3.0402734215920883E-2</v>
      </c>
      <c r="E413">
        <f t="shared" si="13"/>
        <v>3.0402734215920884</v>
      </c>
    </row>
    <row r="414" spans="1:5" x14ac:dyDescent="0.25">
      <c r="A414" t="s">
        <v>43</v>
      </c>
      <c r="B414" s="1" t="s">
        <v>16</v>
      </c>
      <c r="C414" s="2">
        <v>5132691</v>
      </c>
      <c r="D414">
        <f t="shared" si="12"/>
        <v>5.2407670137400971E-3</v>
      </c>
      <c r="E414">
        <f t="shared" si="13"/>
        <v>0.52407670137400975</v>
      </c>
    </row>
    <row r="415" spans="1:5" x14ac:dyDescent="0.25">
      <c r="A415" t="s">
        <v>43</v>
      </c>
      <c r="B415" s="1" t="s">
        <v>17</v>
      </c>
      <c r="C415" s="2">
        <v>5354506</v>
      </c>
      <c r="D415">
        <f t="shared" si="12"/>
        <v>4.3216121913436829E-2</v>
      </c>
      <c r="E415">
        <f t="shared" si="13"/>
        <v>4.3216121913436831</v>
      </c>
    </row>
    <row r="416" spans="1:5" x14ac:dyDescent="0.25">
      <c r="A416" t="s">
        <v>43</v>
      </c>
      <c r="B416" s="1" t="s">
        <v>18</v>
      </c>
      <c r="C416" s="2">
        <v>5649139</v>
      </c>
      <c r="D416">
        <f t="shared" si="12"/>
        <v>5.5025244158844903E-2</v>
      </c>
      <c r="E416">
        <f t="shared" si="13"/>
        <v>5.5025244158844906</v>
      </c>
    </row>
    <row r="417" spans="1:5" x14ac:dyDescent="0.25">
      <c r="A417" t="s">
        <v>43</v>
      </c>
      <c r="B417" s="1" t="s">
        <v>19</v>
      </c>
      <c r="C417" s="2">
        <v>6076409</v>
      </c>
      <c r="D417">
        <f t="shared" si="12"/>
        <v>7.5634534749454738E-2</v>
      </c>
      <c r="E417">
        <f t="shared" si="13"/>
        <v>7.563453474945474</v>
      </c>
    </row>
    <row r="418" spans="1:5" x14ac:dyDescent="0.25">
      <c r="A418" t="s">
        <v>43</v>
      </c>
      <c r="B418" s="1" t="s">
        <v>20</v>
      </c>
      <c r="C418" s="2">
        <v>6412669</v>
      </c>
      <c r="D418">
        <f t="shared" si="12"/>
        <v>5.5338605416455675E-2</v>
      </c>
      <c r="E418">
        <f t="shared" si="13"/>
        <v>5.5338605416455673</v>
      </c>
    </row>
    <row r="419" spans="1:5" x14ac:dyDescent="0.25">
      <c r="A419" t="s">
        <v>43</v>
      </c>
      <c r="B419" s="1" t="s">
        <v>21</v>
      </c>
      <c r="C419" s="2">
        <v>6850618</v>
      </c>
      <c r="D419">
        <f t="shared" si="12"/>
        <v>6.8294340468843778E-2</v>
      </c>
      <c r="E419">
        <f t="shared" si="13"/>
        <v>6.8294340468843782</v>
      </c>
    </row>
    <row r="420" spans="1:5" x14ac:dyDescent="0.25">
      <c r="A420" t="s">
        <v>43</v>
      </c>
      <c r="B420" s="1" t="s">
        <v>22</v>
      </c>
      <c r="C420" s="2">
        <v>7226652</v>
      </c>
      <c r="D420">
        <f t="shared" si="12"/>
        <v>5.4890522285726634E-2</v>
      </c>
      <c r="E420">
        <f t="shared" si="13"/>
        <v>5.4890522285726631</v>
      </c>
    </row>
    <row r="421" spans="1:5" x14ac:dyDescent="0.25">
      <c r="A421" t="s">
        <v>43</v>
      </c>
      <c r="B421" s="1" t="s">
        <v>23</v>
      </c>
      <c r="C421" s="2">
        <v>8064115</v>
      </c>
      <c r="D421">
        <f t="shared" si="12"/>
        <v>0.11588533666765745</v>
      </c>
      <c r="E421">
        <f t="shared" si="13"/>
        <v>11.588533666765745</v>
      </c>
    </row>
    <row r="422" spans="1:5" x14ac:dyDescent="0.25">
      <c r="A422" t="s">
        <v>44</v>
      </c>
      <c r="B422" s="1" t="s">
        <v>3</v>
      </c>
      <c r="C422" s="2">
        <v>59298564</v>
      </c>
      <c r="D422">
        <f t="shared" si="12"/>
        <v>6.3533876935038744</v>
      </c>
      <c r="E422">
        <f t="shared" si="13"/>
        <v>635.33876935038745</v>
      </c>
    </row>
    <row r="423" spans="1:5" x14ac:dyDescent="0.25">
      <c r="A423" t="s">
        <v>44</v>
      </c>
      <c r="B423" s="1" t="s">
        <v>4</v>
      </c>
      <c r="C423" s="2">
        <v>59051838</v>
      </c>
      <c r="D423">
        <f t="shared" si="12"/>
        <v>-4.1607415653438081E-3</v>
      </c>
      <c r="E423">
        <f t="shared" si="13"/>
        <v>-0.41607415653438079</v>
      </c>
    </row>
    <row r="424" spans="1:5" x14ac:dyDescent="0.25">
      <c r="A424" t="s">
        <v>44</v>
      </c>
      <c r="B424" s="1" t="s">
        <v>5</v>
      </c>
      <c r="C424" s="2">
        <v>60894998</v>
      </c>
      <c r="D424">
        <f t="shared" si="12"/>
        <v>3.1212576313035336E-2</v>
      </c>
      <c r="E424">
        <f t="shared" si="13"/>
        <v>3.1212576313035334</v>
      </c>
    </row>
    <row r="425" spans="1:5" x14ac:dyDescent="0.25">
      <c r="A425" t="s">
        <v>44</v>
      </c>
      <c r="B425" s="1" t="s">
        <v>6</v>
      </c>
      <c r="C425" s="2">
        <v>60858028</v>
      </c>
      <c r="D425">
        <f t="shared" si="12"/>
        <v>-6.0711062015307072E-4</v>
      </c>
      <c r="E425">
        <f t="shared" si="13"/>
        <v>-6.0711062015307071E-2</v>
      </c>
    </row>
    <row r="426" spans="1:5" x14ac:dyDescent="0.25">
      <c r="A426" t="s">
        <v>44</v>
      </c>
      <c r="B426" s="1" t="s">
        <v>7</v>
      </c>
      <c r="C426" s="2">
        <v>60859618</v>
      </c>
      <c r="D426">
        <f t="shared" si="12"/>
        <v>2.6126380565600975E-5</v>
      </c>
      <c r="E426">
        <f t="shared" si="13"/>
        <v>2.6126380565600973E-3</v>
      </c>
    </row>
    <row r="427" spans="1:5" x14ac:dyDescent="0.25">
      <c r="A427" t="s">
        <v>44</v>
      </c>
      <c r="B427" s="1" t="s">
        <v>8</v>
      </c>
      <c r="C427" s="2">
        <v>132337254</v>
      </c>
      <c r="D427">
        <f t="shared" si="12"/>
        <v>1.1744673783525885</v>
      </c>
      <c r="E427">
        <f t="shared" si="13"/>
        <v>117.44673783525886</v>
      </c>
    </row>
    <row r="428" spans="1:5" x14ac:dyDescent="0.25">
      <c r="A428" t="s">
        <v>44</v>
      </c>
      <c r="B428" s="1" t="s">
        <v>9</v>
      </c>
      <c r="C428" s="2">
        <v>134811292</v>
      </c>
      <c r="D428">
        <f t="shared" si="12"/>
        <v>1.8694947380425469E-2</v>
      </c>
      <c r="E428">
        <f t="shared" si="13"/>
        <v>1.8694947380425468</v>
      </c>
    </row>
    <row r="429" spans="1:5" x14ac:dyDescent="0.25">
      <c r="A429" t="s">
        <v>44</v>
      </c>
      <c r="B429" s="1" t="s">
        <v>10</v>
      </c>
      <c r="C429" s="2">
        <v>131686962</v>
      </c>
      <c r="D429">
        <f t="shared" si="12"/>
        <v>-2.3175580870480789E-2</v>
      </c>
      <c r="E429">
        <f t="shared" si="13"/>
        <v>-2.317558087048079</v>
      </c>
    </row>
    <row r="430" spans="1:5" x14ac:dyDescent="0.25">
      <c r="A430" t="s">
        <v>44</v>
      </c>
      <c r="B430" s="1" t="s">
        <v>11</v>
      </c>
      <c r="C430" s="2">
        <v>132760609</v>
      </c>
      <c r="D430">
        <f t="shared" si="12"/>
        <v>8.1530242910456078E-3</v>
      </c>
      <c r="E430">
        <f t="shared" si="13"/>
        <v>0.81530242910456074</v>
      </c>
    </row>
    <row r="431" spans="1:5" x14ac:dyDescent="0.25">
      <c r="A431" t="s">
        <v>44</v>
      </c>
      <c r="B431" s="1" t="s">
        <v>12</v>
      </c>
      <c r="C431" s="2">
        <v>147845204</v>
      </c>
      <c r="D431">
        <f t="shared" si="12"/>
        <v>0.11362252036671509</v>
      </c>
      <c r="E431">
        <f t="shared" si="13"/>
        <v>11.36225203667151</v>
      </c>
    </row>
    <row r="432" spans="1:5" x14ac:dyDescent="0.25">
      <c r="A432" t="s">
        <v>44</v>
      </c>
      <c r="B432" s="1" t="s">
        <v>13</v>
      </c>
      <c r="C432" s="2">
        <v>141733902</v>
      </c>
      <c r="D432">
        <f t="shared" si="12"/>
        <v>-4.133581499201016E-2</v>
      </c>
      <c r="E432">
        <f t="shared" si="13"/>
        <v>-4.133581499201016</v>
      </c>
    </row>
    <row r="433" spans="1:5" x14ac:dyDescent="0.25">
      <c r="A433" t="s">
        <v>44</v>
      </c>
      <c r="B433" s="1" t="s">
        <v>14</v>
      </c>
      <c r="C433" s="2">
        <v>139708268</v>
      </c>
      <c r="D433">
        <f t="shared" si="12"/>
        <v>-1.4291810014515793E-2</v>
      </c>
      <c r="E433">
        <f t="shared" si="13"/>
        <v>-1.4291810014515793</v>
      </c>
    </row>
    <row r="434" spans="1:5" x14ac:dyDescent="0.25">
      <c r="A434" t="s">
        <v>44</v>
      </c>
      <c r="B434" s="1" t="s">
        <v>15</v>
      </c>
      <c r="C434" s="2">
        <v>126689753</v>
      </c>
      <c r="D434">
        <f t="shared" si="12"/>
        <v>-9.318356877776196E-2</v>
      </c>
      <c r="E434">
        <f t="shared" si="13"/>
        <v>-9.3183568777761963</v>
      </c>
    </row>
    <row r="435" spans="1:5" x14ac:dyDescent="0.25">
      <c r="A435" t="s">
        <v>44</v>
      </c>
      <c r="B435" s="1" t="s">
        <v>16</v>
      </c>
      <c r="C435" s="2">
        <v>122982923</v>
      </c>
      <c r="D435">
        <f t="shared" si="12"/>
        <v>-2.925911458679693E-2</v>
      </c>
      <c r="E435">
        <f t="shared" si="13"/>
        <v>-2.925911458679693</v>
      </c>
    </row>
    <row r="436" spans="1:5" x14ac:dyDescent="0.25">
      <c r="A436" t="s">
        <v>44</v>
      </c>
      <c r="B436" s="1" t="s">
        <v>17</v>
      </c>
      <c r="C436" s="2">
        <v>125517052</v>
      </c>
      <c r="D436">
        <f t="shared" si="12"/>
        <v>2.0605535615704954E-2</v>
      </c>
      <c r="E436">
        <f t="shared" si="13"/>
        <v>2.0605535615704955</v>
      </c>
    </row>
    <row r="437" spans="1:5" x14ac:dyDescent="0.25">
      <c r="A437" t="s">
        <v>44</v>
      </c>
      <c r="B437" s="1" t="s">
        <v>18</v>
      </c>
      <c r="C437" s="2">
        <v>127443775</v>
      </c>
      <c r="D437">
        <f t="shared" si="12"/>
        <v>1.5350288819721484E-2</v>
      </c>
      <c r="E437">
        <f t="shared" si="13"/>
        <v>1.5350288819721483</v>
      </c>
    </row>
    <row r="438" spans="1:5" x14ac:dyDescent="0.25">
      <c r="A438" t="s">
        <v>44</v>
      </c>
      <c r="B438" s="1" t="s">
        <v>19</v>
      </c>
      <c r="C438" s="2">
        <v>125155305</v>
      </c>
      <c r="D438">
        <f t="shared" si="12"/>
        <v>-1.7956702867597887E-2</v>
      </c>
      <c r="E438">
        <f t="shared" si="13"/>
        <v>-1.7956702867597887</v>
      </c>
    </row>
    <row r="439" spans="1:5" x14ac:dyDescent="0.25">
      <c r="A439" t="s">
        <v>44</v>
      </c>
      <c r="B439" s="1" t="s">
        <v>20</v>
      </c>
      <c r="C439" s="2">
        <v>131718866</v>
      </c>
      <c r="D439">
        <f t="shared" si="12"/>
        <v>5.244333030869127E-2</v>
      </c>
      <c r="E439">
        <f t="shared" si="13"/>
        <v>5.2443330308691269</v>
      </c>
    </row>
    <row r="440" spans="1:5" x14ac:dyDescent="0.25">
      <c r="A440" t="s">
        <v>44</v>
      </c>
      <c r="B440" s="1" t="s">
        <v>21</v>
      </c>
      <c r="C440" s="2">
        <v>138109397</v>
      </c>
      <c r="D440">
        <f t="shared" si="12"/>
        <v>4.851644410604021E-2</v>
      </c>
      <c r="E440">
        <f t="shared" si="13"/>
        <v>4.8516444106040213</v>
      </c>
    </row>
    <row r="441" spans="1:5" x14ac:dyDescent="0.25">
      <c r="A441" t="s">
        <v>44</v>
      </c>
      <c r="B441" s="1" t="s">
        <v>22</v>
      </c>
      <c r="C441" s="2">
        <v>144077164</v>
      </c>
      <c r="D441">
        <f t="shared" si="12"/>
        <v>4.3210434116948609E-2</v>
      </c>
      <c r="E441">
        <f t="shared" si="13"/>
        <v>4.3210434116948608</v>
      </c>
    </row>
    <row r="442" spans="1:5" x14ac:dyDescent="0.25">
      <c r="A442" t="s">
        <v>44</v>
      </c>
      <c r="B442" s="1" t="s">
        <v>23</v>
      </c>
      <c r="C442" s="2">
        <v>134596053</v>
      </c>
      <c r="D442">
        <f t="shared" si="12"/>
        <v>-6.5805785849588211E-2</v>
      </c>
      <c r="E442">
        <f t="shared" si="13"/>
        <v>-6.580578584958821</v>
      </c>
    </row>
    <row r="443" spans="1:5" x14ac:dyDescent="0.25">
      <c r="A443" t="s">
        <v>45</v>
      </c>
      <c r="B443" s="1" t="s">
        <v>3</v>
      </c>
      <c r="C443" s="2">
        <v>4887793</v>
      </c>
      <c r="D443">
        <f t="shared" si="12"/>
        <v>-0.96368546557602253</v>
      </c>
      <c r="E443">
        <f t="shared" si="13"/>
        <v>-96.368546557602258</v>
      </c>
    </row>
    <row r="444" spans="1:5" x14ac:dyDescent="0.25">
      <c r="A444" t="s">
        <v>45</v>
      </c>
      <c r="B444" s="1" t="s">
        <v>4</v>
      </c>
      <c r="C444" s="2">
        <v>5603841</v>
      </c>
      <c r="D444">
        <f t="shared" si="12"/>
        <v>0.14649720231605554</v>
      </c>
      <c r="E444">
        <f t="shared" si="13"/>
        <v>14.649720231605553</v>
      </c>
    </row>
    <row r="445" spans="1:5" x14ac:dyDescent="0.25">
      <c r="A445" t="s">
        <v>45</v>
      </c>
      <c r="B445" s="1" t="s">
        <v>5</v>
      </c>
      <c r="C445" s="2">
        <v>5979114</v>
      </c>
      <c r="D445">
        <f t="shared" si="12"/>
        <v>6.6967103456361449E-2</v>
      </c>
      <c r="E445">
        <f t="shared" si="13"/>
        <v>6.696710345636145</v>
      </c>
    </row>
    <row r="446" spans="1:5" x14ac:dyDescent="0.25">
      <c r="A446" t="s">
        <v>45</v>
      </c>
      <c r="B446" s="1" t="s">
        <v>6</v>
      </c>
      <c r="C446" s="2">
        <v>6197667</v>
      </c>
      <c r="D446">
        <f t="shared" si="12"/>
        <v>3.6552740088247188E-2</v>
      </c>
      <c r="E446">
        <f t="shared" si="13"/>
        <v>3.6552740088247186</v>
      </c>
    </row>
    <row r="447" spans="1:5" x14ac:dyDescent="0.25">
      <c r="A447" t="s">
        <v>45</v>
      </c>
      <c r="B447" s="1" t="s">
        <v>7</v>
      </c>
      <c r="C447" s="2">
        <v>6548959</v>
      </c>
      <c r="D447">
        <f t="shared" si="12"/>
        <v>5.6681328635436526E-2</v>
      </c>
      <c r="E447">
        <f t="shared" si="13"/>
        <v>5.6681328635436525</v>
      </c>
    </row>
    <row r="448" spans="1:5" x14ac:dyDescent="0.25">
      <c r="A448" t="s">
        <v>45</v>
      </c>
      <c r="B448" s="1" t="s">
        <v>8</v>
      </c>
      <c r="C448" s="2">
        <v>6683759</v>
      </c>
      <c r="D448">
        <f t="shared" si="12"/>
        <v>2.0583424022046864E-2</v>
      </c>
      <c r="E448">
        <f t="shared" si="13"/>
        <v>2.0583424022046866</v>
      </c>
    </row>
    <row r="449" spans="1:5" x14ac:dyDescent="0.25">
      <c r="A449" t="s">
        <v>45</v>
      </c>
      <c r="B449" s="1" t="s">
        <v>9</v>
      </c>
      <c r="C449" s="2">
        <v>6807405</v>
      </c>
      <c r="D449">
        <f t="shared" si="12"/>
        <v>1.849947013349823E-2</v>
      </c>
      <c r="E449">
        <f t="shared" si="13"/>
        <v>1.849947013349823</v>
      </c>
    </row>
    <row r="450" spans="1:5" x14ac:dyDescent="0.25">
      <c r="A450" t="s">
        <v>45</v>
      </c>
      <c r="B450" s="1" t="s">
        <v>10</v>
      </c>
      <c r="C450" s="2">
        <v>6815433</v>
      </c>
      <c r="D450">
        <f t="shared" si="12"/>
        <v>1.1793040079149102E-3</v>
      </c>
      <c r="E450">
        <f t="shared" si="13"/>
        <v>0.11793040079149102</v>
      </c>
    </row>
    <row r="451" spans="1:5" x14ac:dyDescent="0.25">
      <c r="A451" t="s">
        <v>45</v>
      </c>
      <c r="B451" s="1" t="s">
        <v>11</v>
      </c>
      <c r="C451" s="2">
        <v>7140003</v>
      </c>
      <c r="D451">
        <f t="shared" si="12"/>
        <v>4.7622799607889919E-2</v>
      </c>
      <c r="E451">
        <f t="shared" si="13"/>
        <v>4.7622799607889919</v>
      </c>
    </row>
    <row r="452" spans="1:5" x14ac:dyDescent="0.25">
      <c r="A452" t="s">
        <v>45</v>
      </c>
      <c r="B452" s="1" t="s">
        <v>12</v>
      </c>
      <c r="C452" s="2">
        <v>6735983</v>
      </c>
      <c r="D452">
        <f t="shared" ref="D452:D505" si="14">(C452-C451)/C451</f>
        <v>-5.6585410398286948E-2</v>
      </c>
      <c r="E452">
        <f t="shared" ref="E452:E505" si="15">D452*100</f>
        <v>-5.6585410398286946</v>
      </c>
    </row>
    <row r="453" spans="1:5" x14ac:dyDescent="0.25">
      <c r="A453" t="s">
        <v>45</v>
      </c>
      <c r="B453" s="1" t="s">
        <v>13</v>
      </c>
      <c r="C453" s="2">
        <v>6347363</v>
      </c>
      <c r="D453">
        <f t="shared" si="14"/>
        <v>-5.7693138477338791E-2</v>
      </c>
      <c r="E453">
        <f t="shared" si="15"/>
        <v>-5.769313847733879</v>
      </c>
    </row>
    <row r="454" spans="1:5" x14ac:dyDescent="0.25">
      <c r="A454" t="s">
        <v>45</v>
      </c>
      <c r="B454" s="1" t="s">
        <v>14</v>
      </c>
      <c r="C454" s="2">
        <v>6813793</v>
      </c>
      <c r="D454">
        <f t="shared" si="14"/>
        <v>7.348405944326801E-2</v>
      </c>
      <c r="E454">
        <f t="shared" si="15"/>
        <v>7.3484059443268013</v>
      </c>
    </row>
    <row r="455" spans="1:5" x14ac:dyDescent="0.25">
      <c r="A455" t="s">
        <v>45</v>
      </c>
      <c r="B455" s="1" t="s">
        <v>15</v>
      </c>
      <c r="C455" s="2">
        <v>7428576</v>
      </c>
      <c r="D455">
        <f t="shared" si="14"/>
        <v>9.0226251369831756E-2</v>
      </c>
      <c r="E455">
        <f t="shared" si="15"/>
        <v>9.0226251369831765</v>
      </c>
    </row>
    <row r="456" spans="1:5" x14ac:dyDescent="0.25">
      <c r="A456" t="s">
        <v>45</v>
      </c>
      <c r="B456" s="1" t="s">
        <v>16</v>
      </c>
      <c r="C456" s="2">
        <v>7703757</v>
      </c>
      <c r="D456">
        <f t="shared" si="14"/>
        <v>3.7043573357801007E-2</v>
      </c>
      <c r="E456">
        <f t="shared" si="15"/>
        <v>3.7043573357801005</v>
      </c>
    </row>
    <row r="457" spans="1:5" x14ac:dyDescent="0.25">
      <c r="A457" t="s">
        <v>45</v>
      </c>
      <c r="B457" s="1" t="s">
        <v>17</v>
      </c>
      <c r="C457" s="2">
        <v>8733158</v>
      </c>
      <c r="D457">
        <f t="shared" si="14"/>
        <v>0.13362324382765448</v>
      </c>
      <c r="E457">
        <f t="shared" si="15"/>
        <v>13.362324382765447</v>
      </c>
    </row>
    <row r="458" spans="1:5" x14ac:dyDescent="0.25">
      <c r="A458" t="s">
        <v>45</v>
      </c>
      <c r="B458" s="1" t="s">
        <v>18</v>
      </c>
      <c r="C458" s="2">
        <v>9121953</v>
      </c>
      <c r="D458">
        <f t="shared" si="14"/>
        <v>4.4519405236914299E-2</v>
      </c>
      <c r="E458">
        <f t="shared" si="15"/>
        <v>4.4519405236914302</v>
      </c>
    </row>
    <row r="459" spans="1:5" x14ac:dyDescent="0.25">
      <c r="A459" t="s">
        <v>45</v>
      </c>
      <c r="B459" s="1" t="s">
        <v>19</v>
      </c>
      <c r="C459" s="2">
        <v>9812089</v>
      </c>
      <c r="D459">
        <f t="shared" si="14"/>
        <v>7.5656605553657205E-2</v>
      </c>
      <c r="E459">
        <f t="shared" si="15"/>
        <v>7.5656605553657208</v>
      </c>
    </row>
    <row r="460" spans="1:5" x14ac:dyDescent="0.25">
      <c r="A460" t="s">
        <v>45</v>
      </c>
      <c r="B460" s="1" t="s">
        <v>20</v>
      </c>
      <c r="C460" s="2">
        <v>10287872</v>
      </c>
      <c r="D460">
        <f t="shared" si="14"/>
        <v>4.8489470488904042E-2</v>
      </c>
      <c r="E460">
        <f t="shared" si="15"/>
        <v>4.8489470488904045</v>
      </c>
    </row>
    <row r="461" spans="1:5" x14ac:dyDescent="0.25">
      <c r="A461" t="s">
        <v>45</v>
      </c>
      <c r="B461" s="1" t="s">
        <v>21</v>
      </c>
      <c r="C461" s="2">
        <v>11123180</v>
      </c>
      <c r="D461">
        <f t="shared" si="14"/>
        <v>8.1193467414835643E-2</v>
      </c>
      <c r="E461">
        <f t="shared" si="15"/>
        <v>8.1193467414835645</v>
      </c>
    </row>
    <row r="462" spans="1:5" x14ac:dyDescent="0.25">
      <c r="A462" t="s">
        <v>45</v>
      </c>
      <c r="B462" s="1" t="s">
        <v>22</v>
      </c>
      <c r="C462" s="2">
        <v>12009465</v>
      </c>
      <c r="D462">
        <f t="shared" si="14"/>
        <v>7.9679102558800632E-2</v>
      </c>
      <c r="E462">
        <f t="shared" si="15"/>
        <v>7.9679102558800636</v>
      </c>
    </row>
    <row r="463" spans="1:5" x14ac:dyDescent="0.25">
      <c r="A463" t="s">
        <v>45</v>
      </c>
      <c r="B463" s="1" t="s">
        <v>23</v>
      </c>
      <c r="C463" s="2">
        <v>12409218</v>
      </c>
      <c r="D463">
        <f t="shared" si="14"/>
        <v>3.3286495276850382E-2</v>
      </c>
      <c r="E463">
        <f t="shared" si="15"/>
        <v>3.3286495276850383</v>
      </c>
    </row>
    <row r="464" spans="1:5" x14ac:dyDescent="0.25">
      <c r="A464" t="s">
        <v>46</v>
      </c>
      <c r="B464" s="1" t="s">
        <v>3</v>
      </c>
      <c r="C464" s="2">
        <v>1383358</v>
      </c>
      <c r="D464">
        <f t="shared" si="14"/>
        <v>-0.8885217424659636</v>
      </c>
      <c r="E464">
        <f t="shared" si="15"/>
        <v>-88.852174246596363</v>
      </c>
    </row>
    <row r="465" spans="1:5" x14ac:dyDescent="0.25">
      <c r="A465" t="s">
        <v>46</v>
      </c>
      <c r="B465" s="1" t="s">
        <v>4</v>
      </c>
      <c r="C465" s="2">
        <v>1314061</v>
      </c>
      <c r="D465">
        <f t="shared" si="14"/>
        <v>-5.0093323637120685E-2</v>
      </c>
      <c r="E465">
        <f t="shared" si="15"/>
        <v>-5.0093323637120681</v>
      </c>
    </row>
    <row r="466" spans="1:5" x14ac:dyDescent="0.25">
      <c r="A466" t="s">
        <v>46</v>
      </c>
      <c r="B466" s="1" t="s">
        <v>5</v>
      </c>
      <c r="C466" s="2">
        <v>1352306</v>
      </c>
      <c r="D466">
        <f t="shared" si="14"/>
        <v>2.9104432747033813E-2</v>
      </c>
      <c r="E466">
        <f t="shared" si="15"/>
        <v>2.9104432747033813</v>
      </c>
    </row>
    <row r="467" spans="1:5" x14ac:dyDescent="0.25">
      <c r="A467" t="s">
        <v>46</v>
      </c>
      <c r="B467" s="1" t="s">
        <v>6</v>
      </c>
      <c r="C467" s="2">
        <v>1240994</v>
      </c>
      <c r="D467">
        <f t="shared" si="14"/>
        <v>-8.231273099431638E-2</v>
      </c>
      <c r="E467">
        <f t="shared" si="15"/>
        <v>-8.2312730994316379</v>
      </c>
    </row>
    <row r="468" spans="1:5" x14ac:dyDescent="0.25">
      <c r="A468" t="s">
        <v>46</v>
      </c>
      <c r="B468" s="1" t="s">
        <v>7</v>
      </c>
      <c r="C468" s="2">
        <v>1246702</v>
      </c>
      <c r="D468">
        <f t="shared" si="14"/>
        <v>4.5995387568352466E-3</v>
      </c>
      <c r="E468">
        <f t="shared" si="15"/>
        <v>0.45995387568352464</v>
      </c>
    </row>
    <row r="469" spans="1:5" x14ac:dyDescent="0.25">
      <c r="A469" t="s">
        <v>46</v>
      </c>
      <c r="B469" s="1" t="s">
        <v>8</v>
      </c>
      <c r="C469" s="2">
        <v>1302437</v>
      </c>
      <c r="D469">
        <f t="shared" si="14"/>
        <v>4.4705952184242906E-2</v>
      </c>
      <c r="E469">
        <f t="shared" si="15"/>
        <v>4.4705952184242905</v>
      </c>
    </row>
    <row r="470" spans="1:5" x14ac:dyDescent="0.25">
      <c r="A470" t="s">
        <v>46</v>
      </c>
      <c r="B470" s="1" t="s">
        <v>9</v>
      </c>
      <c r="C470" s="2">
        <v>1439109</v>
      </c>
      <c r="D470">
        <f t="shared" si="14"/>
        <v>0.10493559381375069</v>
      </c>
      <c r="E470">
        <f t="shared" si="15"/>
        <v>10.493559381375068</v>
      </c>
    </row>
    <row r="471" spans="1:5" x14ac:dyDescent="0.25">
      <c r="A471" t="s">
        <v>46</v>
      </c>
      <c r="B471" s="1" t="s">
        <v>10</v>
      </c>
      <c r="C471" s="2">
        <v>3311188</v>
      </c>
      <c r="D471">
        <f t="shared" si="14"/>
        <v>1.3008597680926184</v>
      </c>
      <c r="E471">
        <f t="shared" si="15"/>
        <v>130.08597680926184</v>
      </c>
    </row>
    <row r="472" spans="1:5" x14ac:dyDescent="0.25">
      <c r="A472" t="s">
        <v>46</v>
      </c>
      <c r="B472" s="1" t="s">
        <v>11</v>
      </c>
      <c r="C472" s="2">
        <v>3276730</v>
      </c>
      <c r="D472">
        <f t="shared" si="14"/>
        <v>-1.0406536868338494E-2</v>
      </c>
      <c r="E472">
        <f t="shared" si="15"/>
        <v>-1.0406536868338494</v>
      </c>
    </row>
    <row r="473" spans="1:5" x14ac:dyDescent="0.25">
      <c r="A473" t="s">
        <v>46</v>
      </c>
      <c r="B473" s="1" t="s">
        <v>12</v>
      </c>
      <c r="C473" s="2">
        <v>3455690</v>
      </c>
      <c r="D473">
        <f t="shared" si="14"/>
        <v>5.4615424523839315E-2</v>
      </c>
      <c r="E473">
        <f t="shared" si="15"/>
        <v>5.4615424523839318</v>
      </c>
    </row>
    <row r="474" spans="1:5" x14ac:dyDescent="0.25">
      <c r="A474" t="s">
        <v>46</v>
      </c>
      <c r="B474" s="1" t="s">
        <v>13</v>
      </c>
      <c r="C474" s="2">
        <v>3785747</v>
      </c>
      <c r="D474">
        <f t="shared" si="14"/>
        <v>9.5511171430307698E-2</v>
      </c>
      <c r="E474">
        <f t="shared" si="15"/>
        <v>9.5511171430307691</v>
      </c>
    </row>
    <row r="475" spans="1:5" x14ac:dyDescent="0.25">
      <c r="A475" t="s">
        <v>46</v>
      </c>
      <c r="B475" s="1" t="s">
        <v>14</v>
      </c>
      <c r="C475" s="2">
        <v>4074205</v>
      </c>
      <c r="D475">
        <f t="shared" si="14"/>
        <v>7.6195794383512691E-2</v>
      </c>
      <c r="E475">
        <f t="shared" si="15"/>
        <v>7.6195794383512689</v>
      </c>
    </row>
    <row r="476" spans="1:5" x14ac:dyDescent="0.25">
      <c r="A476" t="s">
        <v>46</v>
      </c>
      <c r="B476" s="1" t="s">
        <v>15</v>
      </c>
      <c r="C476" s="2">
        <v>4299853</v>
      </c>
      <c r="D476">
        <f t="shared" si="14"/>
        <v>5.5384547414771716E-2</v>
      </c>
      <c r="E476">
        <f t="shared" si="15"/>
        <v>5.5384547414771719</v>
      </c>
    </row>
    <row r="477" spans="1:5" x14ac:dyDescent="0.25">
      <c r="A477" t="s">
        <v>46</v>
      </c>
      <c r="B477" s="1" t="s">
        <v>16</v>
      </c>
      <c r="C477" s="2">
        <v>4400480</v>
      </c>
      <c r="D477">
        <f t="shared" si="14"/>
        <v>2.3402427943466905E-2</v>
      </c>
      <c r="E477">
        <f t="shared" si="15"/>
        <v>2.3402427943466906</v>
      </c>
    </row>
    <row r="478" spans="1:5" x14ac:dyDescent="0.25">
      <c r="A478" t="s">
        <v>46</v>
      </c>
      <c r="B478" s="1" t="s">
        <v>17</v>
      </c>
      <c r="C478" s="2">
        <v>4986858</v>
      </c>
      <c r="D478">
        <f t="shared" si="14"/>
        <v>0.13325319056102972</v>
      </c>
      <c r="E478">
        <f t="shared" si="15"/>
        <v>13.325319056102972</v>
      </c>
    </row>
    <row r="479" spans="1:5" x14ac:dyDescent="0.25">
      <c r="A479" t="s">
        <v>46</v>
      </c>
      <c r="B479" s="1" t="s">
        <v>18</v>
      </c>
      <c r="C479" s="2">
        <v>5056863</v>
      </c>
      <c r="D479">
        <f t="shared" si="14"/>
        <v>1.40378972090242E-2</v>
      </c>
      <c r="E479">
        <f t="shared" si="15"/>
        <v>1.4037897209024199</v>
      </c>
    </row>
    <row r="480" spans="1:5" x14ac:dyDescent="0.25">
      <c r="A480" t="s">
        <v>46</v>
      </c>
      <c r="B480" s="1" t="s">
        <v>19</v>
      </c>
      <c r="C480" s="2">
        <v>5519188</v>
      </c>
      <c r="D480">
        <f t="shared" si="14"/>
        <v>9.1425257120867229E-2</v>
      </c>
      <c r="E480">
        <f t="shared" si="15"/>
        <v>9.1425257120867229</v>
      </c>
    </row>
    <row r="481" spans="1:5" x14ac:dyDescent="0.25">
      <c r="A481" t="s">
        <v>46</v>
      </c>
      <c r="B481" s="1" t="s">
        <v>20</v>
      </c>
      <c r="C481" s="2">
        <v>5429210</v>
      </c>
      <c r="D481">
        <f t="shared" si="14"/>
        <v>-1.630276047853416E-2</v>
      </c>
      <c r="E481">
        <f t="shared" si="15"/>
        <v>-1.630276047853416</v>
      </c>
    </row>
    <row r="482" spans="1:5" x14ac:dyDescent="0.25">
      <c r="A482" t="s">
        <v>46</v>
      </c>
      <c r="B482" s="1" t="s">
        <v>21</v>
      </c>
      <c r="C482" s="2">
        <v>6712205</v>
      </c>
      <c r="D482">
        <f t="shared" si="14"/>
        <v>0.23631338629377019</v>
      </c>
      <c r="E482">
        <f t="shared" si="15"/>
        <v>23.631338629377019</v>
      </c>
    </row>
    <row r="483" spans="1:5" x14ac:dyDescent="0.25">
      <c r="A483" t="s">
        <v>46</v>
      </c>
      <c r="B483" s="1" t="s">
        <v>22</v>
      </c>
      <c r="C483" s="2">
        <v>7465262</v>
      </c>
      <c r="D483">
        <f t="shared" si="14"/>
        <v>0.1121921931764599</v>
      </c>
      <c r="E483">
        <f t="shared" si="15"/>
        <v>11.21921931764599</v>
      </c>
    </row>
    <row r="484" spans="1:5" x14ac:dyDescent="0.25">
      <c r="A484" t="s">
        <v>46</v>
      </c>
      <c r="B484" s="1" t="s">
        <v>23</v>
      </c>
      <c r="C484" s="2">
        <v>8064123</v>
      </c>
      <c r="D484">
        <f t="shared" si="14"/>
        <v>8.0219689543381059E-2</v>
      </c>
      <c r="E484">
        <f t="shared" si="15"/>
        <v>8.0219689543381065</v>
      </c>
    </row>
    <row r="485" spans="1:5" x14ac:dyDescent="0.25">
      <c r="A485" t="s">
        <v>47</v>
      </c>
      <c r="B485" s="1" t="s">
        <v>3</v>
      </c>
      <c r="C485" s="2">
        <v>487736</v>
      </c>
      <c r="D485">
        <f t="shared" si="14"/>
        <v>-0.93951778761311056</v>
      </c>
      <c r="E485">
        <f t="shared" si="15"/>
        <v>-93.951778761311061</v>
      </c>
    </row>
    <row r="486" spans="1:5" x14ac:dyDescent="0.25">
      <c r="A486" t="s">
        <v>47</v>
      </c>
      <c r="B486" s="1" t="s">
        <v>4</v>
      </c>
      <c r="C486" s="2">
        <v>470655</v>
      </c>
      <c r="D486">
        <f t="shared" si="14"/>
        <v>-3.5020994964488988E-2</v>
      </c>
      <c r="E486">
        <f t="shared" si="15"/>
        <v>-3.5020994964488987</v>
      </c>
    </row>
    <row r="487" spans="1:5" x14ac:dyDescent="0.25">
      <c r="A487" t="s">
        <v>47</v>
      </c>
      <c r="B487" s="1" t="s">
        <v>5</v>
      </c>
      <c r="C487" s="2">
        <v>462405</v>
      </c>
      <c r="D487">
        <f t="shared" si="14"/>
        <v>-1.7528763106734232E-2</v>
      </c>
      <c r="E487">
        <f t="shared" si="15"/>
        <v>-1.7528763106734231</v>
      </c>
    </row>
    <row r="488" spans="1:5" x14ac:dyDescent="0.25">
      <c r="A488" t="s">
        <v>47</v>
      </c>
      <c r="B488" s="1" t="s">
        <v>6</v>
      </c>
      <c r="C488" s="2">
        <v>428049</v>
      </c>
      <c r="D488">
        <f t="shared" si="14"/>
        <v>-7.4298504557692935E-2</v>
      </c>
      <c r="E488">
        <f t="shared" si="15"/>
        <v>-7.4298504557692935</v>
      </c>
    </row>
    <row r="489" spans="1:5" x14ac:dyDescent="0.25">
      <c r="A489" t="s">
        <v>47</v>
      </c>
      <c r="B489" s="1" t="s">
        <v>7</v>
      </c>
      <c r="C489" s="2">
        <v>392855</v>
      </c>
      <c r="D489">
        <f t="shared" si="14"/>
        <v>-8.2219558975724735E-2</v>
      </c>
      <c r="E489">
        <f t="shared" si="15"/>
        <v>-8.2219558975724727</v>
      </c>
    </row>
    <row r="490" spans="1:5" x14ac:dyDescent="0.25">
      <c r="A490" t="s">
        <v>47</v>
      </c>
      <c r="B490" s="1" t="s">
        <v>8</v>
      </c>
      <c r="C490" s="2">
        <v>365320</v>
      </c>
      <c r="D490">
        <f t="shared" si="14"/>
        <v>-7.0089473215308451E-2</v>
      </c>
      <c r="E490">
        <f t="shared" si="15"/>
        <v>-7.0089473215308455</v>
      </c>
    </row>
    <row r="491" spans="1:5" x14ac:dyDescent="0.25">
      <c r="A491" t="s">
        <v>47</v>
      </c>
      <c r="B491" s="1" t="s">
        <v>9</v>
      </c>
      <c r="C491" s="2">
        <v>375055</v>
      </c>
      <c r="D491">
        <f t="shared" si="14"/>
        <v>2.6647870360232126E-2</v>
      </c>
      <c r="E491">
        <f t="shared" si="15"/>
        <v>2.6647870360232124</v>
      </c>
    </row>
    <row r="492" spans="1:5" x14ac:dyDescent="0.25">
      <c r="A492" t="s">
        <v>47</v>
      </c>
      <c r="B492" s="1" t="s">
        <v>10</v>
      </c>
      <c r="C492" s="2">
        <v>363171</v>
      </c>
      <c r="D492">
        <f t="shared" si="14"/>
        <v>-3.1686019383823705E-2</v>
      </c>
      <c r="E492">
        <f t="shared" si="15"/>
        <v>-3.1686019383823707</v>
      </c>
    </row>
    <row r="493" spans="1:5" x14ac:dyDescent="0.25">
      <c r="A493" t="s">
        <v>47</v>
      </c>
      <c r="B493" s="1" t="s">
        <v>11</v>
      </c>
      <c r="C493" s="2">
        <v>284795</v>
      </c>
      <c r="D493">
        <f t="shared" si="14"/>
        <v>-0.21581018308179895</v>
      </c>
      <c r="E493">
        <f t="shared" si="15"/>
        <v>-21.581018308179896</v>
      </c>
    </row>
    <row r="494" spans="1:5" x14ac:dyDescent="0.25">
      <c r="A494" t="s">
        <v>47</v>
      </c>
      <c r="B494" s="1" t="s">
        <v>12</v>
      </c>
      <c r="C494" s="2">
        <v>309912</v>
      </c>
      <c r="D494">
        <f t="shared" si="14"/>
        <v>8.8193261819905541E-2</v>
      </c>
      <c r="E494">
        <f t="shared" si="15"/>
        <v>8.8193261819905544</v>
      </c>
    </row>
    <row r="495" spans="1:5" x14ac:dyDescent="0.25">
      <c r="A495" t="s">
        <v>47</v>
      </c>
      <c r="B495" s="1" t="s">
        <v>13</v>
      </c>
      <c r="C495" s="2">
        <v>273020</v>
      </c>
      <c r="D495">
        <f t="shared" si="14"/>
        <v>-0.1190402436820775</v>
      </c>
      <c r="E495">
        <f t="shared" si="15"/>
        <v>-11.90402436820775</v>
      </c>
    </row>
    <row r="496" spans="1:5" x14ac:dyDescent="0.25">
      <c r="A496" t="s">
        <v>47</v>
      </c>
      <c r="B496" s="1" t="s">
        <v>14</v>
      </c>
      <c r="C496" s="2">
        <v>618898</v>
      </c>
      <c r="D496">
        <f t="shared" si="14"/>
        <v>1.2668595707274193</v>
      </c>
      <c r="E496">
        <f t="shared" si="15"/>
        <v>126.68595707274193</v>
      </c>
    </row>
    <row r="497" spans="1:5" x14ac:dyDescent="0.25">
      <c r="A497" t="s">
        <v>47</v>
      </c>
      <c r="B497" s="1" t="s">
        <v>15</v>
      </c>
      <c r="C497" s="2">
        <v>907956</v>
      </c>
      <c r="D497">
        <f t="shared" si="14"/>
        <v>0.46705272920578189</v>
      </c>
      <c r="E497">
        <f t="shared" si="15"/>
        <v>46.705272920578189</v>
      </c>
    </row>
    <row r="498" spans="1:5" x14ac:dyDescent="0.25">
      <c r="A498" t="s">
        <v>47</v>
      </c>
      <c r="B498" s="1" t="s">
        <v>16</v>
      </c>
      <c r="C498" s="2">
        <v>1292028</v>
      </c>
      <c r="D498">
        <f t="shared" si="14"/>
        <v>0.42300728229121237</v>
      </c>
      <c r="E498">
        <f t="shared" si="15"/>
        <v>42.300728229121241</v>
      </c>
    </row>
    <row r="499" spans="1:5" x14ac:dyDescent="0.25">
      <c r="A499" t="s">
        <v>47</v>
      </c>
      <c r="B499" s="1" t="s">
        <v>17</v>
      </c>
      <c r="C499" s="2">
        <v>2171114</v>
      </c>
      <c r="D499">
        <f t="shared" si="14"/>
        <v>0.68039237539743724</v>
      </c>
      <c r="E499">
        <f t="shared" si="15"/>
        <v>68.039237539743723</v>
      </c>
    </row>
    <row r="500" spans="1:5" x14ac:dyDescent="0.25">
      <c r="A500" t="s">
        <v>47</v>
      </c>
      <c r="B500" s="1" t="s">
        <v>18</v>
      </c>
      <c r="C500" s="2">
        <v>3727237</v>
      </c>
      <c r="D500">
        <f t="shared" si="14"/>
        <v>0.71673942501407106</v>
      </c>
      <c r="E500">
        <f t="shared" si="15"/>
        <v>71.673942501407112</v>
      </c>
    </row>
    <row r="501" spans="1:5" x14ac:dyDescent="0.25">
      <c r="A501" t="s">
        <v>47</v>
      </c>
      <c r="B501" s="1" t="s">
        <v>19</v>
      </c>
      <c r="C501" s="2">
        <v>3321101</v>
      </c>
      <c r="D501">
        <f t="shared" si="14"/>
        <v>-0.10896436153644107</v>
      </c>
      <c r="E501">
        <f t="shared" si="15"/>
        <v>-10.896436153644107</v>
      </c>
    </row>
    <row r="502" spans="1:5" x14ac:dyDescent="0.25">
      <c r="A502" t="s">
        <v>47</v>
      </c>
      <c r="B502" s="1" t="s">
        <v>20</v>
      </c>
      <c r="C502" s="2">
        <v>6144616</v>
      </c>
      <c r="D502">
        <f t="shared" si="14"/>
        <v>0.85017438494041586</v>
      </c>
      <c r="E502">
        <f t="shared" si="15"/>
        <v>85.017438494041585</v>
      </c>
    </row>
    <row r="503" spans="1:5" x14ac:dyDescent="0.25">
      <c r="A503" t="s">
        <v>47</v>
      </c>
      <c r="B503" s="1" t="s">
        <v>21</v>
      </c>
      <c r="C503" s="2">
        <v>7257028</v>
      </c>
      <c r="D503">
        <f t="shared" si="14"/>
        <v>0.18103848963059693</v>
      </c>
      <c r="E503">
        <f t="shared" si="15"/>
        <v>18.103848963059693</v>
      </c>
    </row>
    <row r="504" spans="1:5" x14ac:dyDescent="0.25">
      <c r="A504" t="s">
        <v>47</v>
      </c>
      <c r="B504" s="1" t="s">
        <v>22</v>
      </c>
      <c r="C504" s="2">
        <v>8156070</v>
      </c>
      <c r="D504">
        <f t="shared" si="14"/>
        <v>0.1238857008681791</v>
      </c>
      <c r="E504">
        <f t="shared" si="15"/>
        <v>12.388570086817911</v>
      </c>
    </row>
    <row r="505" spans="1:5" x14ac:dyDescent="0.25">
      <c r="A505" t="s">
        <v>47</v>
      </c>
      <c r="B505" s="1" t="s">
        <v>23</v>
      </c>
      <c r="C505" s="2">
        <v>9427987</v>
      </c>
      <c r="D505">
        <f t="shared" si="14"/>
        <v>0.15594728833862387</v>
      </c>
      <c r="E505">
        <f t="shared" si="15"/>
        <v>15.594728833862387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3ACA-A391-4F8C-AFAE-1B0907BB4725}">
  <dimension ref="A1:C481"/>
  <sheetViews>
    <sheetView workbookViewId="0">
      <selection activeCell="F16" sqref="F16"/>
    </sheetView>
  </sheetViews>
  <sheetFormatPr defaultRowHeight="15" x14ac:dyDescent="0.25"/>
  <cols>
    <col min="3" max="3" width="12.7109375" bestFit="1" customWidth="1"/>
  </cols>
  <sheetData>
    <row r="1" spans="1:3" x14ac:dyDescent="0.25">
      <c r="A1" t="s">
        <v>0</v>
      </c>
      <c r="B1" t="s">
        <v>1</v>
      </c>
      <c r="C1" s="3" t="s">
        <v>49</v>
      </c>
    </row>
    <row r="2" spans="1:3" x14ac:dyDescent="0.25">
      <c r="A2" t="s">
        <v>24</v>
      </c>
      <c r="B2" s="1" t="s">
        <v>4</v>
      </c>
      <c r="C2">
        <v>2.3282879817007149</v>
      </c>
    </row>
    <row r="3" spans="1:3" x14ac:dyDescent="0.25">
      <c r="A3" t="s">
        <v>24</v>
      </c>
      <c r="B3" s="1" t="s">
        <v>5</v>
      </c>
      <c r="C3">
        <v>4.7579695510577702</v>
      </c>
    </row>
    <row r="4" spans="1:3" x14ac:dyDescent="0.25">
      <c r="A4" t="s">
        <v>24</v>
      </c>
      <c r="B4" s="1" t="s">
        <v>6</v>
      </c>
      <c r="C4">
        <v>1.8153405346921492</v>
      </c>
    </row>
    <row r="5" spans="1:3" x14ac:dyDescent="0.25">
      <c r="A5" t="s">
        <v>24</v>
      </c>
      <c r="B5" s="1" t="s">
        <v>7</v>
      </c>
      <c r="C5">
        <v>4.0908884149045397</v>
      </c>
    </row>
    <row r="6" spans="1:3" x14ac:dyDescent="0.25">
      <c r="A6" t="s">
        <v>24</v>
      </c>
      <c r="B6" s="1" t="s">
        <v>8</v>
      </c>
      <c r="C6">
        <v>1.2702258294914199</v>
      </c>
    </row>
    <row r="7" spans="1:3" x14ac:dyDescent="0.25">
      <c r="A7" t="s">
        <v>24</v>
      </c>
      <c r="B7" s="1" t="s">
        <v>9</v>
      </c>
      <c r="C7">
        <v>3.680697816953665</v>
      </c>
    </row>
    <row r="8" spans="1:3" x14ac:dyDescent="0.25">
      <c r="A8" t="s">
        <v>24</v>
      </c>
      <c r="B8" s="1" t="s">
        <v>10</v>
      </c>
      <c r="C8">
        <v>1.5071729402629395</v>
      </c>
    </row>
    <row r="9" spans="1:3" x14ac:dyDescent="0.25">
      <c r="A9" t="s">
        <v>24</v>
      </c>
      <c r="B9" s="1" t="s">
        <v>11</v>
      </c>
      <c r="C9">
        <v>0.2666520823277409</v>
      </c>
    </row>
    <row r="10" spans="1:3" x14ac:dyDescent="0.25">
      <c r="A10" t="s">
        <v>24</v>
      </c>
      <c r="B10" s="1" t="s">
        <v>12</v>
      </c>
      <c r="C10">
        <v>2.8733162467139679</v>
      </c>
    </row>
    <row r="11" spans="1:3" x14ac:dyDescent="0.25">
      <c r="A11" t="s">
        <v>24</v>
      </c>
      <c r="B11" s="1" t="s">
        <v>13</v>
      </c>
      <c r="C11">
        <v>-1.7204331781634021</v>
      </c>
    </row>
    <row r="12" spans="1:3" x14ac:dyDescent="0.25">
      <c r="A12" t="s">
        <v>24</v>
      </c>
      <c r="B12" s="1" t="s">
        <v>14</v>
      </c>
      <c r="C12">
        <v>0.97863671662918628</v>
      </c>
    </row>
    <row r="13" spans="1:3" x14ac:dyDescent="0.25">
      <c r="A13" t="s">
        <v>24</v>
      </c>
      <c r="B13" s="1" t="s">
        <v>15</v>
      </c>
      <c r="C13">
        <v>0.35606415111459117</v>
      </c>
    </row>
    <row r="14" spans="1:3" x14ac:dyDescent="0.25">
      <c r="A14" t="s">
        <v>24</v>
      </c>
      <c r="B14" s="1" t="s">
        <v>16</v>
      </c>
      <c r="C14">
        <v>1.7986891420608293</v>
      </c>
    </row>
    <row r="15" spans="1:3" x14ac:dyDescent="0.25">
      <c r="A15" t="s">
        <v>24</v>
      </c>
      <c r="B15" s="1" t="s">
        <v>17</v>
      </c>
      <c r="C15">
        <v>1.7352184220436939</v>
      </c>
    </row>
    <row r="16" spans="1:3" x14ac:dyDescent="0.25">
      <c r="A16" t="s">
        <v>24</v>
      </c>
      <c r="B16" s="1" t="s">
        <v>18</v>
      </c>
      <c r="C16">
        <v>2.0796567073235219</v>
      </c>
    </row>
    <row r="17" spans="1:3" x14ac:dyDescent="0.25">
      <c r="A17" t="s">
        <v>24</v>
      </c>
      <c r="B17" s="1" t="s">
        <v>19</v>
      </c>
      <c r="C17">
        <v>1.3588577358263263</v>
      </c>
    </row>
    <row r="18" spans="1:3" x14ac:dyDescent="0.25">
      <c r="A18" t="s">
        <v>24</v>
      </c>
      <c r="B18" s="1" t="s">
        <v>20</v>
      </c>
      <c r="C18">
        <v>3.2954198637642333</v>
      </c>
    </row>
    <row r="19" spans="1:3" x14ac:dyDescent="0.25">
      <c r="A19" t="s">
        <v>24</v>
      </c>
      <c r="B19" s="1" t="s">
        <v>21</v>
      </c>
      <c r="C19">
        <v>2.955874842227777</v>
      </c>
    </row>
    <row r="20" spans="1:3" x14ac:dyDescent="0.25">
      <c r="A20" t="s">
        <v>24</v>
      </c>
      <c r="B20" s="1" t="s">
        <v>22</v>
      </c>
      <c r="C20">
        <v>0.34901132303670029</v>
      </c>
    </row>
    <row r="21" spans="1:3" x14ac:dyDescent="0.25">
      <c r="A21" t="s">
        <v>24</v>
      </c>
      <c r="B21" s="1" t="s">
        <v>23</v>
      </c>
      <c r="C21">
        <v>2.2523908879233683</v>
      </c>
    </row>
    <row r="22" spans="1:3" x14ac:dyDescent="0.25">
      <c r="A22" t="s">
        <v>25</v>
      </c>
      <c r="B22" s="1" t="s">
        <v>4</v>
      </c>
      <c r="C22">
        <v>-4.5982721552190515</v>
      </c>
    </row>
    <row r="23" spans="1:3" x14ac:dyDescent="0.25">
      <c r="A23" t="s">
        <v>25</v>
      </c>
      <c r="B23" s="1" t="s">
        <v>5</v>
      </c>
      <c r="C23">
        <v>9.198808181209376</v>
      </c>
    </row>
    <row r="24" spans="1:3" x14ac:dyDescent="0.25">
      <c r="A24" t="s">
        <v>25</v>
      </c>
      <c r="B24" s="1" t="s">
        <v>6</v>
      </c>
      <c r="C24">
        <v>2.0092973781479322</v>
      </c>
    </row>
    <row r="25" spans="1:3" x14ac:dyDescent="0.25">
      <c r="A25" t="s">
        <v>25</v>
      </c>
      <c r="B25" s="1" t="s">
        <v>7</v>
      </c>
      <c r="C25">
        <v>5.0111822713553762</v>
      </c>
    </row>
    <row r="26" spans="1:3" x14ac:dyDescent="0.25">
      <c r="A26" t="s">
        <v>25</v>
      </c>
      <c r="B26" s="1" t="s">
        <v>8</v>
      </c>
      <c r="C26">
        <v>-4.7897553540319997</v>
      </c>
    </row>
    <row r="27" spans="1:3" x14ac:dyDescent="0.25">
      <c r="A27" t="s">
        <v>25</v>
      </c>
      <c r="B27" s="1" t="s">
        <v>9</v>
      </c>
      <c r="C27">
        <v>5.9548915989000939</v>
      </c>
    </row>
    <row r="28" spans="1:3" x14ac:dyDescent="0.25">
      <c r="A28" t="s">
        <v>25</v>
      </c>
      <c r="B28" s="1" t="s">
        <v>10</v>
      </c>
      <c r="C28">
        <v>0.39005678253243814</v>
      </c>
    </row>
    <row r="29" spans="1:3" x14ac:dyDescent="0.25">
      <c r="A29" t="s">
        <v>25</v>
      </c>
      <c r="B29" s="1" t="s">
        <v>11</v>
      </c>
      <c r="C29">
        <v>8.8211767724865044</v>
      </c>
    </row>
    <row r="30" spans="1:3" x14ac:dyDescent="0.25">
      <c r="A30" t="s">
        <v>25</v>
      </c>
      <c r="B30" s="1" t="s">
        <v>12</v>
      </c>
      <c r="C30">
        <v>-0.78785867351784145</v>
      </c>
    </row>
    <row r="31" spans="1:3" x14ac:dyDescent="0.25">
      <c r="A31" t="s">
        <v>25</v>
      </c>
      <c r="B31" s="1" t="s">
        <v>13</v>
      </c>
      <c r="C31">
        <v>-3.9767595188608249</v>
      </c>
    </row>
    <row r="32" spans="1:3" x14ac:dyDescent="0.25">
      <c r="A32" t="s">
        <v>25</v>
      </c>
      <c r="B32" s="1" t="s">
        <v>14</v>
      </c>
      <c r="C32">
        <v>-0.48890061959785713</v>
      </c>
    </row>
    <row r="33" spans="1:3" x14ac:dyDescent="0.25">
      <c r="A33" t="s">
        <v>25</v>
      </c>
      <c r="B33" s="1" t="s">
        <v>15</v>
      </c>
      <c r="C33">
        <v>1.6570452928329784</v>
      </c>
    </row>
    <row r="34" spans="1:3" x14ac:dyDescent="0.25">
      <c r="A34" t="s">
        <v>25</v>
      </c>
      <c r="B34" s="1" t="s">
        <v>16</v>
      </c>
      <c r="C34">
        <v>2.010370524586548</v>
      </c>
    </row>
    <row r="35" spans="1:3" x14ac:dyDescent="0.25">
      <c r="A35" t="s">
        <v>25</v>
      </c>
      <c r="B35" s="1" t="s">
        <v>17</v>
      </c>
      <c r="C35">
        <v>3.3698339423533645</v>
      </c>
    </row>
    <row r="36" spans="1:3" x14ac:dyDescent="0.25">
      <c r="A36" t="s">
        <v>25</v>
      </c>
      <c r="B36" s="1" t="s">
        <v>18</v>
      </c>
      <c r="C36">
        <v>0.45450485896835652</v>
      </c>
    </row>
    <row r="37" spans="1:3" x14ac:dyDescent="0.25">
      <c r="A37" t="s">
        <v>25</v>
      </c>
      <c r="B37" s="1" t="s">
        <v>19</v>
      </c>
      <c r="C37">
        <v>2.3798836008055222</v>
      </c>
    </row>
    <row r="38" spans="1:3" x14ac:dyDescent="0.25">
      <c r="A38" t="s">
        <v>25</v>
      </c>
      <c r="B38" s="1" t="s">
        <v>20</v>
      </c>
      <c r="C38">
        <v>1.719589374873199</v>
      </c>
    </row>
    <row r="39" spans="1:3" x14ac:dyDescent="0.25">
      <c r="A39" t="s">
        <v>25</v>
      </c>
      <c r="B39" s="1" t="s">
        <v>21</v>
      </c>
      <c r="C39">
        <v>5.7895787025631114</v>
      </c>
    </row>
    <row r="40" spans="1:3" x14ac:dyDescent="0.25">
      <c r="A40" t="s">
        <v>25</v>
      </c>
      <c r="B40" s="1" t="s">
        <v>22</v>
      </c>
      <c r="C40">
        <v>1.8704309396111605</v>
      </c>
    </row>
    <row r="41" spans="1:3" x14ac:dyDescent="0.25">
      <c r="A41" t="s">
        <v>25</v>
      </c>
      <c r="B41" s="1" t="s">
        <v>23</v>
      </c>
      <c r="C41">
        <v>2.7372441216912087</v>
      </c>
    </row>
    <row r="42" spans="1:3" x14ac:dyDescent="0.25">
      <c r="A42" t="s">
        <v>26</v>
      </c>
      <c r="B42" s="1" t="s">
        <v>4</v>
      </c>
      <c r="C42">
        <v>-0.52510706486814096</v>
      </c>
    </row>
    <row r="43" spans="1:3" x14ac:dyDescent="0.25">
      <c r="A43" t="s">
        <v>26</v>
      </c>
      <c r="B43" s="1" t="s">
        <v>5</v>
      </c>
      <c r="C43">
        <v>4.0748724278954152</v>
      </c>
    </row>
    <row r="44" spans="1:3" x14ac:dyDescent="0.25">
      <c r="A44" t="s">
        <v>26</v>
      </c>
      <c r="B44" s="1" t="s">
        <v>6</v>
      </c>
      <c r="C44">
        <v>6.3490190610463486</v>
      </c>
    </row>
    <row r="45" spans="1:3" x14ac:dyDescent="0.25">
      <c r="A45" t="s">
        <v>26</v>
      </c>
      <c r="B45" s="1" t="s">
        <v>7</v>
      </c>
      <c r="C45">
        <v>5.254284222092557</v>
      </c>
    </row>
    <row r="46" spans="1:3" x14ac:dyDescent="0.25">
      <c r="A46" t="s">
        <v>26</v>
      </c>
      <c r="B46" s="1" t="s">
        <v>8</v>
      </c>
      <c r="C46">
        <v>1.5269037679621003</v>
      </c>
    </row>
    <row r="47" spans="1:3" x14ac:dyDescent="0.25">
      <c r="A47" t="s">
        <v>26</v>
      </c>
      <c r="B47" s="1" t="s">
        <v>9</v>
      </c>
      <c r="C47">
        <v>5.2128601922521671</v>
      </c>
    </row>
    <row r="48" spans="1:3" x14ac:dyDescent="0.25">
      <c r="A48" t="s">
        <v>26</v>
      </c>
      <c r="B48" s="1" t="s">
        <v>10</v>
      </c>
      <c r="C48">
        <v>1.7747949927551778</v>
      </c>
    </row>
    <row r="49" spans="1:3" x14ac:dyDescent="0.25">
      <c r="A49" t="s">
        <v>26</v>
      </c>
      <c r="B49" s="1" t="s">
        <v>11</v>
      </c>
      <c r="C49">
        <v>-0.53330937431264058</v>
      </c>
    </row>
    <row r="50" spans="1:3" x14ac:dyDescent="0.25">
      <c r="A50" t="s">
        <v>26</v>
      </c>
      <c r="B50" s="1" t="s">
        <v>12</v>
      </c>
      <c r="C50">
        <v>4.3889493361913257</v>
      </c>
    </row>
    <row r="51" spans="1:3" x14ac:dyDescent="0.25">
      <c r="A51" t="s">
        <v>26</v>
      </c>
      <c r="B51" s="1" t="s">
        <v>13</v>
      </c>
      <c r="C51">
        <v>-0.32861222259822503</v>
      </c>
    </row>
    <row r="52" spans="1:3" x14ac:dyDescent="0.25">
      <c r="A52" t="s">
        <v>26</v>
      </c>
      <c r="B52" s="1" t="s">
        <v>14</v>
      </c>
      <c r="C52">
        <v>0.86659642423576511</v>
      </c>
    </row>
    <row r="53" spans="1:3" x14ac:dyDescent="0.25">
      <c r="A53" t="s">
        <v>26</v>
      </c>
      <c r="B53" s="1" t="s">
        <v>15</v>
      </c>
      <c r="C53">
        <v>0.57840971260023955</v>
      </c>
    </row>
    <row r="54" spans="1:3" x14ac:dyDescent="0.25">
      <c r="A54" t="s">
        <v>26</v>
      </c>
      <c r="B54" s="1" t="s">
        <v>16</v>
      </c>
      <c r="C54">
        <v>1.1387237418633742</v>
      </c>
    </row>
    <row r="55" spans="1:3" x14ac:dyDescent="0.25">
      <c r="A55" t="s">
        <v>26</v>
      </c>
      <c r="B55" s="1" t="s">
        <v>17</v>
      </c>
      <c r="C55">
        <v>1.8754968204254325</v>
      </c>
    </row>
    <row r="56" spans="1:3" x14ac:dyDescent="0.25">
      <c r="A56" t="s">
        <v>26</v>
      </c>
      <c r="B56" s="1" t="s">
        <v>18</v>
      </c>
      <c r="C56">
        <v>0.18143261846982159</v>
      </c>
    </row>
    <row r="57" spans="1:3" x14ac:dyDescent="0.25">
      <c r="A57" t="s">
        <v>26</v>
      </c>
      <c r="B57" s="1" t="s">
        <v>19</v>
      </c>
      <c r="C57">
        <v>2.0944094176859056</v>
      </c>
    </row>
    <row r="58" spans="1:3" x14ac:dyDescent="0.25">
      <c r="A58" t="s">
        <v>26</v>
      </c>
      <c r="B58" s="1" t="s">
        <v>20</v>
      </c>
      <c r="C58">
        <v>1.6076441243735533</v>
      </c>
    </row>
    <row r="59" spans="1:3" x14ac:dyDescent="0.25">
      <c r="A59" t="s">
        <v>26</v>
      </c>
      <c r="B59" s="1" t="s">
        <v>21</v>
      </c>
      <c r="C59">
        <v>4.3598433862502066</v>
      </c>
    </row>
    <row r="60" spans="1:3" x14ac:dyDescent="0.25">
      <c r="A60" t="s">
        <v>26</v>
      </c>
      <c r="B60" s="1" t="s">
        <v>22</v>
      </c>
      <c r="C60">
        <v>0.39311025247947656</v>
      </c>
    </row>
    <row r="61" spans="1:3" x14ac:dyDescent="0.25">
      <c r="A61" t="s">
        <v>26</v>
      </c>
      <c r="B61" s="1" t="s">
        <v>23</v>
      </c>
      <c r="C61">
        <v>3.8124265217870859</v>
      </c>
    </row>
    <row r="62" spans="1:3" x14ac:dyDescent="0.25">
      <c r="A62" t="s">
        <v>27</v>
      </c>
      <c r="B62" s="1" t="s">
        <v>4</v>
      </c>
      <c r="C62">
        <v>1.7651438486930193</v>
      </c>
    </row>
    <row r="63" spans="1:3" x14ac:dyDescent="0.25">
      <c r="A63" t="s">
        <v>27</v>
      </c>
      <c r="B63" s="1" t="s">
        <v>5</v>
      </c>
      <c r="C63">
        <v>4.3701124285776816</v>
      </c>
    </row>
    <row r="64" spans="1:3" x14ac:dyDescent="0.25">
      <c r="A64" t="s">
        <v>27</v>
      </c>
      <c r="B64" s="1" t="s">
        <v>6</v>
      </c>
      <c r="C64">
        <v>4.1280213447228782</v>
      </c>
    </row>
    <row r="65" spans="1:3" x14ac:dyDescent="0.25">
      <c r="A65" t="s">
        <v>27</v>
      </c>
      <c r="B65" s="1" t="s">
        <v>7</v>
      </c>
      <c r="C65">
        <v>8.0336887924561236</v>
      </c>
    </row>
    <row r="66" spans="1:3" x14ac:dyDescent="0.25">
      <c r="A66" t="s">
        <v>27</v>
      </c>
      <c r="B66" s="1" t="s">
        <v>8</v>
      </c>
      <c r="C66">
        <v>1.840965183735773</v>
      </c>
    </row>
    <row r="67" spans="1:3" x14ac:dyDescent="0.25">
      <c r="A67" t="s">
        <v>27</v>
      </c>
      <c r="B67" s="1" t="s">
        <v>9</v>
      </c>
      <c r="C67">
        <v>3.6784325551673285</v>
      </c>
    </row>
    <row r="68" spans="1:3" x14ac:dyDescent="0.25">
      <c r="A68" t="s">
        <v>27</v>
      </c>
      <c r="B68" s="1" t="s">
        <v>10</v>
      </c>
      <c r="C68">
        <v>2.3471982350390297</v>
      </c>
    </row>
    <row r="69" spans="1:3" x14ac:dyDescent="0.25">
      <c r="A69" t="s">
        <v>27</v>
      </c>
      <c r="B69" s="1" t="s">
        <v>11</v>
      </c>
      <c r="C69">
        <v>-0.43153275760837378</v>
      </c>
    </row>
    <row r="70" spans="1:3" x14ac:dyDescent="0.25">
      <c r="A70" t="s">
        <v>27</v>
      </c>
      <c r="B70" s="1" t="s">
        <v>12</v>
      </c>
      <c r="C70">
        <v>-1.0058596308739125</v>
      </c>
    </row>
    <row r="71" spans="1:3" x14ac:dyDescent="0.25">
      <c r="A71" t="s">
        <v>27</v>
      </c>
      <c r="B71" s="1" t="s">
        <v>13</v>
      </c>
      <c r="C71">
        <v>-0.55873338167071007</v>
      </c>
    </row>
    <row r="72" spans="1:3" x14ac:dyDescent="0.25">
      <c r="A72" t="s">
        <v>27</v>
      </c>
      <c r="B72" s="1" t="s">
        <v>14</v>
      </c>
      <c r="C72">
        <v>1.2234175487077323</v>
      </c>
    </row>
    <row r="73" spans="1:3" x14ac:dyDescent="0.25">
      <c r="A73" t="s">
        <v>27</v>
      </c>
      <c r="B73" s="1" t="s">
        <v>15</v>
      </c>
      <c r="C73">
        <v>2.03839407436584</v>
      </c>
    </row>
    <row r="74" spans="1:3" x14ac:dyDescent="0.25">
      <c r="A74" t="s">
        <v>27</v>
      </c>
      <c r="B74" s="1" t="s">
        <v>16</v>
      </c>
      <c r="C74">
        <v>0.47119002897200951</v>
      </c>
    </row>
    <row r="75" spans="1:3" x14ac:dyDescent="0.25">
      <c r="A75" t="s">
        <v>27</v>
      </c>
      <c r="B75" s="1" t="s">
        <v>17</v>
      </c>
      <c r="C75">
        <v>1.7475658462194783</v>
      </c>
    </row>
    <row r="76" spans="1:3" x14ac:dyDescent="0.25">
      <c r="A76" t="s">
        <v>27</v>
      </c>
      <c r="B76" s="1" t="s">
        <v>18</v>
      </c>
      <c r="C76">
        <v>1.6434869981551434</v>
      </c>
    </row>
    <row r="77" spans="1:3" x14ac:dyDescent="0.25">
      <c r="A77" t="s">
        <v>27</v>
      </c>
      <c r="B77" s="1" t="s">
        <v>19</v>
      </c>
      <c r="C77">
        <v>1.6865162697421283</v>
      </c>
    </row>
    <row r="78" spans="1:3" x14ac:dyDescent="0.25">
      <c r="A78" t="s">
        <v>27</v>
      </c>
      <c r="B78" s="1" t="s">
        <v>20</v>
      </c>
      <c r="C78">
        <v>0.83742629690158676</v>
      </c>
    </row>
    <row r="79" spans="1:3" x14ac:dyDescent="0.25">
      <c r="A79" t="s">
        <v>27</v>
      </c>
      <c r="B79" s="1" t="s">
        <v>21</v>
      </c>
      <c r="C79">
        <v>3.2530309558201855</v>
      </c>
    </row>
    <row r="80" spans="1:3" x14ac:dyDescent="0.25">
      <c r="A80" t="s">
        <v>27</v>
      </c>
      <c r="B80" s="1" t="s">
        <v>22</v>
      </c>
      <c r="C80">
        <v>1.2374649697323117</v>
      </c>
    </row>
    <row r="81" spans="1:3" x14ac:dyDescent="0.25">
      <c r="A81" t="s">
        <v>27</v>
      </c>
      <c r="B81" s="1" t="s">
        <v>23</v>
      </c>
      <c r="C81">
        <v>2.9646845645476527</v>
      </c>
    </row>
    <row r="82" spans="1:3" x14ac:dyDescent="0.25">
      <c r="A82" t="s">
        <v>28</v>
      </c>
      <c r="B82" s="1" t="s">
        <v>4</v>
      </c>
      <c r="C82">
        <v>2.2109334762857458</v>
      </c>
    </row>
    <row r="83" spans="1:3" x14ac:dyDescent="0.25">
      <c r="A83" t="s">
        <v>28</v>
      </c>
      <c r="B83" s="1" t="s">
        <v>5</v>
      </c>
      <c r="C83">
        <v>3.3861654025610055</v>
      </c>
    </row>
    <row r="84" spans="1:3" x14ac:dyDescent="0.25">
      <c r="A84" t="s">
        <v>28</v>
      </c>
      <c r="B84" s="1" t="s">
        <v>6</v>
      </c>
      <c r="C84">
        <v>3.7124431891464291</v>
      </c>
    </row>
    <row r="85" spans="1:3" x14ac:dyDescent="0.25">
      <c r="A85" t="s">
        <v>28</v>
      </c>
      <c r="B85" s="1" t="s">
        <v>7</v>
      </c>
      <c r="C85">
        <v>-0.28849047568740777</v>
      </c>
    </row>
    <row r="86" spans="1:3" x14ac:dyDescent="0.25">
      <c r="A86" t="s">
        <v>28</v>
      </c>
      <c r="B86" s="1" t="s">
        <v>8</v>
      </c>
      <c r="C86">
        <v>-1.9042826495749132</v>
      </c>
    </row>
    <row r="87" spans="1:3" x14ac:dyDescent="0.25">
      <c r="A87" t="s">
        <v>28</v>
      </c>
      <c r="B87" s="1" t="s">
        <v>9</v>
      </c>
      <c r="C87">
        <v>2.3639031566351569</v>
      </c>
    </row>
    <row r="88" spans="1:3" x14ac:dyDescent="0.25">
      <c r="A88" t="s">
        <v>28</v>
      </c>
      <c r="B88" s="1" t="s">
        <v>10</v>
      </c>
      <c r="C88">
        <v>0.52512015230839026</v>
      </c>
    </row>
    <row r="89" spans="1:3" x14ac:dyDescent="0.25">
      <c r="A89" t="s">
        <v>28</v>
      </c>
      <c r="B89" s="1" t="s">
        <v>11</v>
      </c>
      <c r="C89">
        <v>0.54432656909758881</v>
      </c>
    </row>
    <row r="90" spans="1:3" x14ac:dyDescent="0.25">
      <c r="A90" t="s">
        <v>28</v>
      </c>
      <c r="B90" s="1" t="s">
        <v>12</v>
      </c>
      <c r="C90">
        <v>2.1732659947885744</v>
      </c>
    </row>
    <row r="91" spans="1:3" x14ac:dyDescent="0.25">
      <c r="A91" t="s">
        <v>28</v>
      </c>
      <c r="B91" s="1" t="s">
        <v>13</v>
      </c>
      <c r="C91">
        <v>-6.1565952745144052</v>
      </c>
    </row>
    <row r="92" spans="1:3" x14ac:dyDescent="0.25">
      <c r="A92" t="s">
        <v>28</v>
      </c>
      <c r="B92" s="1" t="s">
        <v>14</v>
      </c>
      <c r="C92">
        <v>-0.71937634803301065</v>
      </c>
    </row>
    <row r="93" spans="1:3" x14ac:dyDescent="0.25">
      <c r="A93" t="s">
        <v>28</v>
      </c>
      <c r="B93" s="1" t="s">
        <v>15</v>
      </c>
      <c r="C93">
        <v>14.870466483214523</v>
      </c>
    </row>
    <row r="94" spans="1:3" x14ac:dyDescent="0.25">
      <c r="A94" t="s">
        <v>28</v>
      </c>
      <c r="B94" s="1" t="s">
        <v>16</v>
      </c>
      <c r="C94">
        <v>-0.35985720297294382</v>
      </c>
    </row>
    <row r="95" spans="1:3" x14ac:dyDescent="0.25">
      <c r="A95" t="s">
        <v>28</v>
      </c>
      <c r="B95" s="1" t="s">
        <v>17</v>
      </c>
      <c r="C95">
        <v>2.6497345960164367</v>
      </c>
    </row>
    <row r="96" spans="1:3" x14ac:dyDescent="0.25">
      <c r="A96" t="s">
        <v>28</v>
      </c>
      <c r="B96" s="1" t="s">
        <v>18</v>
      </c>
      <c r="C96">
        <v>2.7655468539349219</v>
      </c>
    </row>
    <row r="97" spans="1:3" x14ac:dyDescent="0.25">
      <c r="A97" t="s">
        <v>28</v>
      </c>
      <c r="B97" s="1" t="s">
        <v>19</v>
      </c>
      <c r="C97">
        <v>1.1950938643283611</v>
      </c>
    </row>
    <row r="98" spans="1:3" x14ac:dyDescent="0.25">
      <c r="A98" t="s">
        <v>28</v>
      </c>
      <c r="B98" s="1" t="s">
        <v>20</v>
      </c>
      <c r="C98">
        <v>3.2052368176230259</v>
      </c>
    </row>
    <row r="99" spans="1:3" x14ac:dyDescent="0.25">
      <c r="A99" t="s">
        <v>28</v>
      </c>
      <c r="B99" s="1" t="s">
        <v>21</v>
      </c>
      <c r="C99">
        <v>4.0067981265425425</v>
      </c>
    </row>
    <row r="100" spans="1:3" x14ac:dyDescent="0.25">
      <c r="A100" t="s">
        <v>28</v>
      </c>
      <c r="B100" s="1" t="s">
        <v>22</v>
      </c>
      <c r="C100">
        <v>0.7304187678132944</v>
      </c>
    </row>
    <row r="101" spans="1:3" x14ac:dyDescent="0.25">
      <c r="A101" t="s">
        <v>28</v>
      </c>
      <c r="B101" s="1" t="s">
        <v>23</v>
      </c>
      <c r="C101">
        <v>0.49144175569127224</v>
      </c>
    </row>
    <row r="102" spans="1:3" x14ac:dyDescent="0.25">
      <c r="A102" t="s">
        <v>29</v>
      </c>
      <c r="B102" s="1" t="s">
        <v>4</v>
      </c>
      <c r="C102">
        <v>0.52025240569599962</v>
      </c>
    </row>
    <row r="103" spans="1:3" x14ac:dyDescent="0.25">
      <c r="A103" t="s">
        <v>29</v>
      </c>
      <c r="B103" s="1" t="s">
        <v>5</v>
      </c>
      <c r="C103">
        <v>5.1839233399445117</v>
      </c>
    </row>
    <row r="104" spans="1:3" x14ac:dyDescent="0.25">
      <c r="A104" t="s">
        <v>29</v>
      </c>
      <c r="B104" s="1" t="s">
        <v>6</v>
      </c>
      <c r="C104">
        <v>4.2764434657811661</v>
      </c>
    </row>
    <row r="105" spans="1:3" x14ac:dyDescent="0.25">
      <c r="A105" t="s">
        <v>29</v>
      </c>
      <c r="B105" s="1" t="s">
        <v>7</v>
      </c>
      <c r="C105">
        <v>4.3353274604600518</v>
      </c>
    </row>
    <row r="106" spans="1:3" x14ac:dyDescent="0.25">
      <c r="A106" t="s">
        <v>29</v>
      </c>
      <c r="B106" s="1" t="s">
        <v>8</v>
      </c>
      <c r="C106">
        <v>-1.0765409226340652</v>
      </c>
    </row>
    <row r="107" spans="1:3" x14ac:dyDescent="0.25">
      <c r="A107" t="s">
        <v>29</v>
      </c>
      <c r="B107" s="1" t="s">
        <v>9</v>
      </c>
      <c r="C107">
        <v>3.6747077789624063</v>
      </c>
    </row>
    <row r="108" spans="1:3" x14ac:dyDescent="0.25">
      <c r="A108" t="s">
        <v>29</v>
      </c>
      <c r="B108" s="1" t="s">
        <v>10</v>
      </c>
      <c r="C108">
        <v>3.4346222716512576</v>
      </c>
    </row>
    <row r="109" spans="1:3" x14ac:dyDescent="0.25">
      <c r="A109" t="s">
        <v>29</v>
      </c>
      <c r="B109" s="1" t="s">
        <v>11</v>
      </c>
      <c r="C109">
        <v>3.0887784054689873</v>
      </c>
    </row>
    <row r="110" spans="1:3" x14ac:dyDescent="0.25">
      <c r="A110" t="s">
        <v>29</v>
      </c>
      <c r="B110" s="1" t="s">
        <v>12</v>
      </c>
      <c r="C110">
        <v>1.6111181800896368</v>
      </c>
    </row>
    <row r="111" spans="1:3" x14ac:dyDescent="0.25">
      <c r="A111" t="s">
        <v>29</v>
      </c>
      <c r="B111" s="1" t="s">
        <v>13</v>
      </c>
      <c r="C111">
        <v>-2.6005556758182844</v>
      </c>
    </row>
    <row r="112" spans="1:3" x14ac:dyDescent="0.25">
      <c r="A112" t="s">
        <v>29</v>
      </c>
      <c r="B112" s="1" t="s">
        <v>14</v>
      </c>
      <c r="C112">
        <v>-2.2363583613375471</v>
      </c>
    </row>
    <row r="113" spans="1:3" x14ac:dyDescent="0.25">
      <c r="A113" t="s">
        <v>29</v>
      </c>
      <c r="B113" s="1" t="s">
        <v>15</v>
      </c>
      <c r="C113">
        <v>1.1392752532481889</v>
      </c>
    </row>
    <row r="114" spans="1:3" x14ac:dyDescent="0.25">
      <c r="A114" t="s">
        <v>29</v>
      </c>
      <c r="B114" s="1" t="s">
        <v>16</v>
      </c>
      <c r="C114">
        <v>-0.29791848669657894</v>
      </c>
    </row>
    <row r="115" spans="1:3" x14ac:dyDescent="0.25">
      <c r="A115" t="s">
        <v>29</v>
      </c>
      <c r="B115" s="1" t="s">
        <v>17</v>
      </c>
      <c r="C115">
        <v>1.041667924433741</v>
      </c>
    </row>
    <row r="116" spans="1:3" x14ac:dyDescent="0.25">
      <c r="A116" t="s">
        <v>29</v>
      </c>
      <c r="B116" s="1" t="s">
        <v>18</v>
      </c>
      <c r="C116">
        <v>1.9746759792134416</v>
      </c>
    </row>
    <row r="117" spans="1:3" x14ac:dyDescent="0.25">
      <c r="A117" t="s">
        <v>29</v>
      </c>
      <c r="B117" s="1" t="s">
        <v>19</v>
      </c>
      <c r="C117">
        <v>4.950674825303726</v>
      </c>
    </row>
    <row r="118" spans="1:3" x14ac:dyDescent="0.25">
      <c r="A118" t="s">
        <v>29</v>
      </c>
      <c r="B118" s="1" t="s">
        <v>20</v>
      </c>
      <c r="C118">
        <v>-0.12703448533349279</v>
      </c>
    </row>
    <row r="119" spans="1:3" x14ac:dyDescent="0.25">
      <c r="A119" t="s">
        <v>29</v>
      </c>
      <c r="B119" s="1" t="s">
        <v>21</v>
      </c>
      <c r="C119">
        <v>5.9725162618613226</v>
      </c>
    </row>
    <row r="120" spans="1:3" x14ac:dyDescent="0.25">
      <c r="A120" t="s">
        <v>29</v>
      </c>
      <c r="B120" s="1" t="s">
        <v>22</v>
      </c>
      <c r="C120">
        <v>0.88326097268463466</v>
      </c>
    </row>
    <row r="121" spans="1:3" x14ac:dyDescent="0.25">
      <c r="A121" t="s">
        <v>29</v>
      </c>
      <c r="B121" s="1" t="s">
        <v>23</v>
      </c>
      <c r="C121">
        <v>4.2957737903930848</v>
      </c>
    </row>
    <row r="122" spans="1:3" x14ac:dyDescent="0.25">
      <c r="A122" t="s">
        <v>30</v>
      </c>
      <c r="B122" s="1" t="s">
        <v>4</v>
      </c>
      <c r="C122">
        <v>-3.7858293365270206</v>
      </c>
    </row>
    <row r="123" spans="1:3" x14ac:dyDescent="0.25">
      <c r="A123" t="s">
        <v>30</v>
      </c>
      <c r="B123" s="1" t="s">
        <v>5</v>
      </c>
      <c r="C123">
        <v>3.4958863780180316</v>
      </c>
    </row>
    <row r="124" spans="1:3" x14ac:dyDescent="0.25">
      <c r="A124" t="s">
        <v>30</v>
      </c>
      <c r="B124" s="1" t="s">
        <v>6</v>
      </c>
      <c r="C124">
        <v>65.372104364431962</v>
      </c>
    </row>
    <row r="125" spans="1:3" x14ac:dyDescent="0.25">
      <c r="A125" t="s">
        <v>30</v>
      </c>
      <c r="B125" s="1" t="s">
        <v>7</v>
      </c>
      <c r="C125">
        <v>-35.379633641075529</v>
      </c>
    </row>
    <row r="126" spans="1:3" x14ac:dyDescent="0.25">
      <c r="A126" t="s">
        <v>30</v>
      </c>
      <c r="B126" s="1" t="s">
        <v>8</v>
      </c>
      <c r="C126">
        <v>2.0550767555637854</v>
      </c>
    </row>
    <row r="127" spans="1:3" x14ac:dyDescent="0.25">
      <c r="A127" t="s">
        <v>30</v>
      </c>
      <c r="B127" s="1" t="s">
        <v>9</v>
      </c>
      <c r="C127">
        <v>-0.28568072705986425</v>
      </c>
    </row>
    <row r="128" spans="1:3" x14ac:dyDescent="0.25">
      <c r="A128" t="s">
        <v>30</v>
      </c>
      <c r="B128" s="1" t="s">
        <v>10</v>
      </c>
      <c r="C128">
        <v>-4.3864064744394069</v>
      </c>
    </row>
    <row r="129" spans="1:3" x14ac:dyDescent="0.25">
      <c r="A129" t="s">
        <v>30</v>
      </c>
      <c r="B129" s="1" t="s">
        <v>11</v>
      </c>
      <c r="C129">
        <v>-6.4634240402615548</v>
      </c>
    </row>
    <row r="130" spans="1:3" x14ac:dyDescent="0.25">
      <c r="A130" t="s">
        <v>30</v>
      </c>
      <c r="B130" s="1" t="s">
        <v>12</v>
      </c>
      <c r="C130">
        <v>0.78930804144999123</v>
      </c>
    </row>
    <row r="131" spans="1:3" x14ac:dyDescent="0.25">
      <c r="A131" t="s">
        <v>30</v>
      </c>
      <c r="B131" s="1" t="s">
        <v>13</v>
      </c>
      <c r="C131">
        <v>-5.4009237900182461</v>
      </c>
    </row>
    <row r="132" spans="1:3" x14ac:dyDescent="0.25">
      <c r="A132" t="s">
        <v>30</v>
      </c>
      <c r="B132" s="1" t="s">
        <v>14</v>
      </c>
      <c r="C132">
        <v>-5.2133766123171821</v>
      </c>
    </row>
    <row r="133" spans="1:3" x14ac:dyDescent="0.25">
      <c r="A133" t="s">
        <v>30</v>
      </c>
      <c r="B133" s="1" t="s">
        <v>15</v>
      </c>
      <c r="C133">
        <v>-3.5224285871734269</v>
      </c>
    </row>
    <row r="134" spans="1:3" x14ac:dyDescent="0.25">
      <c r="A134" t="s">
        <v>30</v>
      </c>
      <c r="B134" s="1" t="s">
        <v>16</v>
      </c>
      <c r="C134">
        <v>-2.3346178337878709</v>
      </c>
    </row>
    <row r="135" spans="1:3" x14ac:dyDescent="0.25">
      <c r="A135" t="s">
        <v>30</v>
      </c>
      <c r="B135" s="1" t="s">
        <v>17</v>
      </c>
      <c r="C135">
        <v>-3.4123890431324986</v>
      </c>
    </row>
    <row r="136" spans="1:3" x14ac:dyDescent="0.25">
      <c r="A136" t="s">
        <v>30</v>
      </c>
      <c r="B136" s="1" t="s">
        <v>18</v>
      </c>
      <c r="C136">
        <v>-0.28224700029797933</v>
      </c>
    </row>
    <row r="137" spans="1:3" x14ac:dyDescent="0.25">
      <c r="A137" t="s">
        <v>30</v>
      </c>
      <c r="B137" s="1" t="s">
        <v>19</v>
      </c>
      <c r="C137">
        <v>2.1699490222744848</v>
      </c>
    </row>
    <row r="138" spans="1:3" x14ac:dyDescent="0.25">
      <c r="A138" t="s">
        <v>30</v>
      </c>
      <c r="B138" s="1" t="s">
        <v>20</v>
      </c>
      <c r="C138">
        <v>-1.6700887190672378</v>
      </c>
    </row>
    <row r="139" spans="1:3" x14ac:dyDescent="0.25">
      <c r="A139" t="s">
        <v>30</v>
      </c>
      <c r="B139" s="1" t="s">
        <v>21</v>
      </c>
      <c r="C139">
        <v>8.2020743547328383</v>
      </c>
    </row>
    <row r="140" spans="1:3" x14ac:dyDescent="0.25">
      <c r="A140" t="s">
        <v>30</v>
      </c>
      <c r="B140" s="1" t="s">
        <v>22</v>
      </c>
      <c r="C140">
        <v>4.5651417281885438</v>
      </c>
    </row>
    <row r="141" spans="1:3" x14ac:dyDescent="0.25">
      <c r="A141" t="s">
        <v>30</v>
      </c>
      <c r="B141" s="1" t="s">
        <v>23</v>
      </c>
      <c r="C141">
        <v>-4.9109811480186787</v>
      </c>
    </row>
    <row r="142" spans="1:3" x14ac:dyDescent="0.25">
      <c r="A142" t="s">
        <v>31</v>
      </c>
      <c r="B142" s="1" t="s">
        <v>4</v>
      </c>
      <c r="C142">
        <v>0.44660880556829263</v>
      </c>
    </row>
    <row r="143" spans="1:3" x14ac:dyDescent="0.25">
      <c r="A143" t="s">
        <v>31</v>
      </c>
      <c r="B143" s="1" t="s">
        <v>5</v>
      </c>
      <c r="C143">
        <v>4.6902575864315059</v>
      </c>
    </row>
    <row r="144" spans="1:3" x14ac:dyDescent="0.25">
      <c r="A144" t="s">
        <v>31</v>
      </c>
      <c r="B144" s="1" t="s">
        <v>6</v>
      </c>
      <c r="C144">
        <v>-0.88999794178883906</v>
      </c>
    </row>
    <row r="145" spans="1:3" x14ac:dyDescent="0.25">
      <c r="A145" t="s">
        <v>31</v>
      </c>
      <c r="B145" s="1" t="s">
        <v>7</v>
      </c>
      <c r="C145">
        <v>2.7137939457582716</v>
      </c>
    </row>
    <row r="146" spans="1:3" x14ac:dyDescent="0.25">
      <c r="A146" t="s">
        <v>31</v>
      </c>
      <c r="B146" s="1" t="s">
        <v>8</v>
      </c>
      <c r="C146">
        <v>0.60745482230633041</v>
      </c>
    </row>
    <row r="147" spans="1:3" x14ac:dyDescent="0.25">
      <c r="A147" t="s">
        <v>31</v>
      </c>
      <c r="B147" s="1" t="s">
        <v>9</v>
      </c>
      <c r="C147">
        <v>-0.70826650565016203</v>
      </c>
    </row>
    <row r="148" spans="1:3" x14ac:dyDescent="0.25">
      <c r="A148" t="s">
        <v>31</v>
      </c>
      <c r="B148" s="1" t="s">
        <v>10</v>
      </c>
      <c r="C148">
        <v>-0.4107602530021302</v>
      </c>
    </row>
    <row r="149" spans="1:3" x14ac:dyDescent="0.25">
      <c r="A149" t="s">
        <v>31</v>
      </c>
      <c r="B149" s="1" t="s">
        <v>11</v>
      </c>
      <c r="C149">
        <v>-2.2531279372896598</v>
      </c>
    </row>
    <row r="150" spans="1:3" x14ac:dyDescent="0.25">
      <c r="A150" t="s">
        <v>31</v>
      </c>
      <c r="B150" s="1" t="s">
        <v>12</v>
      </c>
      <c r="C150">
        <v>-0.59349158175415073</v>
      </c>
    </row>
    <row r="151" spans="1:3" x14ac:dyDescent="0.25">
      <c r="A151" t="s">
        <v>31</v>
      </c>
      <c r="B151" s="1" t="s">
        <v>13</v>
      </c>
      <c r="C151">
        <v>-7.5900004377948429</v>
      </c>
    </row>
    <row r="152" spans="1:3" x14ac:dyDescent="0.25">
      <c r="A152" t="s">
        <v>31</v>
      </c>
      <c r="B152" s="1" t="s">
        <v>14</v>
      </c>
      <c r="C152">
        <v>-4.0537305533401629</v>
      </c>
    </row>
    <row r="153" spans="1:3" x14ac:dyDescent="0.25">
      <c r="A153" t="s">
        <v>31</v>
      </c>
      <c r="B153" s="1" t="s">
        <v>15</v>
      </c>
      <c r="C153">
        <v>-2.7296941293707291</v>
      </c>
    </row>
    <row r="154" spans="1:3" x14ac:dyDescent="0.25">
      <c r="A154" t="s">
        <v>31</v>
      </c>
      <c r="B154" s="1" t="s">
        <v>16</v>
      </c>
      <c r="C154">
        <v>-0.98487592526406187</v>
      </c>
    </row>
    <row r="155" spans="1:3" x14ac:dyDescent="0.25">
      <c r="A155" t="s">
        <v>31</v>
      </c>
      <c r="B155" s="1" t="s">
        <v>17</v>
      </c>
      <c r="C155">
        <v>-1.4024743224602554</v>
      </c>
    </row>
    <row r="156" spans="1:3" x14ac:dyDescent="0.25">
      <c r="A156" t="s">
        <v>31</v>
      </c>
      <c r="B156" s="1" t="s">
        <v>18</v>
      </c>
      <c r="C156">
        <v>-1.3008904132034742</v>
      </c>
    </row>
    <row r="157" spans="1:3" x14ac:dyDescent="0.25">
      <c r="A157" t="s">
        <v>31</v>
      </c>
      <c r="B157" s="1" t="s">
        <v>19</v>
      </c>
      <c r="C157">
        <v>1.6744991824189153</v>
      </c>
    </row>
    <row r="158" spans="1:3" x14ac:dyDescent="0.25">
      <c r="A158" t="s">
        <v>31</v>
      </c>
      <c r="B158" s="1" t="s">
        <v>20</v>
      </c>
      <c r="C158">
        <v>-1.4056682239173202</v>
      </c>
    </row>
    <row r="159" spans="1:3" x14ac:dyDescent="0.25">
      <c r="A159" t="s">
        <v>31</v>
      </c>
      <c r="B159" s="1" t="s">
        <v>21</v>
      </c>
      <c r="C159">
        <v>6.1146049610256537</v>
      </c>
    </row>
    <row r="160" spans="1:3" x14ac:dyDescent="0.25">
      <c r="A160" t="s">
        <v>31</v>
      </c>
      <c r="B160" s="1" t="s">
        <v>22</v>
      </c>
      <c r="C160">
        <v>-1.4559333128276659</v>
      </c>
    </row>
    <row r="161" spans="1:3" x14ac:dyDescent="0.25">
      <c r="A161" t="s">
        <v>31</v>
      </c>
      <c r="B161" s="1" t="s">
        <v>23</v>
      </c>
      <c r="C161">
        <v>4.8424544874906319</v>
      </c>
    </row>
    <row r="162" spans="1:3" x14ac:dyDescent="0.25">
      <c r="A162" t="s">
        <v>32</v>
      </c>
      <c r="B162" s="1" t="s">
        <v>4</v>
      </c>
      <c r="C162">
        <v>-3.1001345347829399</v>
      </c>
    </row>
    <row r="163" spans="1:3" x14ac:dyDescent="0.25">
      <c r="A163" t="s">
        <v>32</v>
      </c>
      <c r="B163" s="1" t="s">
        <v>5</v>
      </c>
      <c r="C163">
        <v>3.9732854488152864</v>
      </c>
    </row>
    <row r="164" spans="1:3" x14ac:dyDescent="0.25">
      <c r="A164" t="s">
        <v>32</v>
      </c>
      <c r="B164" s="1" t="s">
        <v>6</v>
      </c>
      <c r="C164">
        <v>-1.5270039581941495</v>
      </c>
    </row>
    <row r="165" spans="1:3" x14ac:dyDescent="0.25">
      <c r="A165" t="s">
        <v>32</v>
      </c>
      <c r="B165" s="1" t="s">
        <v>7</v>
      </c>
      <c r="C165">
        <v>3.127902918798215</v>
      </c>
    </row>
    <row r="166" spans="1:3" x14ac:dyDescent="0.25">
      <c r="A166" t="s">
        <v>32</v>
      </c>
      <c r="B166" s="1" t="s">
        <v>8</v>
      </c>
      <c r="C166">
        <v>-0.31031378763268697</v>
      </c>
    </row>
    <row r="167" spans="1:3" x14ac:dyDescent="0.25">
      <c r="A167" t="s">
        <v>32</v>
      </c>
      <c r="B167" s="1" t="s">
        <v>9</v>
      </c>
      <c r="C167">
        <v>1.2436759489243043</v>
      </c>
    </row>
    <row r="168" spans="1:3" x14ac:dyDescent="0.25">
      <c r="A168" t="s">
        <v>32</v>
      </c>
      <c r="B168" s="1" t="s">
        <v>10</v>
      </c>
      <c r="C168">
        <v>0.37323535647143652</v>
      </c>
    </row>
    <row r="169" spans="1:3" x14ac:dyDescent="0.25">
      <c r="A169" t="s">
        <v>32</v>
      </c>
      <c r="B169" s="1" t="s">
        <v>11</v>
      </c>
      <c r="C169">
        <v>1.3236593830924994</v>
      </c>
    </row>
    <row r="170" spans="1:3" x14ac:dyDescent="0.25">
      <c r="A170" t="s">
        <v>32</v>
      </c>
      <c r="B170" s="1" t="s">
        <v>12</v>
      </c>
      <c r="C170">
        <v>-7.1151850263592109E-2</v>
      </c>
    </row>
    <row r="171" spans="1:3" x14ac:dyDescent="0.25">
      <c r="A171" t="s">
        <v>32</v>
      </c>
      <c r="B171" s="1" t="s">
        <v>13</v>
      </c>
      <c r="C171">
        <v>-4.3269070567166921</v>
      </c>
    </row>
    <row r="172" spans="1:3" x14ac:dyDescent="0.25">
      <c r="A172" t="s">
        <v>32</v>
      </c>
      <c r="B172" s="1" t="s">
        <v>14</v>
      </c>
      <c r="C172">
        <v>-2.8544135552323882</v>
      </c>
    </row>
    <row r="173" spans="1:3" x14ac:dyDescent="0.25">
      <c r="A173" t="s">
        <v>32</v>
      </c>
      <c r="B173" s="1" t="s">
        <v>15</v>
      </c>
      <c r="C173">
        <v>-3.3051685482179396</v>
      </c>
    </row>
    <row r="174" spans="1:3" x14ac:dyDescent="0.25">
      <c r="A174" t="s">
        <v>32</v>
      </c>
      <c r="B174" s="1" t="s">
        <v>16</v>
      </c>
      <c r="C174">
        <v>-0.91967418034647341</v>
      </c>
    </row>
    <row r="175" spans="1:3" x14ac:dyDescent="0.25">
      <c r="A175" t="s">
        <v>32</v>
      </c>
      <c r="B175" s="1" t="s">
        <v>17</v>
      </c>
      <c r="C175">
        <v>-9.6362870738663925E-2</v>
      </c>
    </row>
    <row r="176" spans="1:3" x14ac:dyDescent="0.25">
      <c r="A176" t="s">
        <v>32</v>
      </c>
      <c r="B176" s="1" t="s">
        <v>18</v>
      </c>
      <c r="C176">
        <v>2.1097681643587216</v>
      </c>
    </row>
    <row r="177" spans="1:3" x14ac:dyDescent="0.25">
      <c r="A177" t="s">
        <v>32</v>
      </c>
      <c r="B177" s="1" t="s">
        <v>19</v>
      </c>
      <c r="C177">
        <v>2.4604321425158253</v>
      </c>
    </row>
    <row r="178" spans="1:3" x14ac:dyDescent="0.25">
      <c r="A178" t="s">
        <v>32</v>
      </c>
      <c r="B178" s="1" t="s">
        <v>20</v>
      </c>
      <c r="C178">
        <v>0.11346979339635231</v>
      </c>
    </row>
    <row r="179" spans="1:3" x14ac:dyDescent="0.25">
      <c r="A179" t="s">
        <v>32</v>
      </c>
      <c r="B179" s="1" t="s">
        <v>21</v>
      </c>
      <c r="C179">
        <v>3.6214275830550959</v>
      </c>
    </row>
    <row r="180" spans="1:3" x14ac:dyDescent="0.25">
      <c r="A180" t="s">
        <v>32</v>
      </c>
      <c r="B180" s="1" t="s">
        <v>22</v>
      </c>
      <c r="C180">
        <v>2.6341111587421726</v>
      </c>
    </row>
    <row r="181" spans="1:3" x14ac:dyDescent="0.25">
      <c r="A181" t="s">
        <v>32</v>
      </c>
      <c r="B181" s="1" t="s">
        <v>23</v>
      </c>
      <c r="C181">
        <v>0.93277854560658358</v>
      </c>
    </row>
    <row r="182" spans="1:3" x14ac:dyDescent="0.25">
      <c r="A182" t="s">
        <v>33</v>
      </c>
      <c r="B182" s="1" t="s">
        <v>4</v>
      </c>
      <c r="C182">
        <v>0.43325667842260723</v>
      </c>
    </row>
    <row r="183" spans="1:3" x14ac:dyDescent="0.25">
      <c r="A183" t="s">
        <v>33</v>
      </c>
      <c r="B183" s="1" t="s">
        <v>5</v>
      </c>
      <c r="C183">
        <v>1.2438923081945292</v>
      </c>
    </row>
    <row r="184" spans="1:3" x14ac:dyDescent="0.25">
      <c r="A184" t="s">
        <v>33</v>
      </c>
      <c r="B184" s="1" t="s">
        <v>6</v>
      </c>
      <c r="C184">
        <v>3.2342752037491498</v>
      </c>
    </row>
    <row r="185" spans="1:3" x14ac:dyDescent="0.25">
      <c r="A185" t="s">
        <v>33</v>
      </c>
      <c r="B185" s="1" t="s">
        <v>7</v>
      </c>
      <c r="C185">
        <v>1.0452153174517624</v>
      </c>
    </row>
    <row r="186" spans="1:3" x14ac:dyDescent="0.25">
      <c r="A186" t="s">
        <v>33</v>
      </c>
      <c r="B186" s="1" t="s">
        <v>8</v>
      </c>
      <c r="C186">
        <v>0.55900973703535817</v>
      </c>
    </row>
    <row r="187" spans="1:3" x14ac:dyDescent="0.25">
      <c r="A187" t="s">
        <v>33</v>
      </c>
      <c r="B187" s="1" t="s">
        <v>9</v>
      </c>
      <c r="C187">
        <v>3.1716702916054822</v>
      </c>
    </row>
    <row r="188" spans="1:3" x14ac:dyDescent="0.25">
      <c r="A188" t="s">
        <v>33</v>
      </c>
      <c r="B188" s="1" t="s">
        <v>10</v>
      </c>
      <c r="C188">
        <v>4.7278800582714897</v>
      </c>
    </row>
    <row r="189" spans="1:3" x14ac:dyDescent="0.25">
      <c r="A189" t="s">
        <v>33</v>
      </c>
      <c r="B189" s="1" t="s">
        <v>11</v>
      </c>
      <c r="C189">
        <v>4.114326687136273E-2</v>
      </c>
    </row>
    <row r="190" spans="1:3" x14ac:dyDescent="0.25">
      <c r="A190" t="s">
        <v>33</v>
      </c>
      <c r="B190" s="1" t="s">
        <v>12</v>
      </c>
      <c r="C190">
        <v>0.99200564629745058</v>
      </c>
    </row>
    <row r="191" spans="1:3" x14ac:dyDescent="0.25">
      <c r="A191" t="s">
        <v>33</v>
      </c>
      <c r="B191" s="1" t="s">
        <v>13</v>
      </c>
      <c r="C191">
        <v>3.8197478679392383</v>
      </c>
    </row>
    <row r="192" spans="1:3" x14ac:dyDescent="0.25">
      <c r="A192" t="s">
        <v>33</v>
      </c>
      <c r="B192" s="1" t="s">
        <v>14</v>
      </c>
      <c r="C192">
        <v>3.6605925722063213</v>
      </c>
    </row>
    <row r="193" spans="1:3" x14ac:dyDescent="0.25">
      <c r="A193" t="s">
        <v>33</v>
      </c>
      <c r="B193" s="1" t="s">
        <v>15</v>
      </c>
      <c r="C193">
        <v>0.5633678944591668</v>
      </c>
    </row>
    <row r="194" spans="1:3" x14ac:dyDescent="0.25">
      <c r="A194" t="s">
        <v>33</v>
      </c>
      <c r="B194" s="1" t="s">
        <v>16</v>
      </c>
      <c r="C194">
        <v>1.9289609668861021</v>
      </c>
    </row>
    <row r="195" spans="1:3" x14ac:dyDescent="0.25">
      <c r="A195" t="s">
        <v>33</v>
      </c>
      <c r="B195" s="1" t="s">
        <v>17</v>
      </c>
      <c r="C195">
        <v>0.48143351500719589</v>
      </c>
    </row>
    <row r="196" spans="1:3" x14ac:dyDescent="0.25">
      <c r="A196" t="s">
        <v>33</v>
      </c>
      <c r="B196" s="1" t="s">
        <v>18</v>
      </c>
      <c r="C196">
        <v>3.8174828880180276</v>
      </c>
    </row>
    <row r="197" spans="1:3" x14ac:dyDescent="0.25">
      <c r="A197" t="s">
        <v>33</v>
      </c>
      <c r="B197" s="1" t="s">
        <v>19</v>
      </c>
      <c r="C197">
        <v>0.74755329391851055</v>
      </c>
    </row>
    <row r="198" spans="1:3" x14ac:dyDescent="0.25">
      <c r="A198" t="s">
        <v>33</v>
      </c>
      <c r="B198" s="1" t="s">
        <v>20</v>
      </c>
      <c r="C198">
        <v>2.9474960958942744</v>
      </c>
    </row>
    <row r="199" spans="1:3" x14ac:dyDescent="0.25">
      <c r="A199" t="s">
        <v>33</v>
      </c>
      <c r="B199" s="1" t="s">
        <v>21</v>
      </c>
      <c r="C199">
        <v>4.8493432899067006</v>
      </c>
    </row>
    <row r="200" spans="1:3" x14ac:dyDescent="0.25">
      <c r="A200" t="s">
        <v>33</v>
      </c>
      <c r="B200" s="1" t="s">
        <v>22</v>
      </c>
      <c r="C200">
        <v>2.6666008807770298</v>
      </c>
    </row>
    <row r="201" spans="1:3" x14ac:dyDescent="0.25">
      <c r="A201" t="s">
        <v>33</v>
      </c>
      <c r="B201" s="1" t="s">
        <v>23</v>
      </c>
      <c r="C201">
        <v>2.1035293770606374</v>
      </c>
    </row>
    <row r="202" spans="1:3" x14ac:dyDescent="0.25">
      <c r="A202" t="s">
        <v>34</v>
      </c>
      <c r="B202" s="1" t="s">
        <v>4</v>
      </c>
      <c r="C202">
        <v>4.1556316746034314</v>
      </c>
    </row>
    <row r="203" spans="1:3" x14ac:dyDescent="0.25">
      <c r="A203" t="s">
        <v>34</v>
      </c>
      <c r="B203" s="1" t="s">
        <v>5</v>
      </c>
      <c r="C203">
        <v>5.5745531885633337</v>
      </c>
    </row>
    <row r="204" spans="1:3" x14ac:dyDescent="0.25">
      <c r="A204" t="s">
        <v>34</v>
      </c>
      <c r="B204" s="1" t="s">
        <v>6</v>
      </c>
      <c r="C204">
        <v>2.5652913827905763</v>
      </c>
    </row>
    <row r="205" spans="1:3" x14ac:dyDescent="0.25">
      <c r="A205" t="s">
        <v>34</v>
      </c>
      <c r="B205" s="1" t="s">
        <v>7</v>
      </c>
      <c r="C205">
        <v>-1.7699690631196192</v>
      </c>
    </row>
    <row r="206" spans="1:3" x14ac:dyDescent="0.25">
      <c r="A206" t="s">
        <v>34</v>
      </c>
      <c r="B206" s="1" t="s">
        <v>8</v>
      </c>
      <c r="C206">
        <v>-0.28220876599092443</v>
      </c>
    </row>
    <row r="207" spans="1:3" x14ac:dyDescent="0.25">
      <c r="A207" t="s">
        <v>34</v>
      </c>
      <c r="B207" s="1" t="s">
        <v>9</v>
      </c>
      <c r="C207">
        <v>1.5009813829147767</v>
      </c>
    </row>
    <row r="208" spans="1:3" x14ac:dyDescent="0.25">
      <c r="A208" t="s">
        <v>34</v>
      </c>
      <c r="B208" s="1" t="s">
        <v>10</v>
      </c>
      <c r="C208">
        <v>0.60486084164775089</v>
      </c>
    </row>
    <row r="209" spans="1:3" x14ac:dyDescent="0.25">
      <c r="A209" t="s">
        <v>34</v>
      </c>
      <c r="B209" s="1" t="s">
        <v>11</v>
      </c>
      <c r="C209">
        <v>-0.75439287191452076</v>
      </c>
    </row>
    <row r="210" spans="1:3" x14ac:dyDescent="0.25">
      <c r="A210" t="s">
        <v>34</v>
      </c>
      <c r="B210" s="1" t="s">
        <v>12</v>
      </c>
      <c r="C210">
        <v>4.0718155329797714</v>
      </c>
    </row>
    <row r="211" spans="1:3" x14ac:dyDescent="0.25">
      <c r="A211" t="s">
        <v>34</v>
      </c>
      <c r="B211" s="1" t="s">
        <v>13</v>
      </c>
      <c r="C211">
        <v>-5.1230397782566683</v>
      </c>
    </row>
    <row r="212" spans="1:3" x14ac:dyDescent="0.25">
      <c r="A212" t="s">
        <v>34</v>
      </c>
      <c r="B212" s="1" t="s">
        <v>14</v>
      </c>
      <c r="C212">
        <v>1.2125521921425391</v>
      </c>
    </row>
    <row r="213" spans="1:3" x14ac:dyDescent="0.25">
      <c r="A213" t="s">
        <v>34</v>
      </c>
      <c r="B213" s="1" t="s">
        <v>15</v>
      </c>
      <c r="C213">
        <v>-3.3968074174991689</v>
      </c>
    </row>
    <row r="214" spans="1:3" x14ac:dyDescent="0.25">
      <c r="A214" t="s">
        <v>34</v>
      </c>
      <c r="B214" s="1" t="s">
        <v>16</v>
      </c>
      <c r="C214">
        <v>1.9664027196960275E-2</v>
      </c>
    </row>
    <row r="215" spans="1:3" x14ac:dyDescent="0.25">
      <c r="A215" t="s">
        <v>34</v>
      </c>
      <c r="B215" s="1" t="s">
        <v>17</v>
      </c>
      <c r="C215">
        <v>0.52819805209130133</v>
      </c>
    </row>
    <row r="216" spans="1:3" x14ac:dyDescent="0.25">
      <c r="A216" t="s">
        <v>34</v>
      </c>
      <c r="B216" s="1" t="s">
        <v>18</v>
      </c>
      <c r="C216">
        <v>1.6167417090169323</v>
      </c>
    </row>
    <row r="217" spans="1:3" x14ac:dyDescent="0.25">
      <c r="A217" t="s">
        <v>34</v>
      </c>
      <c r="B217" s="1" t="s">
        <v>19</v>
      </c>
      <c r="C217">
        <v>2.957156779354984</v>
      </c>
    </row>
    <row r="218" spans="1:3" x14ac:dyDescent="0.25">
      <c r="A218" t="s">
        <v>34</v>
      </c>
      <c r="B218" s="1" t="s">
        <v>20</v>
      </c>
      <c r="C218">
        <v>2.0707093817826183</v>
      </c>
    </row>
    <row r="219" spans="1:3" x14ac:dyDescent="0.25">
      <c r="A219" t="s">
        <v>34</v>
      </c>
      <c r="B219" s="1" t="s">
        <v>21</v>
      </c>
      <c r="C219">
        <v>3.1063679637938724</v>
      </c>
    </row>
    <row r="220" spans="1:3" x14ac:dyDescent="0.25">
      <c r="A220" t="s">
        <v>34</v>
      </c>
      <c r="B220" s="1" t="s">
        <v>22</v>
      </c>
      <c r="C220">
        <v>3.4293567057784502</v>
      </c>
    </row>
    <row r="221" spans="1:3" x14ac:dyDescent="0.25">
      <c r="A221" t="s">
        <v>34</v>
      </c>
      <c r="B221" s="1" t="s">
        <v>23</v>
      </c>
      <c r="C221">
        <v>4.5719225665528862</v>
      </c>
    </row>
    <row r="222" spans="1:3" x14ac:dyDescent="0.25">
      <c r="A222" t="s">
        <v>35</v>
      </c>
      <c r="B222" s="1" t="s">
        <v>4</v>
      </c>
      <c r="C222">
        <v>3.0107541126946225</v>
      </c>
    </row>
    <row r="223" spans="1:3" x14ac:dyDescent="0.25">
      <c r="A223" t="s">
        <v>35</v>
      </c>
      <c r="B223" s="1" t="s">
        <v>5</v>
      </c>
      <c r="C223">
        <v>1.8061994019275416</v>
      </c>
    </row>
    <row r="224" spans="1:3" x14ac:dyDescent="0.25">
      <c r="A224" t="s">
        <v>35</v>
      </c>
      <c r="B224" s="1" t="s">
        <v>6</v>
      </c>
      <c r="C224">
        <v>-0.43085860536055148</v>
      </c>
    </row>
    <row r="225" spans="1:3" x14ac:dyDescent="0.25">
      <c r="A225" t="s">
        <v>35</v>
      </c>
      <c r="B225" s="1" t="s">
        <v>7</v>
      </c>
      <c r="C225">
        <v>0.79130967651077722</v>
      </c>
    </row>
    <row r="226" spans="1:3" x14ac:dyDescent="0.25">
      <c r="A226" t="s">
        <v>35</v>
      </c>
      <c r="B226" s="1" t="s">
        <v>8</v>
      </c>
      <c r="C226">
        <v>-0.99812358807555324</v>
      </c>
    </row>
    <row r="227" spans="1:3" x14ac:dyDescent="0.25">
      <c r="A227" t="s">
        <v>35</v>
      </c>
      <c r="B227" s="1" t="s">
        <v>9</v>
      </c>
      <c r="C227">
        <v>-0.61939390137843697</v>
      </c>
    </row>
    <row r="228" spans="1:3" x14ac:dyDescent="0.25">
      <c r="A228" t="s">
        <v>35</v>
      </c>
      <c r="B228" s="1" t="s">
        <v>10</v>
      </c>
      <c r="C228">
        <v>5.0436495506466352</v>
      </c>
    </row>
    <row r="229" spans="1:3" x14ac:dyDescent="0.25">
      <c r="A229" t="s">
        <v>35</v>
      </c>
      <c r="B229" s="1" t="s">
        <v>11</v>
      </c>
      <c r="C229">
        <v>4.8599214862838496</v>
      </c>
    </row>
    <row r="230" spans="1:3" x14ac:dyDescent="0.25">
      <c r="A230" t="s">
        <v>35</v>
      </c>
      <c r="B230" s="1" t="s">
        <v>12</v>
      </c>
      <c r="C230">
        <v>1.0209486213447738</v>
      </c>
    </row>
    <row r="231" spans="1:3" x14ac:dyDescent="0.25">
      <c r="A231" t="s">
        <v>35</v>
      </c>
      <c r="B231" s="1" t="s">
        <v>13</v>
      </c>
      <c r="C231">
        <v>-5.7926864906557052</v>
      </c>
    </row>
    <row r="232" spans="1:3" x14ac:dyDescent="0.25">
      <c r="A232" t="s">
        <v>35</v>
      </c>
      <c r="B232" s="1" t="s">
        <v>14</v>
      </c>
      <c r="C232">
        <v>-5.1226389495168769</v>
      </c>
    </row>
    <row r="233" spans="1:3" x14ac:dyDescent="0.25">
      <c r="A233" t="s">
        <v>35</v>
      </c>
      <c r="B233" s="1" t="s">
        <v>15</v>
      </c>
      <c r="C233">
        <v>-1.8911940093072874</v>
      </c>
    </row>
    <row r="234" spans="1:3" x14ac:dyDescent="0.25">
      <c r="A234" t="s">
        <v>35</v>
      </c>
      <c r="B234" s="1" t="s">
        <v>16</v>
      </c>
      <c r="C234">
        <v>-2.6835349209620176</v>
      </c>
    </row>
    <row r="235" spans="1:3" x14ac:dyDescent="0.25">
      <c r="A235" t="s">
        <v>35</v>
      </c>
      <c r="B235" s="1" t="s">
        <v>17</v>
      </c>
      <c r="C235">
        <v>-1.9705880371590441</v>
      </c>
    </row>
    <row r="236" spans="1:3" x14ac:dyDescent="0.25">
      <c r="A236" t="s">
        <v>35</v>
      </c>
      <c r="B236" s="1" t="s">
        <v>18</v>
      </c>
      <c r="C236">
        <v>-2.2967178814779587</v>
      </c>
    </row>
    <row r="237" spans="1:3" x14ac:dyDescent="0.25">
      <c r="A237" t="s">
        <v>35</v>
      </c>
      <c r="B237" s="1" t="s">
        <v>19</v>
      </c>
      <c r="C237">
        <v>-6.9047445999901536</v>
      </c>
    </row>
    <row r="238" spans="1:3" x14ac:dyDescent="0.25">
      <c r="A238" t="s">
        <v>35</v>
      </c>
      <c r="B238" s="1" t="s">
        <v>20</v>
      </c>
      <c r="C238">
        <v>2.9020611650553896</v>
      </c>
    </row>
    <row r="239" spans="1:3" x14ac:dyDescent="0.25">
      <c r="A239" t="s">
        <v>35</v>
      </c>
      <c r="B239" s="1" t="s">
        <v>21</v>
      </c>
      <c r="C239">
        <v>-0.70269246338348668</v>
      </c>
    </row>
    <row r="240" spans="1:3" x14ac:dyDescent="0.25">
      <c r="A240" t="s">
        <v>35</v>
      </c>
      <c r="B240" s="1" t="s">
        <v>22</v>
      </c>
      <c r="C240">
        <v>-1.9399667659612854</v>
      </c>
    </row>
    <row r="241" spans="1:3" x14ac:dyDescent="0.25">
      <c r="A241" t="s">
        <v>35</v>
      </c>
      <c r="B241" s="1" t="s">
        <v>23</v>
      </c>
      <c r="C241">
        <v>-3.3416730005911663</v>
      </c>
    </row>
    <row r="242" spans="1:3" x14ac:dyDescent="0.25">
      <c r="A242" t="s">
        <v>36</v>
      </c>
      <c r="B242" s="1" t="s">
        <v>4</v>
      </c>
      <c r="C242">
        <v>-1.0924906720839085</v>
      </c>
    </row>
    <row r="243" spans="1:3" x14ac:dyDescent="0.25">
      <c r="A243" t="s">
        <v>36</v>
      </c>
      <c r="B243" s="1" t="s">
        <v>5</v>
      </c>
      <c r="C243">
        <v>2.2631696971478052</v>
      </c>
    </row>
    <row r="244" spans="1:3" x14ac:dyDescent="0.25">
      <c r="A244" t="s">
        <v>36</v>
      </c>
      <c r="B244" s="1" t="s">
        <v>6</v>
      </c>
      <c r="C244">
        <v>2.973366837800651</v>
      </c>
    </row>
    <row r="245" spans="1:3" x14ac:dyDescent="0.25">
      <c r="A245" t="s">
        <v>36</v>
      </c>
      <c r="B245" s="1" t="s">
        <v>7</v>
      </c>
      <c r="C245">
        <v>2.4791539543726797</v>
      </c>
    </row>
    <row r="246" spans="1:3" x14ac:dyDescent="0.25">
      <c r="A246" t="s">
        <v>36</v>
      </c>
      <c r="B246" s="1" t="s">
        <v>8</v>
      </c>
      <c r="C246">
        <v>-0.59354614019310104</v>
      </c>
    </row>
    <row r="247" spans="1:3" x14ac:dyDescent="0.25">
      <c r="A247" t="s">
        <v>36</v>
      </c>
      <c r="B247" s="1" t="s">
        <v>9</v>
      </c>
      <c r="C247">
        <v>3.1961887761999748</v>
      </c>
    </row>
    <row r="248" spans="1:3" x14ac:dyDescent="0.25">
      <c r="A248" t="s">
        <v>36</v>
      </c>
      <c r="B248" s="1" t="s">
        <v>10</v>
      </c>
      <c r="C248">
        <v>8.5096442579318019</v>
      </c>
    </row>
    <row r="249" spans="1:3" x14ac:dyDescent="0.25">
      <c r="A249" t="s">
        <v>36</v>
      </c>
      <c r="B249" s="1" t="s">
        <v>11</v>
      </c>
      <c r="C249">
        <v>1.6557118774381825</v>
      </c>
    </row>
    <row r="250" spans="1:3" x14ac:dyDescent="0.25">
      <c r="A250" t="s">
        <v>36</v>
      </c>
      <c r="B250" s="1" t="s">
        <v>12</v>
      </c>
      <c r="C250">
        <v>0.16343478748341037</v>
      </c>
    </row>
    <row r="251" spans="1:3" x14ac:dyDescent="0.25">
      <c r="A251" t="s">
        <v>36</v>
      </c>
      <c r="B251" s="1" t="s">
        <v>13</v>
      </c>
      <c r="C251">
        <v>1.994576022307547</v>
      </c>
    </row>
    <row r="252" spans="1:3" x14ac:dyDescent="0.25">
      <c r="A252" t="s">
        <v>36</v>
      </c>
      <c r="B252" s="1" t="s">
        <v>14</v>
      </c>
      <c r="C252">
        <v>3.0635638824408553</v>
      </c>
    </row>
    <row r="253" spans="1:3" x14ac:dyDescent="0.25">
      <c r="A253" t="s">
        <v>36</v>
      </c>
      <c r="B253" s="1" t="s">
        <v>15</v>
      </c>
      <c r="C253">
        <v>2.7221053343733463</v>
      </c>
    </row>
    <row r="254" spans="1:3" x14ac:dyDescent="0.25">
      <c r="A254" t="s">
        <v>36</v>
      </c>
      <c r="B254" s="1" t="s">
        <v>16</v>
      </c>
      <c r="C254">
        <v>0.60345799785857379</v>
      </c>
    </row>
    <row r="255" spans="1:3" x14ac:dyDescent="0.25">
      <c r="A255" t="s">
        <v>36</v>
      </c>
      <c r="B255" s="1" t="s">
        <v>17</v>
      </c>
      <c r="C255">
        <v>2.0750071559366359</v>
      </c>
    </row>
    <row r="256" spans="1:3" x14ac:dyDescent="0.25">
      <c r="A256" t="s">
        <v>36</v>
      </c>
      <c r="B256" s="1" t="s">
        <v>18</v>
      </c>
      <c r="C256">
        <v>1.029598135155408</v>
      </c>
    </row>
    <row r="257" spans="1:3" x14ac:dyDescent="0.25">
      <c r="A257" t="s">
        <v>36</v>
      </c>
      <c r="B257" s="1" t="s">
        <v>19</v>
      </c>
      <c r="C257">
        <v>-0.66462903514314875</v>
      </c>
    </row>
    <row r="258" spans="1:3" x14ac:dyDescent="0.25">
      <c r="A258" t="s">
        <v>36</v>
      </c>
      <c r="B258" s="1" t="s">
        <v>20</v>
      </c>
      <c r="C258">
        <v>-1.0358282292455929</v>
      </c>
    </row>
    <row r="259" spans="1:3" x14ac:dyDescent="0.25">
      <c r="A259" t="s">
        <v>36</v>
      </c>
      <c r="B259" s="1" t="s">
        <v>21</v>
      </c>
      <c r="C259">
        <v>2.9159178794814928</v>
      </c>
    </row>
    <row r="260" spans="1:3" x14ac:dyDescent="0.25">
      <c r="A260" t="s">
        <v>36</v>
      </c>
      <c r="B260" s="1" t="s">
        <v>22</v>
      </c>
      <c r="C260">
        <v>5.5930406849715615</v>
      </c>
    </row>
    <row r="261" spans="1:3" x14ac:dyDescent="0.25">
      <c r="A261" t="s">
        <v>36</v>
      </c>
      <c r="B261" s="1" t="s">
        <v>23</v>
      </c>
      <c r="C261">
        <v>0.48079625178638202</v>
      </c>
    </row>
    <row r="262" spans="1:3" x14ac:dyDescent="0.25">
      <c r="A262" t="s">
        <v>37</v>
      </c>
      <c r="B262" s="1" t="s">
        <v>4</v>
      </c>
      <c r="C262">
        <v>-8.5738967620438373</v>
      </c>
    </row>
    <row r="263" spans="1:3" x14ac:dyDescent="0.25">
      <c r="A263" t="s">
        <v>37</v>
      </c>
      <c r="B263" s="1" t="s">
        <v>5</v>
      </c>
      <c r="C263">
        <v>-2.7132003356417482</v>
      </c>
    </row>
    <row r="264" spans="1:3" x14ac:dyDescent="0.25">
      <c r="A264" t="s">
        <v>37</v>
      </c>
      <c r="B264" s="1" t="s">
        <v>6</v>
      </c>
      <c r="C264">
        <v>-2.45233265866456</v>
      </c>
    </row>
    <row r="265" spans="1:3" x14ac:dyDescent="0.25">
      <c r="A265" t="s">
        <v>37</v>
      </c>
      <c r="B265" s="1" t="s">
        <v>7</v>
      </c>
      <c r="C265">
        <v>-7.7856482876921485</v>
      </c>
    </row>
    <row r="266" spans="1:3" x14ac:dyDescent="0.25">
      <c r="A266" t="s">
        <v>37</v>
      </c>
      <c r="B266" s="1" t="s">
        <v>8</v>
      </c>
      <c r="C266">
        <v>-5.5140451909486181</v>
      </c>
    </row>
    <row r="267" spans="1:3" x14ac:dyDescent="0.25">
      <c r="A267" t="s">
        <v>37</v>
      </c>
      <c r="B267" s="1" t="s">
        <v>9</v>
      </c>
      <c r="C267">
        <v>20.867065579486468</v>
      </c>
    </row>
    <row r="268" spans="1:3" x14ac:dyDescent="0.25">
      <c r="A268" t="s">
        <v>37</v>
      </c>
      <c r="B268" s="1" t="s">
        <v>10</v>
      </c>
      <c r="C268">
        <v>1.5033855150641782</v>
      </c>
    </row>
    <row r="269" spans="1:3" x14ac:dyDescent="0.25">
      <c r="A269" t="s">
        <v>37</v>
      </c>
      <c r="B269" s="1" t="s">
        <v>11</v>
      </c>
      <c r="C269">
        <v>8.0391178634059788</v>
      </c>
    </row>
    <row r="270" spans="1:3" x14ac:dyDescent="0.25">
      <c r="A270" t="s">
        <v>37</v>
      </c>
      <c r="B270" s="1" t="s">
        <v>12</v>
      </c>
      <c r="C270">
        <v>1.2795369391140785</v>
      </c>
    </row>
    <row r="271" spans="1:3" x14ac:dyDescent="0.25">
      <c r="A271" t="s">
        <v>37</v>
      </c>
      <c r="B271" s="1" t="s">
        <v>13</v>
      </c>
      <c r="C271">
        <v>-7.6224365840525801</v>
      </c>
    </row>
    <row r="272" spans="1:3" x14ac:dyDescent="0.25">
      <c r="A272" t="s">
        <v>37</v>
      </c>
      <c r="B272" s="1" t="s">
        <v>14</v>
      </c>
      <c r="C272">
        <v>-3.6732071688143337</v>
      </c>
    </row>
    <row r="273" spans="1:3" x14ac:dyDescent="0.25">
      <c r="A273" t="s">
        <v>37</v>
      </c>
      <c r="B273" s="1" t="s">
        <v>15</v>
      </c>
      <c r="C273">
        <v>-5.8283264561576198</v>
      </c>
    </row>
    <row r="274" spans="1:3" x14ac:dyDescent="0.25">
      <c r="A274" t="s">
        <v>37</v>
      </c>
      <c r="B274" s="1" t="s">
        <v>16</v>
      </c>
      <c r="C274">
        <v>-4.9006952964549191</v>
      </c>
    </row>
    <row r="275" spans="1:3" x14ac:dyDescent="0.25">
      <c r="A275" t="s">
        <v>37</v>
      </c>
      <c r="B275" s="1" t="s">
        <v>17</v>
      </c>
      <c r="C275">
        <v>0.94841010575720652</v>
      </c>
    </row>
    <row r="276" spans="1:3" x14ac:dyDescent="0.25">
      <c r="A276" t="s">
        <v>37</v>
      </c>
      <c r="B276" s="1" t="s">
        <v>18</v>
      </c>
      <c r="C276">
        <v>-5.3156557704199692</v>
      </c>
    </row>
    <row r="277" spans="1:3" x14ac:dyDescent="0.25">
      <c r="A277" t="s">
        <v>37</v>
      </c>
      <c r="B277" s="1" t="s">
        <v>19</v>
      </c>
      <c r="C277">
        <v>-9.9667895769995702</v>
      </c>
    </row>
    <row r="278" spans="1:3" x14ac:dyDescent="0.25">
      <c r="A278" t="s">
        <v>37</v>
      </c>
      <c r="B278" s="1" t="s">
        <v>20</v>
      </c>
      <c r="C278">
        <v>3.4709225352401325</v>
      </c>
    </row>
    <row r="279" spans="1:3" x14ac:dyDescent="0.25">
      <c r="A279" t="s">
        <v>37</v>
      </c>
      <c r="B279" s="1" t="s">
        <v>21</v>
      </c>
      <c r="C279">
        <v>-2.9103898111597952</v>
      </c>
    </row>
    <row r="280" spans="1:3" x14ac:dyDescent="0.25">
      <c r="A280" t="s">
        <v>37</v>
      </c>
      <c r="B280" s="1" t="s">
        <v>22</v>
      </c>
      <c r="C280">
        <v>-3.4902678127623079</v>
      </c>
    </row>
    <row r="281" spans="1:3" x14ac:dyDescent="0.25">
      <c r="A281" t="s">
        <v>37</v>
      </c>
      <c r="B281" s="1" t="s">
        <v>23</v>
      </c>
      <c r="C281">
        <v>2.122501342555899</v>
      </c>
    </row>
    <row r="282" spans="1:3" x14ac:dyDescent="0.25">
      <c r="A282" t="s">
        <v>38</v>
      </c>
      <c r="B282" s="1" t="s">
        <v>4</v>
      </c>
      <c r="C282">
        <v>5.213333616899102</v>
      </c>
    </row>
    <row r="283" spans="1:3" x14ac:dyDescent="0.25">
      <c r="A283" t="s">
        <v>38</v>
      </c>
      <c r="B283" s="1" t="s">
        <v>5</v>
      </c>
      <c r="C283">
        <v>6.791779258684369</v>
      </c>
    </row>
    <row r="284" spans="1:3" x14ac:dyDescent="0.25">
      <c r="A284" t="s">
        <v>38</v>
      </c>
      <c r="B284" s="1" t="s">
        <v>6</v>
      </c>
      <c r="C284">
        <v>4.7286307822845899</v>
      </c>
    </row>
    <row r="285" spans="1:3" x14ac:dyDescent="0.25">
      <c r="A285" t="s">
        <v>38</v>
      </c>
      <c r="B285" s="1" t="s">
        <v>7</v>
      </c>
      <c r="C285">
        <v>1.7940202457871579</v>
      </c>
    </row>
    <row r="286" spans="1:3" x14ac:dyDescent="0.25">
      <c r="A286" t="s">
        <v>38</v>
      </c>
      <c r="B286" s="1" t="s">
        <v>8</v>
      </c>
      <c r="C286">
        <v>4.4515007436649112</v>
      </c>
    </row>
    <row r="287" spans="1:3" x14ac:dyDescent="0.25">
      <c r="A287" t="s">
        <v>38</v>
      </c>
      <c r="B287" s="1" t="s">
        <v>9</v>
      </c>
      <c r="C287">
        <v>7.4846290181885893</v>
      </c>
    </row>
    <row r="288" spans="1:3" x14ac:dyDescent="0.25">
      <c r="A288" t="s">
        <v>38</v>
      </c>
      <c r="B288" s="1" t="s">
        <v>10</v>
      </c>
      <c r="C288">
        <v>3.9995394793649748</v>
      </c>
    </row>
    <row r="289" spans="1:3" x14ac:dyDescent="0.25">
      <c r="A289" t="s">
        <v>38</v>
      </c>
      <c r="B289" s="1" t="s">
        <v>11</v>
      </c>
      <c r="C289">
        <v>1.4055652369612754</v>
      </c>
    </row>
    <row r="290" spans="1:3" x14ac:dyDescent="0.25">
      <c r="A290" t="s">
        <v>38</v>
      </c>
      <c r="B290" s="1" t="s">
        <v>12</v>
      </c>
      <c r="C290">
        <v>9.9294605886906773</v>
      </c>
    </row>
    <row r="291" spans="1:3" x14ac:dyDescent="0.25">
      <c r="A291" t="s">
        <v>38</v>
      </c>
      <c r="B291" s="1" t="s">
        <v>13</v>
      </c>
      <c r="C291">
        <v>-5.4294878106081557</v>
      </c>
    </row>
    <row r="292" spans="1:3" x14ac:dyDescent="0.25">
      <c r="A292" t="s">
        <v>38</v>
      </c>
      <c r="B292" s="1" t="s">
        <v>14</v>
      </c>
      <c r="C292">
        <v>7.5044248336499821</v>
      </c>
    </row>
    <row r="293" spans="1:3" x14ac:dyDescent="0.25">
      <c r="A293" t="s">
        <v>38</v>
      </c>
      <c r="B293" s="1" t="s">
        <v>15</v>
      </c>
      <c r="C293">
        <v>0.67042047479009903</v>
      </c>
    </row>
    <row r="294" spans="1:3" x14ac:dyDescent="0.25">
      <c r="A294" t="s">
        <v>38</v>
      </c>
      <c r="B294" s="1" t="s">
        <v>16</v>
      </c>
      <c r="C294">
        <v>2.8870345209365764</v>
      </c>
    </row>
    <row r="295" spans="1:3" x14ac:dyDescent="0.25">
      <c r="A295" t="s">
        <v>38</v>
      </c>
      <c r="B295" s="1" t="s">
        <v>17</v>
      </c>
      <c r="C295">
        <v>1.8151548672100657</v>
      </c>
    </row>
    <row r="296" spans="1:3" x14ac:dyDescent="0.25">
      <c r="A296" t="s">
        <v>38</v>
      </c>
      <c r="B296" s="1" t="s">
        <v>18</v>
      </c>
      <c r="C296">
        <v>3.2364800146773827</v>
      </c>
    </row>
    <row r="297" spans="1:3" x14ac:dyDescent="0.25">
      <c r="A297" t="s">
        <v>38</v>
      </c>
      <c r="B297" s="1" t="s">
        <v>19</v>
      </c>
      <c r="C297">
        <v>4.5772571100781825</v>
      </c>
    </row>
    <row r="298" spans="1:3" x14ac:dyDescent="0.25">
      <c r="A298" t="s">
        <v>38</v>
      </c>
      <c r="B298" s="1" t="s">
        <v>20</v>
      </c>
      <c r="C298">
        <v>4.724525417941269</v>
      </c>
    </row>
    <row r="299" spans="1:3" x14ac:dyDescent="0.25">
      <c r="A299" t="s">
        <v>38</v>
      </c>
      <c r="B299" s="1" t="s">
        <v>21</v>
      </c>
      <c r="C299">
        <v>6.5487744224195383</v>
      </c>
    </row>
    <row r="300" spans="1:3" x14ac:dyDescent="0.25">
      <c r="A300" t="s">
        <v>38</v>
      </c>
      <c r="B300" s="1" t="s">
        <v>22</v>
      </c>
      <c r="C300">
        <v>3.2014635298061442</v>
      </c>
    </row>
    <row r="301" spans="1:3" x14ac:dyDescent="0.25">
      <c r="A301" t="s">
        <v>38</v>
      </c>
      <c r="B301" s="1" t="s">
        <v>23</v>
      </c>
      <c r="C301">
        <v>3.0818709207123147</v>
      </c>
    </row>
    <row r="302" spans="1:3" x14ac:dyDescent="0.25">
      <c r="A302" t="s">
        <v>39</v>
      </c>
      <c r="B302" s="1" t="s">
        <v>4</v>
      </c>
      <c r="C302">
        <v>3.426018488085071</v>
      </c>
    </row>
    <row r="303" spans="1:3" x14ac:dyDescent="0.25">
      <c r="A303" t="s">
        <v>39</v>
      </c>
      <c r="B303" s="1" t="s">
        <v>5</v>
      </c>
      <c r="C303">
        <v>5.8468416186538157</v>
      </c>
    </row>
    <row r="304" spans="1:3" x14ac:dyDescent="0.25">
      <c r="A304" t="s">
        <v>39</v>
      </c>
      <c r="B304" s="1" t="s">
        <v>6</v>
      </c>
      <c r="C304">
        <v>4.2240630418524754</v>
      </c>
    </row>
    <row r="305" spans="1:3" x14ac:dyDescent="0.25">
      <c r="A305" t="s">
        <v>39</v>
      </c>
      <c r="B305" s="1" t="s">
        <v>7</v>
      </c>
      <c r="C305">
        <v>5.1375009794580437</v>
      </c>
    </row>
    <row r="306" spans="1:3" x14ac:dyDescent="0.25">
      <c r="A306" t="s">
        <v>39</v>
      </c>
      <c r="B306" s="1" t="s">
        <v>8</v>
      </c>
      <c r="C306">
        <v>3.1241339311270555</v>
      </c>
    </row>
    <row r="307" spans="1:3" x14ac:dyDescent="0.25">
      <c r="A307" t="s">
        <v>39</v>
      </c>
      <c r="B307" s="1" t="s">
        <v>9</v>
      </c>
      <c r="C307">
        <v>5.9212306007979807</v>
      </c>
    </row>
    <row r="308" spans="1:3" x14ac:dyDescent="0.25">
      <c r="A308" t="s">
        <v>39</v>
      </c>
      <c r="B308" s="1" t="s">
        <v>10</v>
      </c>
      <c r="C308">
        <v>4.516803160806691</v>
      </c>
    </row>
    <row r="309" spans="1:3" x14ac:dyDescent="0.25">
      <c r="A309" t="s">
        <v>39</v>
      </c>
      <c r="B309" s="1" t="s">
        <v>11</v>
      </c>
      <c r="C309">
        <v>9.9049648296793755</v>
      </c>
    </row>
    <row r="310" spans="1:3" x14ac:dyDescent="0.25">
      <c r="A310" t="s">
        <v>39</v>
      </c>
      <c r="B310" s="1" t="s">
        <v>12</v>
      </c>
      <c r="C310">
        <v>1.2196987726355162</v>
      </c>
    </row>
    <row r="311" spans="1:3" x14ac:dyDescent="0.25">
      <c r="A311" t="s">
        <v>39</v>
      </c>
      <c r="B311" s="1" t="s">
        <v>13</v>
      </c>
      <c r="C311">
        <v>-6.8761205569758674</v>
      </c>
    </row>
    <row r="312" spans="1:3" x14ac:dyDescent="0.25">
      <c r="A312" t="s">
        <v>39</v>
      </c>
      <c r="B312" s="1" t="s">
        <v>14</v>
      </c>
      <c r="C312">
        <v>1.0771096519093635</v>
      </c>
    </row>
    <row r="313" spans="1:3" x14ac:dyDescent="0.25">
      <c r="A313" t="s">
        <v>39</v>
      </c>
      <c r="B313" s="1" t="s">
        <v>15</v>
      </c>
      <c r="C313">
        <v>-4.0067075394981124</v>
      </c>
    </row>
    <row r="314" spans="1:3" x14ac:dyDescent="0.25">
      <c r="A314" t="s">
        <v>39</v>
      </c>
      <c r="B314" s="1" t="s">
        <v>16</v>
      </c>
      <c r="C314">
        <v>1.608127239642916</v>
      </c>
    </row>
    <row r="315" spans="1:3" x14ac:dyDescent="0.25">
      <c r="A315" t="s">
        <v>39</v>
      </c>
      <c r="B315" s="1" t="s">
        <v>17</v>
      </c>
      <c r="C315">
        <v>6.4763546337777811</v>
      </c>
    </row>
    <row r="316" spans="1:3" x14ac:dyDescent="0.25">
      <c r="A316" t="s">
        <v>39</v>
      </c>
      <c r="B316" s="1" t="s">
        <v>18</v>
      </c>
      <c r="C316">
        <v>2.8310495476038944</v>
      </c>
    </row>
    <row r="317" spans="1:3" x14ac:dyDescent="0.25">
      <c r="A317" t="s">
        <v>39</v>
      </c>
      <c r="B317" s="1" t="s">
        <v>19</v>
      </c>
      <c r="C317">
        <v>12.486429170656987</v>
      </c>
    </row>
    <row r="318" spans="1:3" x14ac:dyDescent="0.25">
      <c r="A318" t="s">
        <v>39</v>
      </c>
      <c r="B318" s="1" t="s">
        <v>20</v>
      </c>
      <c r="C318">
        <v>3.0420527967448843</v>
      </c>
    </row>
    <row r="319" spans="1:3" x14ac:dyDescent="0.25">
      <c r="A319" t="s">
        <v>39</v>
      </c>
      <c r="B319" s="1" t="s">
        <v>21</v>
      </c>
      <c r="C319">
        <v>2.9711953251825314</v>
      </c>
    </row>
    <row r="320" spans="1:3" x14ac:dyDescent="0.25">
      <c r="A320" t="s">
        <v>39</v>
      </c>
      <c r="B320" s="1" t="s">
        <v>22</v>
      </c>
      <c r="C320">
        <v>6.0616432111229441</v>
      </c>
    </row>
    <row r="321" spans="1:3" x14ac:dyDescent="0.25">
      <c r="A321" t="s">
        <v>39</v>
      </c>
      <c r="B321" s="1" t="s">
        <v>23</v>
      </c>
      <c r="C321">
        <v>2.9375653571284475</v>
      </c>
    </row>
    <row r="322" spans="1:3" x14ac:dyDescent="0.25">
      <c r="A322" t="s">
        <v>40</v>
      </c>
      <c r="B322" s="1" t="s">
        <v>4</v>
      </c>
      <c r="C322">
        <v>-4.4835911970407629</v>
      </c>
    </row>
    <row r="323" spans="1:3" x14ac:dyDescent="0.25">
      <c r="A323" t="s">
        <v>40</v>
      </c>
      <c r="B323" s="1" t="s">
        <v>5</v>
      </c>
      <c r="C323">
        <v>-3.3270263550622077</v>
      </c>
    </row>
    <row r="324" spans="1:3" x14ac:dyDescent="0.25">
      <c r="A324" t="s">
        <v>40</v>
      </c>
      <c r="B324" s="1" t="s">
        <v>6</v>
      </c>
      <c r="C324">
        <v>9.7104536705323081</v>
      </c>
    </row>
    <row r="325" spans="1:3" x14ac:dyDescent="0.25">
      <c r="A325" t="s">
        <v>40</v>
      </c>
      <c r="B325" s="1" t="s">
        <v>7</v>
      </c>
      <c r="C325">
        <v>-11.389987359468451</v>
      </c>
    </row>
    <row r="326" spans="1:3" x14ac:dyDescent="0.25">
      <c r="A326" t="s">
        <v>40</v>
      </c>
      <c r="B326" s="1" t="s">
        <v>8</v>
      </c>
      <c r="C326">
        <v>-2.9069421090559695</v>
      </c>
    </row>
    <row r="327" spans="1:3" x14ac:dyDescent="0.25">
      <c r="A327" t="s">
        <v>40</v>
      </c>
      <c r="B327" s="1" t="s">
        <v>9</v>
      </c>
      <c r="C327">
        <v>30.628061202947197</v>
      </c>
    </row>
    <row r="328" spans="1:3" x14ac:dyDescent="0.25">
      <c r="A328" t="s">
        <v>40</v>
      </c>
      <c r="B328" s="1" t="s">
        <v>10</v>
      </c>
      <c r="C328">
        <v>-12.603719115327525</v>
      </c>
    </row>
    <row r="329" spans="1:3" x14ac:dyDescent="0.25">
      <c r="A329" t="s">
        <v>40</v>
      </c>
      <c r="B329" s="1" t="s">
        <v>11</v>
      </c>
      <c r="C329">
        <v>-4.0204341682871645</v>
      </c>
    </row>
    <row r="330" spans="1:3" x14ac:dyDescent="0.25">
      <c r="A330" t="s">
        <v>40</v>
      </c>
      <c r="B330" s="1" t="s">
        <v>12</v>
      </c>
      <c r="C330">
        <v>-5.5808904281145235</v>
      </c>
    </row>
    <row r="331" spans="1:3" x14ac:dyDescent="0.25">
      <c r="A331" t="s">
        <v>40</v>
      </c>
      <c r="B331" s="1" t="s">
        <v>13</v>
      </c>
      <c r="C331">
        <v>-5.1524927415533872</v>
      </c>
    </row>
    <row r="332" spans="1:3" x14ac:dyDescent="0.25">
      <c r="A332" t="s">
        <v>40</v>
      </c>
      <c r="B332" s="1" t="s">
        <v>14</v>
      </c>
      <c r="C332">
        <v>-7.7828493592394103</v>
      </c>
    </row>
    <row r="333" spans="1:3" x14ac:dyDescent="0.25">
      <c r="A333" t="s">
        <v>40</v>
      </c>
      <c r="B333" s="1" t="s">
        <v>15</v>
      </c>
      <c r="C333">
        <v>-6.9834567038953406</v>
      </c>
    </row>
    <row r="334" spans="1:3" x14ac:dyDescent="0.25">
      <c r="A334" t="s">
        <v>40</v>
      </c>
      <c r="B334" s="1" t="s">
        <v>16</v>
      </c>
      <c r="C334">
        <v>-20.80336910882118</v>
      </c>
    </row>
    <row r="335" spans="1:3" x14ac:dyDescent="0.25">
      <c r="A335" t="s">
        <v>40</v>
      </c>
      <c r="B335" s="1" t="s">
        <v>17</v>
      </c>
      <c r="C335">
        <v>-11.987882170837242</v>
      </c>
    </row>
    <row r="336" spans="1:3" x14ac:dyDescent="0.25">
      <c r="A336" t="s">
        <v>40</v>
      </c>
      <c r="B336" s="1" t="s">
        <v>18</v>
      </c>
      <c r="C336">
        <v>132.23904597513734</v>
      </c>
    </row>
    <row r="337" spans="1:3" x14ac:dyDescent="0.25">
      <c r="A337" t="s">
        <v>40</v>
      </c>
      <c r="B337" s="1" t="s">
        <v>19</v>
      </c>
      <c r="C337">
        <v>6.4386832307880768</v>
      </c>
    </row>
    <row r="338" spans="1:3" x14ac:dyDescent="0.25">
      <c r="A338" t="s">
        <v>40</v>
      </c>
      <c r="B338" s="1" t="s">
        <v>20</v>
      </c>
      <c r="C338">
        <v>119.00463233591555</v>
      </c>
    </row>
    <row r="339" spans="1:3" x14ac:dyDescent="0.25">
      <c r="A339" t="s">
        <v>40</v>
      </c>
      <c r="B339" s="1" t="s">
        <v>21</v>
      </c>
      <c r="C339">
        <v>39.455645672205911</v>
      </c>
    </row>
    <row r="340" spans="1:3" x14ac:dyDescent="0.25">
      <c r="A340" t="s">
        <v>40</v>
      </c>
      <c r="B340" s="1" t="s">
        <v>22</v>
      </c>
      <c r="C340">
        <v>6.6291575690422739</v>
      </c>
    </row>
    <row r="341" spans="1:3" x14ac:dyDescent="0.25">
      <c r="A341" t="s">
        <v>40</v>
      </c>
      <c r="B341" s="1" t="s">
        <v>23</v>
      </c>
      <c r="C341">
        <v>0.6529573194666044</v>
      </c>
    </row>
    <row r="342" spans="1:3" x14ac:dyDescent="0.25">
      <c r="A342" t="s">
        <v>41</v>
      </c>
      <c r="B342" s="1" t="s">
        <v>4</v>
      </c>
      <c r="C342">
        <v>13.885242645827489</v>
      </c>
    </row>
    <row r="343" spans="1:3" x14ac:dyDescent="0.25">
      <c r="A343" t="s">
        <v>41</v>
      </c>
      <c r="B343" s="1" t="s">
        <v>5</v>
      </c>
      <c r="C343">
        <v>5.2516829718557982</v>
      </c>
    </row>
    <row r="344" spans="1:3" x14ac:dyDescent="0.25">
      <c r="A344" t="s">
        <v>41</v>
      </c>
      <c r="B344" s="1" t="s">
        <v>6</v>
      </c>
      <c r="C344">
        <v>3.7875685231766902</v>
      </c>
    </row>
    <row r="345" spans="1:3" x14ac:dyDescent="0.25">
      <c r="A345" t="s">
        <v>41</v>
      </c>
      <c r="B345" s="1" t="s">
        <v>7</v>
      </c>
      <c r="C345">
        <v>14.705353183698739</v>
      </c>
    </row>
    <row r="346" spans="1:3" x14ac:dyDescent="0.25">
      <c r="A346" t="s">
        <v>41</v>
      </c>
      <c r="B346" s="1" t="s">
        <v>8</v>
      </c>
      <c r="C346">
        <v>4.072783117067428</v>
      </c>
    </row>
    <row r="347" spans="1:3" x14ac:dyDescent="0.25">
      <c r="A347" t="s">
        <v>41</v>
      </c>
      <c r="B347" s="1" t="s">
        <v>9</v>
      </c>
      <c r="C347">
        <v>7.797114869387717</v>
      </c>
    </row>
    <row r="348" spans="1:3" x14ac:dyDescent="0.25">
      <c r="A348" t="s">
        <v>41</v>
      </c>
      <c r="B348" s="1" t="s">
        <v>10</v>
      </c>
      <c r="C348">
        <v>4.6034266651832221</v>
      </c>
    </row>
    <row r="349" spans="1:3" x14ac:dyDescent="0.25">
      <c r="A349" t="s">
        <v>41</v>
      </c>
      <c r="B349" s="1" t="s">
        <v>11</v>
      </c>
      <c r="C349">
        <v>5.3084327300732577</v>
      </c>
    </row>
    <row r="350" spans="1:3" x14ac:dyDescent="0.25">
      <c r="A350" t="s">
        <v>41</v>
      </c>
      <c r="B350" s="1" t="s">
        <v>12</v>
      </c>
      <c r="C350">
        <v>-2.3341747458012643</v>
      </c>
    </row>
    <row r="351" spans="1:3" x14ac:dyDescent="0.25">
      <c r="A351" t="s">
        <v>41</v>
      </c>
      <c r="B351" s="1" t="s">
        <v>13</v>
      </c>
      <c r="C351">
        <v>1.4757904417119769</v>
      </c>
    </row>
    <row r="352" spans="1:3" x14ac:dyDescent="0.25">
      <c r="A352" t="s">
        <v>41</v>
      </c>
      <c r="B352" s="1" t="s">
        <v>14</v>
      </c>
      <c r="C352">
        <v>3.8048412321421754</v>
      </c>
    </row>
    <row r="353" spans="1:3" x14ac:dyDescent="0.25">
      <c r="A353" t="s">
        <v>41</v>
      </c>
      <c r="B353" s="1" t="s">
        <v>15</v>
      </c>
      <c r="C353">
        <v>-2.1666702721037594</v>
      </c>
    </row>
    <row r="354" spans="1:3" x14ac:dyDescent="0.25">
      <c r="A354" t="s">
        <v>41</v>
      </c>
      <c r="B354" s="1" t="s">
        <v>16</v>
      </c>
      <c r="C354">
        <v>-5.1474625350157659</v>
      </c>
    </row>
    <row r="355" spans="1:3" x14ac:dyDescent="0.25">
      <c r="A355" t="s">
        <v>41</v>
      </c>
      <c r="B355" s="1" t="s">
        <v>17</v>
      </c>
      <c r="C355">
        <v>-0.64425126107480102</v>
      </c>
    </row>
    <row r="356" spans="1:3" x14ac:dyDescent="0.25">
      <c r="A356" t="s">
        <v>41</v>
      </c>
      <c r="B356" s="1" t="s">
        <v>18</v>
      </c>
      <c r="C356">
        <v>-22.040181755815532</v>
      </c>
    </row>
    <row r="357" spans="1:3" x14ac:dyDescent="0.25">
      <c r="A357" t="s">
        <v>41</v>
      </c>
      <c r="B357" s="1" t="s">
        <v>19</v>
      </c>
      <c r="C357">
        <v>-18.9408716571558</v>
      </c>
    </row>
    <row r="358" spans="1:3" x14ac:dyDescent="0.25">
      <c r="A358" t="s">
        <v>41</v>
      </c>
      <c r="B358" s="1" t="s">
        <v>20</v>
      </c>
      <c r="C358">
        <v>-17.928612796658815</v>
      </c>
    </row>
    <row r="359" spans="1:3" x14ac:dyDescent="0.25">
      <c r="A359" t="s">
        <v>41</v>
      </c>
      <c r="B359" s="1" t="s">
        <v>21</v>
      </c>
      <c r="C359">
        <v>-2.7261033376840733</v>
      </c>
    </row>
    <row r="360" spans="1:3" x14ac:dyDescent="0.25">
      <c r="A360" t="s">
        <v>41</v>
      </c>
      <c r="B360" s="1" t="s">
        <v>22</v>
      </c>
      <c r="C360">
        <v>-9.6357811838406384</v>
      </c>
    </row>
    <row r="361" spans="1:3" x14ac:dyDescent="0.25">
      <c r="A361" t="s">
        <v>41</v>
      </c>
      <c r="B361" s="1" t="s">
        <v>23</v>
      </c>
      <c r="C361">
        <v>-7.2574187315882552</v>
      </c>
    </row>
    <row r="362" spans="1:3" x14ac:dyDescent="0.25">
      <c r="A362" t="s">
        <v>42</v>
      </c>
      <c r="B362" s="1" t="s">
        <v>4</v>
      </c>
      <c r="C362">
        <v>3.2508607645945702</v>
      </c>
    </row>
    <row r="363" spans="1:3" x14ac:dyDescent="0.25">
      <c r="A363" t="s">
        <v>42</v>
      </c>
      <c r="B363" s="1" t="s">
        <v>5</v>
      </c>
      <c r="C363">
        <v>4.176703964893262</v>
      </c>
    </row>
    <row r="364" spans="1:3" x14ac:dyDescent="0.25">
      <c r="A364" t="s">
        <v>42</v>
      </c>
      <c r="B364" s="1" t="s">
        <v>6</v>
      </c>
      <c r="C364">
        <v>1.6281127483481161</v>
      </c>
    </row>
    <row r="365" spans="1:3" x14ac:dyDescent="0.25">
      <c r="A365" t="s">
        <v>42</v>
      </c>
      <c r="B365" s="1" t="s">
        <v>7</v>
      </c>
      <c r="C365">
        <v>4.5156341106684605</v>
      </c>
    </row>
    <row r="366" spans="1:3" x14ac:dyDescent="0.25">
      <c r="A366" t="s">
        <v>42</v>
      </c>
      <c r="B366" s="1" t="s">
        <v>8</v>
      </c>
      <c r="C366">
        <v>-1.9572744538967231</v>
      </c>
    </row>
    <row r="367" spans="1:3" x14ac:dyDescent="0.25">
      <c r="A367" t="s">
        <v>42</v>
      </c>
      <c r="B367" s="1" t="s">
        <v>9</v>
      </c>
      <c r="C367">
        <v>7.2857473869220355</v>
      </c>
    </row>
    <row r="368" spans="1:3" x14ac:dyDescent="0.25">
      <c r="A368" t="s">
        <v>42</v>
      </c>
      <c r="B368" s="1" t="s">
        <v>10</v>
      </c>
      <c r="C368">
        <v>7.5678438961564005</v>
      </c>
    </row>
    <row r="369" spans="1:3" x14ac:dyDescent="0.25">
      <c r="A369" t="s">
        <v>42</v>
      </c>
      <c r="B369" s="1" t="s">
        <v>11</v>
      </c>
      <c r="C369">
        <v>6.0393417370086731</v>
      </c>
    </row>
    <row r="370" spans="1:3" x14ac:dyDescent="0.25">
      <c r="A370" t="s">
        <v>42</v>
      </c>
      <c r="B370" s="1" t="s">
        <v>12</v>
      </c>
      <c r="C370">
        <v>7.315621732129193</v>
      </c>
    </row>
    <row r="371" spans="1:3" x14ac:dyDescent="0.25">
      <c r="A371" t="s">
        <v>42</v>
      </c>
      <c r="B371" s="1" t="s">
        <v>13</v>
      </c>
      <c r="C371">
        <v>-4.4671882334343564</v>
      </c>
    </row>
    <row r="372" spans="1:3" x14ac:dyDescent="0.25">
      <c r="A372" t="s">
        <v>42</v>
      </c>
      <c r="B372" s="1" t="s">
        <v>14</v>
      </c>
      <c r="C372">
        <v>5.6615382882867031</v>
      </c>
    </row>
    <row r="373" spans="1:3" x14ac:dyDescent="0.25">
      <c r="A373" t="s">
        <v>42</v>
      </c>
      <c r="B373" s="1" t="s">
        <v>15</v>
      </c>
      <c r="C373">
        <v>-1.8862790357797037</v>
      </c>
    </row>
    <row r="374" spans="1:3" x14ac:dyDescent="0.25">
      <c r="A374" t="s">
        <v>42</v>
      </c>
      <c r="B374" s="1" t="s">
        <v>16</v>
      </c>
      <c r="C374">
        <v>-3.1252730567507916</v>
      </c>
    </row>
    <row r="375" spans="1:3" x14ac:dyDescent="0.25">
      <c r="A375" t="s">
        <v>42</v>
      </c>
      <c r="B375" s="1" t="s">
        <v>17</v>
      </c>
      <c r="C375">
        <v>0.52931029661518525</v>
      </c>
    </row>
    <row r="376" spans="1:3" x14ac:dyDescent="0.25">
      <c r="A376" t="s">
        <v>42</v>
      </c>
      <c r="B376" s="1" t="s">
        <v>18</v>
      </c>
      <c r="C376">
        <v>-2.7844333522979157</v>
      </c>
    </row>
    <row r="377" spans="1:3" x14ac:dyDescent="0.25">
      <c r="A377" t="s">
        <v>42</v>
      </c>
      <c r="B377" s="1" t="s">
        <v>19</v>
      </c>
      <c r="C377">
        <v>-1.2349554058422605</v>
      </c>
    </row>
    <row r="378" spans="1:3" x14ac:dyDescent="0.25">
      <c r="A378" t="s">
        <v>42</v>
      </c>
      <c r="B378" s="1" t="s">
        <v>20</v>
      </c>
      <c r="C378">
        <v>-6.4420947495774792</v>
      </c>
    </row>
    <row r="379" spans="1:3" x14ac:dyDescent="0.25">
      <c r="A379" t="s">
        <v>42</v>
      </c>
      <c r="B379" s="1" t="s">
        <v>21</v>
      </c>
      <c r="C379">
        <v>9.7293179924744368</v>
      </c>
    </row>
    <row r="380" spans="1:3" x14ac:dyDescent="0.25">
      <c r="A380" t="s">
        <v>42</v>
      </c>
      <c r="B380" s="1" t="s">
        <v>22</v>
      </c>
      <c r="C380">
        <v>6.6539204324355516</v>
      </c>
    </row>
    <row r="381" spans="1:3" x14ac:dyDescent="0.25">
      <c r="A381" t="s">
        <v>42</v>
      </c>
      <c r="B381" s="1" t="s">
        <v>23</v>
      </c>
      <c r="C381">
        <v>10.659261833697494</v>
      </c>
    </row>
    <row r="382" spans="1:3" x14ac:dyDescent="0.25">
      <c r="A382" t="s">
        <v>43</v>
      </c>
      <c r="B382" s="1" t="s">
        <v>4</v>
      </c>
      <c r="C382">
        <v>0.76376461344103164</v>
      </c>
    </row>
    <row r="383" spans="1:3" x14ac:dyDescent="0.25">
      <c r="A383" t="s">
        <v>43</v>
      </c>
      <c r="B383" s="1" t="s">
        <v>5</v>
      </c>
      <c r="C383">
        <v>5.5974288213105927</v>
      </c>
    </row>
    <row r="384" spans="1:3" x14ac:dyDescent="0.25">
      <c r="A384" t="s">
        <v>43</v>
      </c>
      <c r="B384" s="1" t="s">
        <v>6</v>
      </c>
      <c r="C384">
        <v>-3.2616586164296648</v>
      </c>
    </row>
    <row r="385" spans="1:3" x14ac:dyDescent="0.25">
      <c r="A385" t="s">
        <v>43</v>
      </c>
      <c r="B385" s="1" t="s">
        <v>7</v>
      </c>
      <c r="C385">
        <v>4.4357798165137616</v>
      </c>
    </row>
    <row r="386" spans="1:3" x14ac:dyDescent="0.25">
      <c r="A386" t="s">
        <v>43</v>
      </c>
      <c r="B386" s="1" t="s">
        <v>8</v>
      </c>
      <c r="C386">
        <v>2.5590138666618385</v>
      </c>
    </row>
    <row r="387" spans="1:3" x14ac:dyDescent="0.25">
      <c r="A387" t="s">
        <v>43</v>
      </c>
      <c r="B387" s="1" t="s">
        <v>9</v>
      </c>
      <c r="C387">
        <v>6.8688723907651337</v>
      </c>
    </row>
    <row r="388" spans="1:3" x14ac:dyDescent="0.25">
      <c r="A388" t="s">
        <v>43</v>
      </c>
      <c r="B388" s="1" t="s">
        <v>10</v>
      </c>
      <c r="C388">
        <v>20.99801646056293</v>
      </c>
    </row>
    <row r="389" spans="1:3" x14ac:dyDescent="0.25">
      <c r="A389" t="s">
        <v>43</v>
      </c>
      <c r="B389" s="1" t="s">
        <v>11</v>
      </c>
      <c r="C389">
        <v>5.0933568022119129</v>
      </c>
    </row>
    <row r="390" spans="1:3" x14ac:dyDescent="0.25">
      <c r="A390" t="s">
        <v>43</v>
      </c>
      <c r="B390" s="1" t="s">
        <v>12</v>
      </c>
      <c r="C390">
        <v>3.3388688853621096</v>
      </c>
    </row>
    <row r="391" spans="1:3" x14ac:dyDescent="0.25">
      <c r="A391" t="s">
        <v>43</v>
      </c>
      <c r="B391" s="1" t="s">
        <v>13</v>
      </c>
      <c r="C391">
        <v>8.5984212521033356</v>
      </c>
    </row>
    <row r="392" spans="1:3" x14ac:dyDescent="0.25">
      <c r="A392" t="s">
        <v>43</v>
      </c>
      <c r="B392" s="1" t="s">
        <v>14</v>
      </c>
      <c r="C392">
        <v>6.2246055976261898</v>
      </c>
    </row>
    <row r="393" spans="1:3" x14ac:dyDescent="0.25">
      <c r="A393" t="s">
        <v>43</v>
      </c>
      <c r="B393" s="1" t="s">
        <v>15</v>
      </c>
      <c r="C393">
        <v>3.0402734215920884</v>
      </c>
    </row>
    <row r="394" spans="1:3" x14ac:dyDescent="0.25">
      <c r="A394" t="s">
        <v>43</v>
      </c>
      <c r="B394" s="1" t="s">
        <v>16</v>
      </c>
      <c r="C394">
        <v>0.52407670137400975</v>
      </c>
    </row>
    <row r="395" spans="1:3" x14ac:dyDescent="0.25">
      <c r="A395" t="s">
        <v>43</v>
      </c>
      <c r="B395" s="1" t="s">
        <v>17</v>
      </c>
      <c r="C395">
        <v>4.3216121913436831</v>
      </c>
    </row>
    <row r="396" spans="1:3" x14ac:dyDescent="0.25">
      <c r="A396" t="s">
        <v>43</v>
      </c>
      <c r="B396" s="1" t="s">
        <v>18</v>
      </c>
      <c r="C396">
        <v>5.5025244158844906</v>
      </c>
    </row>
    <row r="397" spans="1:3" x14ac:dyDescent="0.25">
      <c r="A397" t="s">
        <v>43</v>
      </c>
      <c r="B397" s="1" t="s">
        <v>19</v>
      </c>
      <c r="C397">
        <v>7.563453474945474</v>
      </c>
    </row>
    <row r="398" spans="1:3" x14ac:dyDescent="0.25">
      <c r="A398" t="s">
        <v>43</v>
      </c>
      <c r="B398" s="1" t="s">
        <v>20</v>
      </c>
      <c r="C398">
        <v>5.5338605416455673</v>
      </c>
    </row>
    <row r="399" spans="1:3" x14ac:dyDescent="0.25">
      <c r="A399" t="s">
        <v>43</v>
      </c>
      <c r="B399" s="1" t="s">
        <v>21</v>
      </c>
      <c r="C399">
        <v>6.8294340468843782</v>
      </c>
    </row>
    <row r="400" spans="1:3" x14ac:dyDescent="0.25">
      <c r="A400" t="s">
        <v>43</v>
      </c>
      <c r="B400" s="1" t="s">
        <v>22</v>
      </c>
      <c r="C400">
        <v>5.4890522285726631</v>
      </c>
    </row>
    <row r="401" spans="1:3" x14ac:dyDescent="0.25">
      <c r="A401" t="s">
        <v>43</v>
      </c>
      <c r="B401" s="1" t="s">
        <v>23</v>
      </c>
      <c r="C401">
        <v>11.588533666765745</v>
      </c>
    </row>
    <row r="402" spans="1:3" x14ac:dyDescent="0.25">
      <c r="A402" t="s">
        <v>44</v>
      </c>
      <c r="B402" s="1" t="s">
        <v>4</v>
      </c>
      <c r="C402">
        <v>-0.41607415653438079</v>
      </c>
    </row>
    <row r="403" spans="1:3" x14ac:dyDescent="0.25">
      <c r="A403" t="s">
        <v>44</v>
      </c>
      <c r="B403" s="1" t="s">
        <v>5</v>
      </c>
      <c r="C403">
        <v>3.1212576313035334</v>
      </c>
    </row>
    <row r="404" spans="1:3" x14ac:dyDescent="0.25">
      <c r="A404" t="s">
        <v>44</v>
      </c>
      <c r="B404" s="1" t="s">
        <v>6</v>
      </c>
      <c r="C404">
        <v>-6.0711062015307071E-2</v>
      </c>
    </row>
    <row r="405" spans="1:3" x14ac:dyDescent="0.25">
      <c r="A405" t="s">
        <v>44</v>
      </c>
      <c r="B405" s="1" t="s">
        <v>7</v>
      </c>
      <c r="C405">
        <v>2.6126380565600973E-3</v>
      </c>
    </row>
    <row r="406" spans="1:3" x14ac:dyDescent="0.25">
      <c r="A406" t="s">
        <v>44</v>
      </c>
      <c r="B406" s="1" t="s">
        <v>8</v>
      </c>
      <c r="C406">
        <v>117.44673783525886</v>
      </c>
    </row>
    <row r="407" spans="1:3" x14ac:dyDescent="0.25">
      <c r="A407" t="s">
        <v>44</v>
      </c>
      <c r="B407" s="1" t="s">
        <v>9</v>
      </c>
      <c r="C407">
        <v>1.8694947380425468</v>
      </c>
    </row>
    <row r="408" spans="1:3" x14ac:dyDescent="0.25">
      <c r="A408" t="s">
        <v>44</v>
      </c>
      <c r="B408" s="1" t="s">
        <v>10</v>
      </c>
      <c r="C408">
        <v>-2.317558087048079</v>
      </c>
    </row>
    <row r="409" spans="1:3" x14ac:dyDescent="0.25">
      <c r="A409" t="s">
        <v>44</v>
      </c>
      <c r="B409" s="1" t="s">
        <v>11</v>
      </c>
      <c r="C409">
        <v>0.81530242910456074</v>
      </c>
    </row>
    <row r="410" spans="1:3" x14ac:dyDescent="0.25">
      <c r="A410" t="s">
        <v>44</v>
      </c>
      <c r="B410" s="1" t="s">
        <v>12</v>
      </c>
      <c r="C410">
        <v>11.36225203667151</v>
      </c>
    </row>
    <row r="411" spans="1:3" x14ac:dyDescent="0.25">
      <c r="A411" t="s">
        <v>44</v>
      </c>
      <c r="B411" s="1" t="s">
        <v>13</v>
      </c>
      <c r="C411">
        <v>-4.133581499201016</v>
      </c>
    </row>
    <row r="412" spans="1:3" x14ac:dyDescent="0.25">
      <c r="A412" t="s">
        <v>44</v>
      </c>
      <c r="B412" s="1" t="s">
        <v>14</v>
      </c>
      <c r="C412">
        <v>-1.4291810014515793</v>
      </c>
    </row>
    <row r="413" spans="1:3" x14ac:dyDescent="0.25">
      <c r="A413" t="s">
        <v>44</v>
      </c>
      <c r="B413" s="1" t="s">
        <v>15</v>
      </c>
      <c r="C413">
        <v>-9.3183568777761963</v>
      </c>
    </row>
    <row r="414" spans="1:3" x14ac:dyDescent="0.25">
      <c r="A414" t="s">
        <v>44</v>
      </c>
      <c r="B414" s="1" t="s">
        <v>16</v>
      </c>
      <c r="C414">
        <v>-2.925911458679693</v>
      </c>
    </row>
    <row r="415" spans="1:3" x14ac:dyDescent="0.25">
      <c r="A415" t="s">
        <v>44</v>
      </c>
      <c r="B415" s="1" t="s">
        <v>17</v>
      </c>
      <c r="C415">
        <v>2.0605535615704955</v>
      </c>
    </row>
    <row r="416" spans="1:3" x14ac:dyDescent="0.25">
      <c r="A416" t="s">
        <v>44</v>
      </c>
      <c r="B416" s="1" t="s">
        <v>18</v>
      </c>
      <c r="C416">
        <v>1.5350288819721483</v>
      </c>
    </row>
    <row r="417" spans="1:3" x14ac:dyDescent="0.25">
      <c r="A417" t="s">
        <v>44</v>
      </c>
      <c r="B417" s="1" t="s">
        <v>19</v>
      </c>
      <c r="C417">
        <v>-1.7956702867597887</v>
      </c>
    </row>
    <row r="418" spans="1:3" x14ac:dyDescent="0.25">
      <c r="A418" t="s">
        <v>44</v>
      </c>
      <c r="B418" s="1" t="s">
        <v>20</v>
      </c>
      <c r="C418">
        <v>5.2443330308691269</v>
      </c>
    </row>
    <row r="419" spans="1:3" x14ac:dyDescent="0.25">
      <c r="A419" t="s">
        <v>44</v>
      </c>
      <c r="B419" s="1" t="s">
        <v>21</v>
      </c>
      <c r="C419">
        <v>4.8516444106040213</v>
      </c>
    </row>
    <row r="420" spans="1:3" x14ac:dyDescent="0.25">
      <c r="A420" t="s">
        <v>44</v>
      </c>
      <c r="B420" s="1" t="s">
        <v>22</v>
      </c>
      <c r="C420">
        <v>4.3210434116948608</v>
      </c>
    </row>
    <row r="421" spans="1:3" x14ac:dyDescent="0.25">
      <c r="A421" t="s">
        <v>44</v>
      </c>
      <c r="B421" s="1" t="s">
        <v>23</v>
      </c>
      <c r="C421">
        <v>-6.580578584958821</v>
      </c>
    </row>
    <row r="422" spans="1:3" x14ac:dyDescent="0.25">
      <c r="A422" t="s">
        <v>45</v>
      </c>
      <c r="B422" s="1" t="s">
        <v>4</v>
      </c>
      <c r="C422">
        <v>14.649720231605553</v>
      </c>
    </row>
    <row r="423" spans="1:3" x14ac:dyDescent="0.25">
      <c r="A423" t="s">
        <v>45</v>
      </c>
      <c r="B423" s="1" t="s">
        <v>5</v>
      </c>
      <c r="C423">
        <v>6.696710345636145</v>
      </c>
    </row>
    <row r="424" spans="1:3" x14ac:dyDescent="0.25">
      <c r="A424" t="s">
        <v>45</v>
      </c>
      <c r="B424" s="1" t="s">
        <v>6</v>
      </c>
      <c r="C424">
        <v>3.6552740088247186</v>
      </c>
    </row>
    <row r="425" spans="1:3" x14ac:dyDescent="0.25">
      <c r="A425" t="s">
        <v>45</v>
      </c>
      <c r="B425" s="1" t="s">
        <v>7</v>
      </c>
      <c r="C425">
        <v>5.6681328635436525</v>
      </c>
    </row>
    <row r="426" spans="1:3" x14ac:dyDescent="0.25">
      <c r="A426" t="s">
        <v>45</v>
      </c>
      <c r="B426" s="1" t="s">
        <v>8</v>
      </c>
      <c r="C426">
        <v>2.0583424022046866</v>
      </c>
    </row>
    <row r="427" spans="1:3" x14ac:dyDescent="0.25">
      <c r="A427" t="s">
        <v>45</v>
      </c>
      <c r="B427" s="1" t="s">
        <v>9</v>
      </c>
      <c r="C427">
        <v>1.849947013349823</v>
      </c>
    </row>
    <row r="428" spans="1:3" x14ac:dyDescent="0.25">
      <c r="A428" t="s">
        <v>45</v>
      </c>
      <c r="B428" s="1" t="s">
        <v>10</v>
      </c>
      <c r="C428">
        <v>0.11793040079149102</v>
      </c>
    </row>
    <row r="429" spans="1:3" x14ac:dyDescent="0.25">
      <c r="A429" t="s">
        <v>45</v>
      </c>
      <c r="B429" s="1" t="s">
        <v>11</v>
      </c>
      <c r="C429">
        <v>4.7622799607889919</v>
      </c>
    </row>
    <row r="430" spans="1:3" x14ac:dyDescent="0.25">
      <c r="A430" t="s">
        <v>45</v>
      </c>
      <c r="B430" s="1" t="s">
        <v>12</v>
      </c>
      <c r="C430">
        <v>-5.6585410398286946</v>
      </c>
    </row>
    <row r="431" spans="1:3" x14ac:dyDescent="0.25">
      <c r="A431" t="s">
        <v>45</v>
      </c>
      <c r="B431" s="1" t="s">
        <v>13</v>
      </c>
      <c r="C431">
        <v>-5.769313847733879</v>
      </c>
    </row>
    <row r="432" spans="1:3" x14ac:dyDescent="0.25">
      <c r="A432" t="s">
        <v>45</v>
      </c>
      <c r="B432" s="1" t="s">
        <v>14</v>
      </c>
      <c r="C432">
        <v>7.3484059443268013</v>
      </c>
    </row>
    <row r="433" spans="1:3" x14ac:dyDescent="0.25">
      <c r="A433" t="s">
        <v>45</v>
      </c>
      <c r="B433" s="1" t="s">
        <v>15</v>
      </c>
      <c r="C433">
        <v>9.0226251369831765</v>
      </c>
    </row>
    <row r="434" spans="1:3" x14ac:dyDescent="0.25">
      <c r="A434" t="s">
        <v>45</v>
      </c>
      <c r="B434" s="1" t="s">
        <v>16</v>
      </c>
      <c r="C434">
        <v>3.7043573357801005</v>
      </c>
    </row>
    <row r="435" spans="1:3" x14ac:dyDescent="0.25">
      <c r="A435" t="s">
        <v>45</v>
      </c>
      <c r="B435" s="1" t="s">
        <v>17</v>
      </c>
      <c r="C435">
        <v>13.362324382765447</v>
      </c>
    </row>
    <row r="436" spans="1:3" x14ac:dyDescent="0.25">
      <c r="A436" t="s">
        <v>45</v>
      </c>
      <c r="B436" s="1" t="s">
        <v>18</v>
      </c>
      <c r="C436">
        <v>4.4519405236914302</v>
      </c>
    </row>
    <row r="437" spans="1:3" x14ac:dyDescent="0.25">
      <c r="A437" t="s">
        <v>45</v>
      </c>
      <c r="B437" s="1" t="s">
        <v>19</v>
      </c>
      <c r="C437">
        <v>7.5656605553657208</v>
      </c>
    </row>
    <row r="438" spans="1:3" x14ac:dyDescent="0.25">
      <c r="A438" t="s">
        <v>45</v>
      </c>
      <c r="B438" s="1" t="s">
        <v>20</v>
      </c>
      <c r="C438">
        <v>4.8489470488904045</v>
      </c>
    </row>
    <row r="439" spans="1:3" x14ac:dyDescent="0.25">
      <c r="A439" t="s">
        <v>45</v>
      </c>
      <c r="B439" s="1" t="s">
        <v>21</v>
      </c>
      <c r="C439">
        <v>8.1193467414835645</v>
      </c>
    </row>
    <row r="440" spans="1:3" x14ac:dyDescent="0.25">
      <c r="A440" t="s">
        <v>45</v>
      </c>
      <c r="B440" s="1" t="s">
        <v>22</v>
      </c>
      <c r="C440">
        <v>7.9679102558800636</v>
      </c>
    </row>
    <row r="441" spans="1:3" x14ac:dyDescent="0.25">
      <c r="A441" t="s">
        <v>45</v>
      </c>
      <c r="B441" s="1" t="s">
        <v>23</v>
      </c>
      <c r="C441">
        <v>3.3286495276850383</v>
      </c>
    </row>
    <row r="442" spans="1:3" x14ac:dyDescent="0.25">
      <c r="A442" t="s">
        <v>46</v>
      </c>
      <c r="B442" s="1" t="s">
        <v>4</v>
      </c>
      <c r="C442">
        <v>-5.0093323637120681</v>
      </c>
    </row>
    <row r="443" spans="1:3" x14ac:dyDescent="0.25">
      <c r="A443" t="s">
        <v>46</v>
      </c>
      <c r="B443" s="1" t="s">
        <v>5</v>
      </c>
      <c r="C443">
        <v>2.9104432747033813</v>
      </c>
    </row>
    <row r="444" spans="1:3" x14ac:dyDescent="0.25">
      <c r="A444" t="s">
        <v>46</v>
      </c>
      <c r="B444" s="1" t="s">
        <v>6</v>
      </c>
      <c r="C444">
        <v>-8.2312730994316379</v>
      </c>
    </row>
    <row r="445" spans="1:3" x14ac:dyDescent="0.25">
      <c r="A445" t="s">
        <v>46</v>
      </c>
      <c r="B445" s="1" t="s">
        <v>7</v>
      </c>
      <c r="C445">
        <v>0.45995387568352464</v>
      </c>
    </row>
    <row r="446" spans="1:3" x14ac:dyDescent="0.25">
      <c r="A446" t="s">
        <v>46</v>
      </c>
      <c r="B446" s="1" t="s">
        <v>8</v>
      </c>
      <c r="C446">
        <v>4.4705952184242905</v>
      </c>
    </row>
    <row r="447" spans="1:3" x14ac:dyDescent="0.25">
      <c r="A447" t="s">
        <v>46</v>
      </c>
      <c r="B447" s="1" t="s">
        <v>9</v>
      </c>
      <c r="C447">
        <v>10.493559381375068</v>
      </c>
    </row>
    <row r="448" spans="1:3" x14ac:dyDescent="0.25">
      <c r="A448" t="s">
        <v>46</v>
      </c>
      <c r="B448" s="1" t="s">
        <v>10</v>
      </c>
      <c r="C448">
        <v>130.08597680926184</v>
      </c>
    </row>
    <row r="449" spans="1:3" x14ac:dyDescent="0.25">
      <c r="A449" t="s">
        <v>46</v>
      </c>
      <c r="B449" s="1" t="s">
        <v>11</v>
      </c>
      <c r="C449">
        <v>-1.0406536868338494</v>
      </c>
    </row>
    <row r="450" spans="1:3" x14ac:dyDescent="0.25">
      <c r="A450" t="s">
        <v>46</v>
      </c>
      <c r="B450" s="1" t="s">
        <v>12</v>
      </c>
      <c r="C450">
        <v>5.4615424523839318</v>
      </c>
    </row>
    <row r="451" spans="1:3" x14ac:dyDescent="0.25">
      <c r="A451" t="s">
        <v>46</v>
      </c>
      <c r="B451" s="1" t="s">
        <v>13</v>
      </c>
      <c r="C451">
        <v>9.5511171430307691</v>
      </c>
    </row>
    <row r="452" spans="1:3" x14ac:dyDescent="0.25">
      <c r="A452" t="s">
        <v>46</v>
      </c>
      <c r="B452" s="1" t="s">
        <v>14</v>
      </c>
      <c r="C452">
        <v>7.6195794383512689</v>
      </c>
    </row>
    <row r="453" spans="1:3" x14ac:dyDescent="0.25">
      <c r="A453" t="s">
        <v>46</v>
      </c>
      <c r="B453" s="1" t="s">
        <v>15</v>
      </c>
      <c r="C453">
        <v>5.5384547414771719</v>
      </c>
    </row>
    <row r="454" spans="1:3" x14ac:dyDescent="0.25">
      <c r="A454" t="s">
        <v>46</v>
      </c>
      <c r="B454" s="1" t="s">
        <v>16</v>
      </c>
      <c r="C454">
        <v>2.3402427943466906</v>
      </c>
    </row>
    <row r="455" spans="1:3" x14ac:dyDescent="0.25">
      <c r="A455" t="s">
        <v>46</v>
      </c>
      <c r="B455" s="1" t="s">
        <v>17</v>
      </c>
      <c r="C455">
        <v>13.325319056102972</v>
      </c>
    </row>
    <row r="456" spans="1:3" x14ac:dyDescent="0.25">
      <c r="A456" t="s">
        <v>46</v>
      </c>
      <c r="B456" s="1" t="s">
        <v>18</v>
      </c>
      <c r="C456">
        <v>1.4037897209024199</v>
      </c>
    </row>
    <row r="457" spans="1:3" x14ac:dyDescent="0.25">
      <c r="A457" t="s">
        <v>46</v>
      </c>
      <c r="B457" s="1" t="s">
        <v>19</v>
      </c>
      <c r="C457">
        <v>9.1425257120867229</v>
      </c>
    </row>
    <row r="458" spans="1:3" x14ac:dyDescent="0.25">
      <c r="A458" t="s">
        <v>46</v>
      </c>
      <c r="B458" s="1" t="s">
        <v>20</v>
      </c>
      <c r="C458">
        <v>-1.630276047853416</v>
      </c>
    </row>
    <row r="459" spans="1:3" x14ac:dyDescent="0.25">
      <c r="A459" t="s">
        <v>46</v>
      </c>
      <c r="B459" s="1" t="s">
        <v>21</v>
      </c>
      <c r="C459">
        <v>23.631338629377019</v>
      </c>
    </row>
    <row r="460" spans="1:3" x14ac:dyDescent="0.25">
      <c r="A460" t="s">
        <v>46</v>
      </c>
      <c r="B460" s="1" t="s">
        <v>22</v>
      </c>
      <c r="C460">
        <v>11.21921931764599</v>
      </c>
    </row>
    <row r="461" spans="1:3" x14ac:dyDescent="0.25">
      <c r="A461" t="s">
        <v>46</v>
      </c>
      <c r="B461" s="1" t="s">
        <v>23</v>
      </c>
      <c r="C461">
        <v>8.0219689543381065</v>
      </c>
    </row>
    <row r="462" spans="1:3" x14ac:dyDescent="0.25">
      <c r="A462" t="s">
        <v>47</v>
      </c>
      <c r="B462" s="1" t="s">
        <v>4</v>
      </c>
      <c r="C462">
        <v>-3.5020994964488987</v>
      </c>
    </row>
    <row r="463" spans="1:3" x14ac:dyDescent="0.25">
      <c r="A463" t="s">
        <v>47</v>
      </c>
      <c r="B463" s="1" t="s">
        <v>5</v>
      </c>
      <c r="C463">
        <v>-1.7528763106734231</v>
      </c>
    </row>
    <row r="464" spans="1:3" x14ac:dyDescent="0.25">
      <c r="A464" t="s">
        <v>47</v>
      </c>
      <c r="B464" s="1" t="s">
        <v>6</v>
      </c>
      <c r="C464">
        <v>-7.4298504557692935</v>
      </c>
    </row>
    <row r="465" spans="1:3" x14ac:dyDescent="0.25">
      <c r="A465" t="s">
        <v>47</v>
      </c>
      <c r="B465" s="1" t="s">
        <v>7</v>
      </c>
      <c r="C465">
        <v>-8.2219558975724727</v>
      </c>
    </row>
    <row r="466" spans="1:3" x14ac:dyDescent="0.25">
      <c r="A466" t="s">
        <v>47</v>
      </c>
      <c r="B466" s="1" t="s">
        <v>8</v>
      </c>
      <c r="C466">
        <v>-7.0089473215308455</v>
      </c>
    </row>
    <row r="467" spans="1:3" x14ac:dyDescent="0.25">
      <c r="A467" t="s">
        <v>47</v>
      </c>
      <c r="B467" s="1" t="s">
        <v>9</v>
      </c>
      <c r="C467">
        <v>2.6647870360232124</v>
      </c>
    </row>
    <row r="468" spans="1:3" x14ac:dyDescent="0.25">
      <c r="A468" t="s">
        <v>47</v>
      </c>
      <c r="B468" s="1" t="s">
        <v>10</v>
      </c>
      <c r="C468">
        <v>-3.1686019383823707</v>
      </c>
    </row>
    <row r="469" spans="1:3" x14ac:dyDescent="0.25">
      <c r="A469" t="s">
        <v>47</v>
      </c>
      <c r="B469" s="1" t="s">
        <v>11</v>
      </c>
      <c r="C469">
        <v>-21.581018308179896</v>
      </c>
    </row>
    <row r="470" spans="1:3" x14ac:dyDescent="0.25">
      <c r="A470" t="s">
        <v>47</v>
      </c>
      <c r="B470" s="1" t="s">
        <v>12</v>
      </c>
      <c r="C470">
        <v>8.8193261819905544</v>
      </c>
    </row>
    <row r="471" spans="1:3" x14ac:dyDescent="0.25">
      <c r="A471" t="s">
        <v>47</v>
      </c>
      <c r="B471" s="1" t="s">
        <v>13</v>
      </c>
      <c r="C471">
        <v>-11.90402436820775</v>
      </c>
    </row>
    <row r="472" spans="1:3" x14ac:dyDescent="0.25">
      <c r="A472" t="s">
        <v>47</v>
      </c>
      <c r="B472" s="1" t="s">
        <v>14</v>
      </c>
      <c r="C472">
        <v>126.68595707274193</v>
      </c>
    </row>
    <row r="473" spans="1:3" x14ac:dyDescent="0.25">
      <c r="A473" t="s">
        <v>47</v>
      </c>
      <c r="B473" s="1" t="s">
        <v>15</v>
      </c>
      <c r="C473">
        <v>46.705272920578189</v>
      </c>
    </row>
    <row r="474" spans="1:3" x14ac:dyDescent="0.25">
      <c r="A474" t="s">
        <v>47</v>
      </c>
      <c r="B474" s="1" t="s">
        <v>16</v>
      </c>
      <c r="C474">
        <v>42.300728229121241</v>
      </c>
    </row>
    <row r="475" spans="1:3" x14ac:dyDescent="0.25">
      <c r="A475" t="s">
        <v>47</v>
      </c>
      <c r="B475" s="1" t="s">
        <v>17</v>
      </c>
      <c r="C475">
        <v>68.039237539743723</v>
      </c>
    </row>
    <row r="476" spans="1:3" x14ac:dyDescent="0.25">
      <c r="A476" t="s">
        <v>47</v>
      </c>
      <c r="B476" s="1" t="s">
        <v>18</v>
      </c>
      <c r="C476">
        <v>71.673942501407112</v>
      </c>
    </row>
    <row r="477" spans="1:3" x14ac:dyDescent="0.25">
      <c r="A477" t="s">
        <v>47</v>
      </c>
      <c r="B477" s="1" t="s">
        <v>19</v>
      </c>
      <c r="C477">
        <v>-10.896436153644107</v>
      </c>
    </row>
    <row r="478" spans="1:3" x14ac:dyDescent="0.25">
      <c r="A478" t="s">
        <v>47</v>
      </c>
      <c r="B478" s="1" t="s">
        <v>20</v>
      </c>
      <c r="C478">
        <v>85.017438494041585</v>
      </c>
    </row>
    <row r="479" spans="1:3" x14ac:dyDescent="0.25">
      <c r="A479" t="s">
        <v>47</v>
      </c>
      <c r="B479" s="1" t="s">
        <v>21</v>
      </c>
      <c r="C479">
        <v>18.103848963059693</v>
      </c>
    </row>
    <row r="480" spans="1:3" x14ac:dyDescent="0.25">
      <c r="A480" t="s">
        <v>47</v>
      </c>
      <c r="B480" s="1" t="s">
        <v>22</v>
      </c>
      <c r="C480">
        <v>12.388570086817911</v>
      </c>
    </row>
    <row r="481" spans="1:3" x14ac:dyDescent="0.25">
      <c r="A481" t="s">
        <v>47</v>
      </c>
      <c r="B481" s="1" t="s">
        <v>23</v>
      </c>
      <c r="C481">
        <v>15.594728833862387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3D6-A7E6-47DE-A924-DA00EA0FEF01}">
  <dimension ref="A1:C481"/>
  <sheetViews>
    <sheetView workbookViewId="0">
      <selection activeCell="C4" sqref="C4"/>
    </sheetView>
  </sheetViews>
  <sheetFormatPr defaultRowHeight="15" x14ac:dyDescent="0.25"/>
  <cols>
    <col min="3" max="3" width="15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24</v>
      </c>
      <c r="B2" s="1" t="s">
        <v>4</v>
      </c>
      <c r="C2" s="2">
        <v>724495578</v>
      </c>
    </row>
    <row r="3" spans="1:3" x14ac:dyDescent="0.25">
      <c r="A3" t="s">
        <v>24</v>
      </c>
      <c r="B3" s="1" t="s">
        <v>5</v>
      </c>
      <c r="C3" s="2">
        <v>758966857</v>
      </c>
    </row>
    <row r="4" spans="1:3" x14ac:dyDescent="0.25">
      <c r="A4" t="s">
        <v>24</v>
      </c>
      <c r="B4" s="1" t="s">
        <v>6</v>
      </c>
      <c r="C4" s="2">
        <v>772744690</v>
      </c>
    </row>
    <row r="5" spans="1:3" x14ac:dyDescent="0.25">
      <c r="A5" t="s">
        <v>24</v>
      </c>
      <c r="B5" s="1" t="s">
        <v>7</v>
      </c>
      <c r="C5" s="2">
        <v>804356813</v>
      </c>
    </row>
    <row r="6" spans="1:3" x14ac:dyDescent="0.25">
      <c r="A6" t="s">
        <v>24</v>
      </c>
      <c r="B6" s="1" t="s">
        <v>8</v>
      </c>
      <c r="C6" s="2">
        <v>814573961</v>
      </c>
    </row>
    <row r="7" spans="1:3" x14ac:dyDescent="0.25">
      <c r="A7" t="s">
        <v>24</v>
      </c>
      <c r="B7" s="1" t="s">
        <v>9</v>
      </c>
      <c r="C7" s="2">
        <v>844555967</v>
      </c>
    </row>
    <row r="8" spans="1:3" x14ac:dyDescent="0.25">
      <c r="A8" t="s">
        <v>24</v>
      </c>
      <c r="B8" s="1" t="s">
        <v>10</v>
      </c>
      <c r="C8" s="2">
        <v>857284886</v>
      </c>
    </row>
    <row r="9" spans="1:3" x14ac:dyDescent="0.25">
      <c r="A9" t="s">
        <v>24</v>
      </c>
      <c r="B9" s="1" t="s">
        <v>11</v>
      </c>
      <c r="C9" s="2">
        <v>859570854</v>
      </c>
    </row>
    <row r="10" spans="1:3" x14ac:dyDescent="0.25">
      <c r="A10" t="s">
        <v>24</v>
      </c>
      <c r="B10" s="1" t="s">
        <v>12</v>
      </c>
      <c r="C10" s="2">
        <v>884269043</v>
      </c>
    </row>
    <row r="11" spans="1:3" x14ac:dyDescent="0.25">
      <c r="A11" t="s">
        <v>24</v>
      </c>
      <c r="B11" s="1" t="s">
        <v>13</v>
      </c>
      <c r="C11" s="2">
        <v>869055785</v>
      </c>
    </row>
    <row r="12" spans="1:3" x14ac:dyDescent="0.25">
      <c r="A12" t="s">
        <v>24</v>
      </c>
      <c r="B12" s="1" t="s">
        <v>14</v>
      </c>
      <c r="C12" s="2">
        <v>877560684</v>
      </c>
    </row>
    <row r="13" spans="1:3" x14ac:dyDescent="0.25">
      <c r="A13" t="s">
        <v>24</v>
      </c>
      <c r="B13" s="1" t="s">
        <v>15</v>
      </c>
      <c r="C13" s="2">
        <v>880685363</v>
      </c>
    </row>
    <row r="14" spans="1:3" x14ac:dyDescent="0.25">
      <c r="A14" t="s">
        <v>24</v>
      </c>
      <c r="B14" s="1" t="s">
        <v>16</v>
      </c>
      <c r="C14" s="2">
        <v>896526155</v>
      </c>
    </row>
    <row r="15" spans="1:3" x14ac:dyDescent="0.25">
      <c r="A15" t="s">
        <v>24</v>
      </c>
      <c r="B15" s="1" t="s">
        <v>17</v>
      </c>
      <c r="C15" s="2">
        <v>912082842</v>
      </c>
    </row>
    <row r="16" spans="1:3" x14ac:dyDescent="0.25">
      <c r="A16" t="s">
        <v>24</v>
      </c>
      <c r="B16" s="1" t="s">
        <v>18</v>
      </c>
      <c r="C16" s="2">
        <v>931051034</v>
      </c>
    </row>
    <row r="17" spans="1:3" x14ac:dyDescent="0.25">
      <c r="A17" t="s">
        <v>24</v>
      </c>
      <c r="B17" s="1" t="s">
        <v>19</v>
      </c>
      <c r="C17" s="2">
        <v>943702693</v>
      </c>
    </row>
    <row r="18" spans="1:3" x14ac:dyDescent="0.25">
      <c r="A18" t="s">
        <v>24</v>
      </c>
      <c r="B18" s="1" t="s">
        <v>20</v>
      </c>
      <c r="C18" s="2">
        <v>974801659</v>
      </c>
    </row>
    <row r="19" spans="1:3" x14ac:dyDescent="0.25">
      <c r="A19" t="s">
        <v>24</v>
      </c>
      <c r="B19" s="1" t="s">
        <v>21</v>
      </c>
      <c r="C19" s="2">
        <v>1003615576</v>
      </c>
    </row>
    <row r="20" spans="1:3" x14ac:dyDescent="0.25">
      <c r="A20" t="s">
        <v>24</v>
      </c>
      <c r="B20" s="1" t="s">
        <v>22</v>
      </c>
      <c r="C20" s="2">
        <v>1007118308</v>
      </c>
    </row>
    <row r="21" spans="1:3" x14ac:dyDescent="0.25">
      <c r="A21" t="s">
        <v>24</v>
      </c>
      <c r="B21" s="1" t="s">
        <v>23</v>
      </c>
      <c r="C21" s="2">
        <v>1029802549</v>
      </c>
    </row>
    <row r="22" spans="1:3" x14ac:dyDescent="0.25">
      <c r="A22" t="s">
        <v>25</v>
      </c>
      <c r="B22" s="1" t="s">
        <v>4</v>
      </c>
      <c r="C22" s="2">
        <v>614632699</v>
      </c>
    </row>
    <row r="23" spans="1:3" x14ac:dyDescent="0.25">
      <c r="A23" t="s">
        <v>25</v>
      </c>
      <c r="B23" s="1" t="s">
        <v>5</v>
      </c>
      <c r="C23" s="2">
        <v>671171582</v>
      </c>
    </row>
    <row r="24" spans="1:3" x14ac:dyDescent="0.25">
      <c r="A24" t="s">
        <v>25</v>
      </c>
      <c r="B24" s="1" t="s">
        <v>6</v>
      </c>
      <c r="C24" s="2">
        <v>684657415</v>
      </c>
    </row>
    <row r="25" spans="1:3" x14ac:dyDescent="0.25">
      <c r="A25" t="s">
        <v>25</v>
      </c>
      <c r="B25" s="1" t="s">
        <v>7</v>
      </c>
      <c r="C25" s="2">
        <v>718966846</v>
      </c>
    </row>
    <row r="26" spans="1:3" x14ac:dyDescent="0.25">
      <c r="A26" t="s">
        <v>25</v>
      </c>
      <c r="B26" s="1" t="s">
        <v>8</v>
      </c>
      <c r="C26" s="2">
        <v>684530093</v>
      </c>
    </row>
    <row r="27" spans="1:3" x14ac:dyDescent="0.25">
      <c r="A27" t="s">
        <v>25</v>
      </c>
      <c r="B27" s="1" t="s">
        <v>9</v>
      </c>
      <c r="C27" s="2">
        <v>725293118</v>
      </c>
    </row>
    <row r="28" spans="1:3" x14ac:dyDescent="0.25">
      <c r="A28" t="s">
        <v>25</v>
      </c>
      <c r="B28" s="1" t="s">
        <v>10</v>
      </c>
      <c r="C28" s="2">
        <v>728122173</v>
      </c>
    </row>
    <row r="29" spans="1:3" x14ac:dyDescent="0.25">
      <c r="A29" t="s">
        <v>25</v>
      </c>
      <c r="B29" s="1" t="s">
        <v>11</v>
      </c>
      <c r="C29" s="2">
        <v>792351117</v>
      </c>
    </row>
    <row r="30" spans="1:3" x14ac:dyDescent="0.25">
      <c r="A30" t="s">
        <v>25</v>
      </c>
      <c r="B30" s="1" t="s">
        <v>12</v>
      </c>
      <c r="C30" s="2">
        <v>786108510</v>
      </c>
    </row>
    <row r="31" spans="1:3" x14ac:dyDescent="0.25">
      <c r="A31" t="s">
        <v>25</v>
      </c>
      <c r="B31" s="1" t="s">
        <v>13</v>
      </c>
      <c r="C31" s="2">
        <v>754846865</v>
      </c>
    </row>
    <row r="32" spans="1:3" x14ac:dyDescent="0.25">
      <c r="A32" t="s">
        <v>25</v>
      </c>
      <c r="B32" s="1" t="s">
        <v>14</v>
      </c>
      <c r="C32" s="2">
        <v>751156414</v>
      </c>
    </row>
    <row r="33" spans="1:3" x14ac:dyDescent="0.25">
      <c r="A33" t="s">
        <v>25</v>
      </c>
      <c r="B33" s="1" t="s">
        <v>15</v>
      </c>
      <c r="C33" s="2">
        <v>763603416</v>
      </c>
    </row>
    <row r="34" spans="1:3" x14ac:dyDescent="0.25">
      <c r="A34" t="s">
        <v>25</v>
      </c>
      <c r="B34" s="1" t="s">
        <v>16</v>
      </c>
      <c r="C34" s="2">
        <v>778954674</v>
      </c>
    </row>
    <row r="35" spans="1:3" x14ac:dyDescent="0.25">
      <c r="A35" t="s">
        <v>25</v>
      </c>
      <c r="B35" s="1" t="s">
        <v>17</v>
      </c>
      <c r="C35" s="2">
        <v>805204153</v>
      </c>
    </row>
    <row r="36" spans="1:3" x14ac:dyDescent="0.25">
      <c r="A36" t="s">
        <v>25</v>
      </c>
      <c r="B36" s="1" t="s">
        <v>18</v>
      </c>
      <c r="C36" s="2">
        <v>808863845</v>
      </c>
    </row>
    <row r="37" spans="1:3" x14ac:dyDescent="0.25">
      <c r="A37" t="s">
        <v>25</v>
      </c>
      <c r="B37" s="1" t="s">
        <v>19</v>
      </c>
      <c r="C37" s="2">
        <v>828113863</v>
      </c>
    </row>
    <row r="38" spans="1:3" x14ac:dyDescent="0.25">
      <c r="A38" t="s">
        <v>25</v>
      </c>
      <c r="B38" s="1" t="s">
        <v>20</v>
      </c>
      <c r="C38" s="2">
        <v>842354021</v>
      </c>
    </row>
    <row r="39" spans="1:3" x14ac:dyDescent="0.25">
      <c r="A39" t="s">
        <v>25</v>
      </c>
      <c r="B39" s="1" t="s">
        <v>21</v>
      </c>
      <c r="C39" s="2">
        <v>891122770</v>
      </c>
    </row>
    <row r="40" spans="1:3" x14ac:dyDescent="0.25">
      <c r="A40" t="s">
        <v>25</v>
      </c>
      <c r="B40" s="1" t="s">
        <v>22</v>
      </c>
      <c r="C40" s="2">
        <v>907790606</v>
      </c>
    </row>
    <row r="41" spans="1:3" x14ac:dyDescent="0.25">
      <c r="A41" t="s">
        <v>25</v>
      </c>
      <c r="B41" s="1" t="s">
        <v>23</v>
      </c>
      <c r="C41" s="2">
        <v>932639051</v>
      </c>
    </row>
    <row r="42" spans="1:3" x14ac:dyDescent="0.25">
      <c r="A42" t="s">
        <v>26</v>
      </c>
      <c r="B42" s="1" t="s">
        <v>4</v>
      </c>
      <c r="C42" s="2">
        <v>414960819</v>
      </c>
    </row>
    <row r="43" spans="1:3" x14ac:dyDescent="0.25">
      <c r="A43" t="s">
        <v>26</v>
      </c>
      <c r="B43" s="1" t="s">
        <v>5</v>
      </c>
      <c r="C43" s="2">
        <v>431869943</v>
      </c>
    </row>
    <row r="44" spans="1:3" x14ac:dyDescent="0.25">
      <c r="A44" t="s">
        <v>26</v>
      </c>
      <c r="B44" s="1" t="s">
        <v>6</v>
      </c>
      <c r="C44" s="2">
        <v>459289448</v>
      </c>
    </row>
    <row r="45" spans="1:3" x14ac:dyDescent="0.25">
      <c r="A45" t="s">
        <v>26</v>
      </c>
      <c r="B45" s="1" t="s">
        <v>7</v>
      </c>
      <c r="C45" s="2">
        <v>483421821</v>
      </c>
    </row>
    <row r="46" spans="1:3" x14ac:dyDescent="0.25">
      <c r="A46" t="s">
        <v>26</v>
      </c>
      <c r="B46" s="1" t="s">
        <v>8</v>
      </c>
      <c r="C46" s="2">
        <v>490803207</v>
      </c>
    </row>
    <row r="47" spans="1:3" x14ac:dyDescent="0.25">
      <c r="A47" t="s">
        <v>26</v>
      </c>
      <c r="B47" s="1" t="s">
        <v>9</v>
      </c>
      <c r="C47" s="2">
        <v>516388092</v>
      </c>
    </row>
    <row r="48" spans="1:3" x14ac:dyDescent="0.25">
      <c r="A48" t="s">
        <v>26</v>
      </c>
      <c r="B48" s="1" t="s">
        <v>10</v>
      </c>
      <c r="C48" s="2">
        <v>525552922</v>
      </c>
    </row>
    <row r="49" spans="1:3" x14ac:dyDescent="0.25">
      <c r="A49" t="s">
        <v>26</v>
      </c>
      <c r="B49" s="1" t="s">
        <v>11</v>
      </c>
      <c r="C49" s="2">
        <v>522750099</v>
      </c>
    </row>
    <row r="50" spans="1:3" x14ac:dyDescent="0.25">
      <c r="A50" t="s">
        <v>26</v>
      </c>
      <c r="B50" s="1" t="s">
        <v>12</v>
      </c>
      <c r="C50" s="2">
        <v>545693336</v>
      </c>
    </row>
    <row r="51" spans="1:3" x14ac:dyDescent="0.25">
      <c r="A51" t="s">
        <v>26</v>
      </c>
      <c r="B51" s="1" t="s">
        <v>13</v>
      </c>
      <c r="C51" s="2">
        <v>543900121</v>
      </c>
    </row>
    <row r="52" spans="1:3" x14ac:dyDescent="0.25">
      <c r="A52" t="s">
        <v>26</v>
      </c>
      <c r="B52" s="1" t="s">
        <v>14</v>
      </c>
      <c r="C52" s="2">
        <v>548613540</v>
      </c>
    </row>
    <row r="53" spans="1:3" x14ac:dyDescent="0.25">
      <c r="A53" t="s">
        <v>26</v>
      </c>
      <c r="B53" s="1" t="s">
        <v>15</v>
      </c>
      <c r="C53" s="2">
        <v>551786774</v>
      </c>
    </row>
    <row r="54" spans="1:3" x14ac:dyDescent="0.25">
      <c r="A54" t="s">
        <v>26</v>
      </c>
      <c r="B54" s="1" t="s">
        <v>16</v>
      </c>
      <c r="C54" s="2">
        <v>558070101</v>
      </c>
    </row>
    <row r="55" spans="1:3" x14ac:dyDescent="0.25">
      <c r="A55" t="s">
        <v>26</v>
      </c>
      <c r="B55" s="1" t="s">
        <v>17</v>
      </c>
      <c r="C55" s="2">
        <v>568536688</v>
      </c>
    </row>
    <row r="56" spans="1:3" x14ac:dyDescent="0.25">
      <c r="A56" t="s">
        <v>26</v>
      </c>
      <c r="B56" s="1" t="s">
        <v>18</v>
      </c>
      <c r="C56" s="2">
        <v>569568199</v>
      </c>
    </row>
    <row r="57" spans="1:3" x14ac:dyDescent="0.25">
      <c r="A57" t="s">
        <v>26</v>
      </c>
      <c r="B57" s="1" t="s">
        <v>19</v>
      </c>
      <c r="C57" s="2">
        <v>581497289</v>
      </c>
    </row>
    <row r="58" spans="1:3" x14ac:dyDescent="0.25">
      <c r="A58" t="s">
        <v>26</v>
      </c>
      <c r="B58" s="1" t="s">
        <v>20</v>
      </c>
      <c r="C58" s="2">
        <v>590845696</v>
      </c>
    </row>
    <row r="59" spans="1:3" x14ac:dyDescent="0.25">
      <c r="A59" t="s">
        <v>26</v>
      </c>
      <c r="B59" s="1" t="s">
        <v>21</v>
      </c>
      <c r="C59" s="2">
        <v>616605643</v>
      </c>
    </row>
    <row r="60" spans="1:3" x14ac:dyDescent="0.25">
      <c r="A60" t="s">
        <v>26</v>
      </c>
      <c r="B60" s="1" t="s">
        <v>22</v>
      </c>
      <c r="C60" s="2">
        <v>619029583</v>
      </c>
    </row>
    <row r="61" spans="1:3" x14ac:dyDescent="0.25">
      <c r="A61" t="s">
        <v>26</v>
      </c>
      <c r="B61" s="1" t="s">
        <v>23</v>
      </c>
      <c r="C61" s="2">
        <v>642629631</v>
      </c>
    </row>
    <row r="62" spans="1:3" x14ac:dyDescent="0.25">
      <c r="A62" t="s">
        <v>27</v>
      </c>
      <c r="B62" s="1" t="s">
        <v>4</v>
      </c>
      <c r="C62" s="2">
        <v>202503051</v>
      </c>
    </row>
    <row r="63" spans="1:3" x14ac:dyDescent="0.25">
      <c r="A63" t="s">
        <v>27</v>
      </c>
      <c r="B63" s="1" t="s">
        <v>5</v>
      </c>
      <c r="C63" s="2">
        <v>211352662</v>
      </c>
    </row>
    <row r="64" spans="1:3" x14ac:dyDescent="0.25">
      <c r="A64" t="s">
        <v>27</v>
      </c>
      <c r="B64" s="1" t="s">
        <v>6</v>
      </c>
      <c r="C64" s="2">
        <v>220077345</v>
      </c>
    </row>
    <row r="65" spans="1:3" x14ac:dyDescent="0.25">
      <c r="A65" t="s">
        <v>27</v>
      </c>
      <c r="B65" s="1" t="s">
        <v>7</v>
      </c>
      <c r="C65" s="2">
        <v>237757674</v>
      </c>
    </row>
    <row r="66" spans="1:3" x14ac:dyDescent="0.25">
      <c r="A66" t="s">
        <v>27</v>
      </c>
      <c r="B66" s="1" t="s">
        <v>8</v>
      </c>
      <c r="C66" s="2">
        <v>242134710</v>
      </c>
    </row>
    <row r="67" spans="1:3" x14ac:dyDescent="0.25">
      <c r="A67" t="s">
        <v>27</v>
      </c>
      <c r="B67" s="1" t="s">
        <v>9</v>
      </c>
      <c r="C67" s="2">
        <v>251041472</v>
      </c>
    </row>
    <row r="68" spans="1:3" x14ac:dyDescent="0.25">
      <c r="A68" t="s">
        <v>27</v>
      </c>
      <c r="B68" s="1" t="s">
        <v>10</v>
      </c>
      <c r="C68" s="2">
        <v>256933913</v>
      </c>
    </row>
    <row r="69" spans="1:3" x14ac:dyDescent="0.25">
      <c r="A69" t="s">
        <v>27</v>
      </c>
      <c r="B69" s="1" t="s">
        <v>11</v>
      </c>
      <c r="C69" s="2">
        <v>255825159</v>
      </c>
    </row>
    <row r="70" spans="1:3" x14ac:dyDescent="0.25">
      <c r="A70" t="s">
        <v>27</v>
      </c>
      <c r="B70" s="1" t="s">
        <v>12</v>
      </c>
      <c r="C70" s="2">
        <v>253251917</v>
      </c>
    </row>
    <row r="71" spans="1:3" x14ac:dyDescent="0.25">
      <c r="A71" t="s">
        <v>27</v>
      </c>
      <c r="B71" s="1" t="s">
        <v>13</v>
      </c>
      <c r="C71" s="2">
        <v>251836914</v>
      </c>
    </row>
    <row r="72" spans="1:3" x14ac:dyDescent="0.25">
      <c r="A72" t="s">
        <v>27</v>
      </c>
      <c r="B72" s="1" t="s">
        <v>14</v>
      </c>
      <c r="C72" s="2">
        <v>254917931</v>
      </c>
    </row>
    <row r="73" spans="1:3" x14ac:dyDescent="0.25">
      <c r="A73" t="s">
        <v>27</v>
      </c>
      <c r="B73" s="1" t="s">
        <v>15</v>
      </c>
      <c r="C73" s="2">
        <v>260114163</v>
      </c>
    </row>
    <row r="74" spans="1:3" x14ac:dyDescent="0.25">
      <c r="A74" t="s">
        <v>27</v>
      </c>
      <c r="B74" s="1" t="s">
        <v>16</v>
      </c>
      <c r="C74" s="2">
        <v>261339795</v>
      </c>
    </row>
    <row r="75" spans="1:3" x14ac:dyDescent="0.25">
      <c r="A75" t="s">
        <v>27</v>
      </c>
      <c r="B75" s="1" t="s">
        <v>17</v>
      </c>
      <c r="C75" s="2">
        <v>265906880</v>
      </c>
    </row>
    <row r="76" spans="1:3" x14ac:dyDescent="0.25">
      <c r="A76" t="s">
        <v>27</v>
      </c>
      <c r="B76" s="1" t="s">
        <v>18</v>
      </c>
      <c r="C76" s="2">
        <v>270277025</v>
      </c>
    </row>
    <row r="77" spans="1:3" x14ac:dyDescent="0.25">
      <c r="A77" t="s">
        <v>27</v>
      </c>
      <c r="B77" s="1" t="s">
        <v>19</v>
      </c>
      <c r="C77" s="2">
        <v>274835291</v>
      </c>
    </row>
    <row r="78" spans="1:3" x14ac:dyDescent="0.25">
      <c r="A78" t="s">
        <v>27</v>
      </c>
      <c r="B78" s="1" t="s">
        <v>20</v>
      </c>
      <c r="C78" s="2">
        <v>277136834</v>
      </c>
    </row>
    <row r="79" spans="1:3" x14ac:dyDescent="0.25">
      <c r="A79" t="s">
        <v>27</v>
      </c>
      <c r="B79" s="1" t="s">
        <v>21</v>
      </c>
      <c r="C79" s="2">
        <v>286152181</v>
      </c>
    </row>
    <row r="80" spans="1:3" x14ac:dyDescent="0.25">
      <c r="A80" t="s">
        <v>27</v>
      </c>
      <c r="B80" s="1" t="s">
        <v>22</v>
      </c>
      <c r="C80" s="2">
        <v>289693214</v>
      </c>
    </row>
    <row r="81" spans="1:3" x14ac:dyDescent="0.25">
      <c r="A81" t="s">
        <v>27</v>
      </c>
      <c r="B81" s="1" t="s">
        <v>23</v>
      </c>
      <c r="C81" s="2">
        <v>298281704</v>
      </c>
    </row>
    <row r="82" spans="1:3" x14ac:dyDescent="0.25">
      <c r="A82" t="s">
        <v>28</v>
      </c>
      <c r="B82" s="1" t="s">
        <v>4</v>
      </c>
      <c r="C82" s="2">
        <v>99411653</v>
      </c>
    </row>
    <row r="83" spans="1:3" x14ac:dyDescent="0.25">
      <c r="A83" t="s">
        <v>28</v>
      </c>
      <c r="B83" s="1" t="s">
        <v>5</v>
      </c>
      <c r="C83" s="2">
        <v>102777896</v>
      </c>
    </row>
    <row r="84" spans="1:3" x14ac:dyDescent="0.25">
      <c r="A84" t="s">
        <v>28</v>
      </c>
      <c r="B84" s="1" t="s">
        <v>6</v>
      </c>
      <c r="C84" s="2">
        <v>106593467</v>
      </c>
    </row>
    <row r="85" spans="1:3" x14ac:dyDescent="0.25">
      <c r="A85" t="s">
        <v>28</v>
      </c>
      <c r="B85" s="1" t="s">
        <v>7</v>
      </c>
      <c r="C85" s="2">
        <v>106285955</v>
      </c>
    </row>
    <row r="86" spans="1:3" x14ac:dyDescent="0.25">
      <c r="A86" t="s">
        <v>28</v>
      </c>
      <c r="B86" s="1" t="s">
        <v>8</v>
      </c>
      <c r="C86" s="2">
        <v>104261970</v>
      </c>
    </row>
    <row r="87" spans="1:3" x14ac:dyDescent="0.25">
      <c r="A87" t="s">
        <v>28</v>
      </c>
      <c r="B87" s="1" t="s">
        <v>9</v>
      </c>
      <c r="C87" s="2">
        <v>106726622</v>
      </c>
    </row>
    <row r="88" spans="1:3" x14ac:dyDescent="0.25">
      <c r="A88" t="s">
        <v>28</v>
      </c>
      <c r="B88" s="1" t="s">
        <v>10</v>
      </c>
      <c r="C88" s="2">
        <v>107287065</v>
      </c>
    </row>
    <row r="89" spans="1:3" x14ac:dyDescent="0.25">
      <c r="A89" t="s">
        <v>28</v>
      </c>
      <c r="B89" s="1" t="s">
        <v>11</v>
      </c>
      <c r="C89" s="2">
        <v>107871057</v>
      </c>
    </row>
    <row r="90" spans="1:3" x14ac:dyDescent="0.25">
      <c r="A90" t="s">
        <v>28</v>
      </c>
      <c r="B90" s="1" t="s">
        <v>12</v>
      </c>
      <c r="C90" s="2">
        <v>110215382</v>
      </c>
    </row>
    <row r="91" spans="1:3" x14ac:dyDescent="0.25">
      <c r="A91" t="s">
        <v>28</v>
      </c>
      <c r="B91" s="1" t="s">
        <v>13</v>
      </c>
      <c r="C91" s="2">
        <v>103429867</v>
      </c>
    </row>
    <row r="92" spans="1:3" x14ac:dyDescent="0.25">
      <c r="A92" t="s">
        <v>28</v>
      </c>
      <c r="B92" s="1" t="s">
        <v>14</v>
      </c>
      <c r="C92" s="2">
        <v>102685817</v>
      </c>
    </row>
    <row r="93" spans="1:3" x14ac:dyDescent="0.25">
      <c r="A93" t="s">
        <v>28</v>
      </c>
      <c r="B93" s="1" t="s">
        <v>15</v>
      </c>
      <c r="C93" s="2">
        <v>117955677</v>
      </c>
    </row>
    <row r="94" spans="1:3" x14ac:dyDescent="0.25">
      <c r="A94" t="s">
        <v>28</v>
      </c>
      <c r="B94" s="1" t="s">
        <v>16</v>
      </c>
      <c r="C94" s="2">
        <v>117531205</v>
      </c>
    </row>
    <row r="95" spans="1:3" x14ac:dyDescent="0.25">
      <c r="A95" t="s">
        <v>28</v>
      </c>
      <c r="B95" s="1" t="s">
        <v>17</v>
      </c>
      <c r="C95" s="2">
        <v>120645470</v>
      </c>
    </row>
    <row r="96" spans="1:3" x14ac:dyDescent="0.25">
      <c r="A96" t="s">
        <v>28</v>
      </c>
      <c r="B96" s="1" t="s">
        <v>18</v>
      </c>
      <c r="C96" s="2">
        <v>123981977</v>
      </c>
    </row>
    <row r="97" spans="1:3" x14ac:dyDescent="0.25">
      <c r="A97" t="s">
        <v>28</v>
      </c>
      <c r="B97" s="1" t="s">
        <v>19</v>
      </c>
      <c r="C97" s="2">
        <v>125463678</v>
      </c>
    </row>
    <row r="98" spans="1:3" x14ac:dyDescent="0.25">
      <c r="A98" t="s">
        <v>28</v>
      </c>
      <c r="B98" s="1" t="s">
        <v>20</v>
      </c>
      <c r="C98" s="2">
        <v>129485086</v>
      </c>
    </row>
    <row r="99" spans="1:3" x14ac:dyDescent="0.25">
      <c r="A99" t="s">
        <v>28</v>
      </c>
      <c r="B99" s="1" t="s">
        <v>21</v>
      </c>
      <c r="C99" s="2">
        <v>134673292</v>
      </c>
    </row>
    <row r="100" spans="1:3" x14ac:dyDescent="0.25">
      <c r="A100" t="s">
        <v>28</v>
      </c>
      <c r="B100" s="1" t="s">
        <v>22</v>
      </c>
      <c r="C100" s="2">
        <v>135656971</v>
      </c>
    </row>
    <row r="101" spans="1:3" x14ac:dyDescent="0.25">
      <c r="A101" t="s">
        <v>28</v>
      </c>
      <c r="B101" s="1" t="s">
        <v>23</v>
      </c>
      <c r="C101" s="2">
        <v>136323646</v>
      </c>
    </row>
    <row r="102" spans="1:3" x14ac:dyDescent="0.25">
      <c r="A102" t="s">
        <v>29</v>
      </c>
      <c r="B102" s="1" t="s">
        <v>4</v>
      </c>
      <c r="C102" s="2">
        <v>470052360</v>
      </c>
    </row>
    <row r="103" spans="1:3" x14ac:dyDescent="0.25">
      <c r="A103" t="s">
        <v>29</v>
      </c>
      <c r="B103" s="1" t="s">
        <v>5</v>
      </c>
      <c r="C103" s="2">
        <v>494419514</v>
      </c>
    </row>
    <row r="104" spans="1:3" x14ac:dyDescent="0.25">
      <c r="A104" t="s">
        <v>29</v>
      </c>
      <c r="B104" s="1" t="s">
        <v>6</v>
      </c>
      <c r="C104" s="2">
        <v>515563085</v>
      </c>
    </row>
    <row r="105" spans="1:3" x14ac:dyDescent="0.25">
      <c r="A105" t="s">
        <v>29</v>
      </c>
      <c r="B105" s="1" t="s">
        <v>7</v>
      </c>
      <c r="C105" s="2">
        <v>537914433</v>
      </c>
    </row>
    <row r="106" spans="1:3" x14ac:dyDescent="0.25">
      <c r="A106" t="s">
        <v>29</v>
      </c>
      <c r="B106" s="1" t="s">
        <v>8</v>
      </c>
      <c r="C106" s="2">
        <v>532123564</v>
      </c>
    </row>
    <row r="107" spans="1:3" x14ac:dyDescent="0.25">
      <c r="A107" t="s">
        <v>29</v>
      </c>
      <c r="B107" s="1" t="s">
        <v>9</v>
      </c>
      <c r="C107" s="2">
        <v>551677550</v>
      </c>
    </row>
    <row r="108" spans="1:3" x14ac:dyDescent="0.25">
      <c r="A108" t="s">
        <v>29</v>
      </c>
      <c r="B108" s="1" t="s">
        <v>10</v>
      </c>
      <c r="C108" s="2">
        <v>570625590</v>
      </c>
    </row>
    <row r="109" spans="1:3" x14ac:dyDescent="0.25">
      <c r="A109" t="s">
        <v>29</v>
      </c>
      <c r="B109" s="1" t="s">
        <v>11</v>
      </c>
      <c r="C109" s="2">
        <v>588250950</v>
      </c>
    </row>
    <row r="110" spans="1:3" x14ac:dyDescent="0.25">
      <c r="A110" t="s">
        <v>29</v>
      </c>
      <c r="B110" s="1" t="s">
        <v>12</v>
      </c>
      <c r="C110" s="2">
        <v>597728368</v>
      </c>
    </row>
    <row r="111" spans="1:3" x14ac:dyDescent="0.25">
      <c r="A111" t="s">
        <v>29</v>
      </c>
      <c r="B111" s="1" t="s">
        <v>13</v>
      </c>
      <c r="C111" s="2">
        <v>582184109</v>
      </c>
    </row>
    <row r="112" spans="1:3" x14ac:dyDescent="0.25">
      <c r="A112" t="s">
        <v>29</v>
      </c>
      <c r="B112" s="1" t="s">
        <v>14</v>
      </c>
      <c r="C112" s="2">
        <v>569164386</v>
      </c>
    </row>
    <row r="113" spans="1:3" x14ac:dyDescent="0.25">
      <c r="A113" t="s">
        <v>29</v>
      </c>
      <c r="B113" s="1" t="s">
        <v>15</v>
      </c>
      <c r="C113" s="2">
        <v>575648735</v>
      </c>
    </row>
    <row r="114" spans="1:3" x14ac:dyDescent="0.25">
      <c r="A114" t="s">
        <v>29</v>
      </c>
      <c r="B114" s="1" t="s">
        <v>16</v>
      </c>
      <c r="C114" s="2">
        <v>573933771</v>
      </c>
    </row>
    <row r="115" spans="1:3" x14ac:dyDescent="0.25">
      <c r="A115" t="s">
        <v>29</v>
      </c>
      <c r="B115" s="1" t="s">
        <v>17</v>
      </c>
      <c r="C115" s="2">
        <v>579912255</v>
      </c>
    </row>
    <row r="116" spans="1:3" x14ac:dyDescent="0.25">
      <c r="A116" t="s">
        <v>29</v>
      </c>
      <c r="B116" s="1" t="s">
        <v>18</v>
      </c>
      <c r="C116" s="2">
        <v>591363643</v>
      </c>
    </row>
    <row r="117" spans="1:3" x14ac:dyDescent="0.25">
      <c r="A117" t="s">
        <v>29</v>
      </c>
      <c r="B117" s="1" t="s">
        <v>19</v>
      </c>
      <c r="C117" s="2">
        <v>620640134</v>
      </c>
    </row>
    <row r="118" spans="1:3" x14ac:dyDescent="0.25">
      <c r="A118" t="s">
        <v>29</v>
      </c>
      <c r="B118" s="1" t="s">
        <v>20</v>
      </c>
      <c r="C118" s="2">
        <v>619851707</v>
      </c>
    </row>
    <row r="119" spans="1:3" x14ac:dyDescent="0.25">
      <c r="A119" t="s">
        <v>29</v>
      </c>
      <c r="B119" s="1" t="s">
        <v>21</v>
      </c>
      <c r="C119" s="2">
        <v>656872451</v>
      </c>
    </row>
    <row r="120" spans="1:3" x14ac:dyDescent="0.25">
      <c r="A120" t="s">
        <v>29</v>
      </c>
      <c r="B120" s="1" t="s">
        <v>22</v>
      </c>
      <c r="C120" s="2">
        <v>662674349</v>
      </c>
    </row>
    <row r="121" spans="1:3" x14ac:dyDescent="0.25">
      <c r="A121" t="s">
        <v>29</v>
      </c>
      <c r="B121" s="1" t="s">
        <v>23</v>
      </c>
      <c r="C121" s="2">
        <v>691141340</v>
      </c>
    </row>
    <row r="122" spans="1:3" x14ac:dyDescent="0.25">
      <c r="A122" t="s">
        <v>30</v>
      </c>
      <c r="B122" s="1" t="s">
        <v>4</v>
      </c>
      <c r="C122" s="2">
        <v>107539050</v>
      </c>
    </row>
    <row r="123" spans="1:3" x14ac:dyDescent="0.25">
      <c r="A123" t="s">
        <v>30</v>
      </c>
      <c r="B123" s="1" t="s">
        <v>5</v>
      </c>
      <c r="C123" s="2">
        <v>111298493</v>
      </c>
    </row>
    <row r="124" spans="1:3" x14ac:dyDescent="0.25">
      <c r="A124" t="s">
        <v>30</v>
      </c>
      <c r="B124" s="1" t="s">
        <v>6</v>
      </c>
      <c r="C124" s="2">
        <v>184056660</v>
      </c>
    </row>
    <row r="125" spans="1:3" x14ac:dyDescent="0.25">
      <c r="A125" t="s">
        <v>30</v>
      </c>
      <c r="B125" s="1" t="s">
        <v>7</v>
      </c>
      <c r="C125" s="2">
        <v>118938088</v>
      </c>
    </row>
    <row r="126" spans="1:3" x14ac:dyDescent="0.25">
      <c r="A126" t="s">
        <v>30</v>
      </c>
      <c r="B126" s="1" t="s">
        <v>8</v>
      </c>
      <c r="C126" s="2">
        <v>121382357</v>
      </c>
    </row>
    <row r="127" spans="1:3" x14ac:dyDescent="0.25">
      <c r="A127" t="s">
        <v>30</v>
      </c>
      <c r="B127" s="1" t="s">
        <v>9</v>
      </c>
      <c r="C127" s="2">
        <v>121035591</v>
      </c>
    </row>
    <row r="128" spans="1:3" x14ac:dyDescent="0.25">
      <c r="A128" t="s">
        <v>30</v>
      </c>
      <c r="B128" s="1" t="s">
        <v>10</v>
      </c>
      <c r="C128" s="2">
        <v>115726478</v>
      </c>
    </row>
    <row r="129" spans="1:3" x14ac:dyDescent="0.25">
      <c r="A129" t="s">
        <v>30</v>
      </c>
      <c r="B129" s="1" t="s">
        <v>11</v>
      </c>
      <c r="C129" s="2">
        <v>108246585</v>
      </c>
    </row>
    <row r="130" spans="1:3" x14ac:dyDescent="0.25">
      <c r="A130" t="s">
        <v>30</v>
      </c>
      <c r="B130" s="1" t="s">
        <v>12</v>
      </c>
      <c r="C130" s="2">
        <v>109100984</v>
      </c>
    </row>
    <row r="131" spans="1:3" x14ac:dyDescent="0.25">
      <c r="A131" t="s">
        <v>30</v>
      </c>
      <c r="B131" s="1" t="s">
        <v>13</v>
      </c>
      <c r="C131" s="2">
        <v>103208523</v>
      </c>
    </row>
    <row r="132" spans="1:3" x14ac:dyDescent="0.25">
      <c r="A132" t="s">
        <v>30</v>
      </c>
      <c r="B132" s="1" t="s">
        <v>14</v>
      </c>
      <c r="C132" s="2">
        <v>97827874</v>
      </c>
    </row>
    <row r="133" spans="1:3" x14ac:dyDescent="0.25">
      <c r="A133" t="s">
        <v>30</v>
      </c>
      <c r="B133" s="1" t="s">
        <v>15</v>
      </c>
      <c r="C133" s="2">
        <v>94381957</v>
      </c>
    </row>
    <row r="134" spans="1:3" x14ac:dyDescent="0.25">
      <c r="A134" t="s">
        <v>30</v>
      </c>
      <c r="B134" s="1" t="s">
        <v>16</v>
      </c>
      <c r="C134" s="2">
        <v>92178499</v>
      </c>
    </row>
    <row r="135" spans="1:3" x14ac:dyDescent="0.25">
      <c r="A135" t="s">
        <v>30</v>
      </c>
      <c r="B135" s="1" t="s">
        <v>17</v>
      </c>
      <c r="C135" s="2">
        <v>89033010</v>
      </c>
    </row>
    <row r="136" spans="1:3" x14ac:dyDescent="0.25">
      <c r="A136" t="s">
        <v>30</v>
      </c>
      <c r="B136" s="1" t="s">
        <v>18</v>
      </c>
      <c r="C136" s="2">
        <v>88781717</v>
      </c>
    </row>
    <row r="137" spans="1:3" x14ac:dyDescent="0.25">
      <c r="A137" t="s">
        <v>30</v>
      </c>
      <c r="B137" s="1" t="s">
        <v>19</v>
      </c>
      <c r="C137" s="2">
        <v>90708235</v>
      </c>
    </row>
    <row r="138" spans="1:3" x14ac:dyDescent="0.25">
      <c r="A138" t="s">
        <v>30</v>
      </c>
      <c r="B138" s="1" t="s">
        <v>20</v>
      </c>
      <c r="C138" s="2">
        <v>89193327</v>
      </c>
    </row>
    <row r="139" spans="1:3" x14ac:dyDescent="0.25">
      <c r="A139" t="s">
        <v>30</v>
      </c>
      <c r="B139" s="1" t="s">
        <v>21</v>
      </c>
      <c r="C139" s="2">
        <v>96509030</v>
      </c>
    </row>
    <row r="140" spans="1:3" x14ac:dyDescent="0.25">
      <c r="A140" t="s">
        <v>30</v>
      </c>
      <c r="B140" s="1" t="s">
        <v>22</v>
      </c>
      <c r="C140" s="2">
        <v>100914804</v>
      </c>
    </row>
    <row r="141" spans="1:3" x14ac:dyDescent="0.25">
      <c r="A141" t="s">
        <v>30</v>
      </c>
      <c r="B141" s="1" t="s">
        <v>23</v>
      </c>
      <c r="C141" s="2">
        <v>95958897</v>
      </c>
    </row>
    <row r="142" spans="1:3" x14ac:dyDescent="0.25">
      <c r="A142" t="s">
        <v>31</v>
      </c>
      <c r="B142" s="1" t="s">
        <v>4</v>
      </c>
      <c r="C142" s="2">
        <v>127843341</v>
      </c>
    </row>
    <row r="143" spans="1:3" x14ac:dyDescent="0.25">
      <c r="A143" t="s">
        <v>31</v>
      </c>
      <c r="B143" s="1" t="s">
        <v>5</v>
      </c>
      <c r="C143" s="2">
        <v>133839523</v>
      </c>
    </row>
    <row r="144" spans="1:3" x14ac:dyDescent="0.25">
      <c r="A144" t="s">
        <v>31</v>
      </c>
      <c r="B144" s="1" t="s">
        <v>6</v>
      </c>
      <c r="C144" s="2">
        <v>132648354</v>
      </c>
    </row>
    <row r="145" spans="1:3" x14ac:dyDescent="0.25">
      <c r="A145" t="s">
        <v>31</v>
      </c>
      <c r="B145" s="1" t="s">
        <v>7</v>
      </c>
      <c r="C145" s="2">
        <v>136248157</v>
      </c>
    </row>
    <row r="146" spans="1:3" x14ac:dyDescent="0.25">
      <c r="A146" t="s">
        <v>31</v>
      </c>
      <c r="B146" s="1" t="s">
        <v>8</v>
      </c>
      <c r="C146" s="2">
        <v>137075803</v>
      </c>
    </row>
    <row r="147" spans="1:3" x14ac:dyDescent="0.25">
      <c r="A147" t="s">
        <v>31</v>
      </c>
      <c r="B147" s="1" t="s">
        <v>9</v>
      </c>
      <c r="C147" s="2">
        <v>136104941</v>
      </c>
    </row>
    <row r="148" spans="1:3" x14ac:dyDescent="0.25">
      <c r="A148" t="s">
        <v>31</v>
      </c>
      <c r="B148" s="1" t="s">
        <v>10</v>
      </c>
      <c r="C148" s="2">
        <v>135545876</v>
      </c>
    </row>
    <row r="149" spans="1:3" x14ac:dyDescent="0.25">
      <c r="A149" t="s">
        <v>31</v>
      </c>
      <c r="B149" s="1" t="s">
        <v>11</v>
      </c>
      <c r="C149" s="2">
        <v>132491854</v>
      </c>
    </row>
    <row r="150" spans="1:3" x14ac:dyDescent="0.25">
      <c r="A150" t="s">
        <v>31</v>
      </c>
      <c r="B150" s="1" t="s">
        <v>12</v>
      </c>
      <c r="C150" s="2">
        <v>131705526</v>
      </c>
    </row>
    <row r="151" spans="1:3" x14ac:dyDescent="0.25">
      <c r="A151" t="s">
        <v>31</v>
      </c>
      <c r="B151" s="1" t="s">
        <v>13</v>
      </c>
      <c r="C151" s="2">
        <v>121709076</v>
      </c>
    </row>
    <row r="152" spans="1:3" x14ac:dyDescent="0.25">
      <c r="A152" t="s">
        <v>31</v>
      </c>
      <c r="B152" s="1" t="s">
        <v>14</v>
      </c>
      <c r="C152" s="2">
        <v>116775318</v>
      </c>
    </row>
    <row r="153" spans="1:3" x14ac:dyDescent="0.25">
      <c r="A153" t="s">
        <v>31</v>
      </c>
      <c r="B153" s="1" t="s">
        <v>15</v>
      </c>
      <c r="C153" s="2">
        <v>113587709</v>
      </c>
    </row>
    <row r="154" spans="1:3" x14ac:dyDescent="0.25">
      <c r="A154" t="s">
        <v>31</v>
      </c>
      <c r="B154" s="1" t="s">
        <v>16</v>
      </c>
      <c r="C154" s="2">
        <v>112469011</v>
      </c>
    </row>
    <row r="155" spans="1:3" x14ac:dyDescent="0.25">
      <c r="A155" t="s">
        <v>31</v>
      </c>
      <c r="B155" s="1" t="s">
        <v>17</v>
      </c>
      <c r="C155" s="2">
        <v>110891662</v>
      </c>
    </row>
    <row r="156" spans="1:3" x14ac:dyDescent="0.25">
      <c r="A156" t="s">
        <v>31</v>
      </c>
      <c r="B156" s="1" t="s">
        <v>18</v>
      </c>
      <c r="C156" s="2">
        <v>109449083</v>
      </c>
    </row>
    <row r="157" spans="1:3" x14ac:dyDescent="0.25">
      <c r="A157" t="s">
        <v>31</v>
      </c>
      <c r="B157" s="1" t="s">
        <v>19</v>
      </c>
      <c r="C157" s="2">
        <v>111281807</v>
      </c>
    </row>
    <row r="158" spans="1:3" x14ac:dyDescent="0.25">
      <c r="A158" t="s">
        <v>31</v>
      </c>
      <c r="B158" s="1" t="s">
        <v>20</v>
      </c>
      <c r="C158" s="2">
        <v>109717554</v>
      </c>
    </row>
    <row r="159" spans="1:3" x14ac:dyDescent="0.25">
      <c r="A159" t="s">
        <v>31</v>
      </c>
      <c r="B159" s="1" t="s">
        <v>21</v>
      </c>
      <c r="C159" s="2">
        <v>116426349</v>
      </c>
    </row>
    <row r="160" spans="1:3" x14ac:dyDescent="0.25">
      <c r="A160" t="s">
        <v>31</v>
      </c>
      <c r="B160" s="1" t="s">
        <v>22</v>
      </c>
      <c r="C160" s="2">
        <v>114731259</v>
      </c>
    </row>
    <row r="161" spans="1:3" x14ac:dyDescent="0.25">
      <c r="A161" t="s">
        <v>31</v>
      </c>
      <c r="B161" s="1" t="s">
        <v>23</v>
      </c>
      <c r="C161" s="2">
        <v>120287068</v>
      </c>
    </row>
    <row r="162" spans="1:3" x14ac:dyDescent="0.25">
      <c r="A162" t="s">
        <v>32</v>
      </c>
      <c r="B162" s="1" t="s">
        <v>4</v>
      </c>
      <c r="C162" s="2">
        <v>176642758</v>
      </c>
    </row>
    <row r="163" spans="1:3" x14ac:dyDescent="0.25">
      <c r="A163" t="s">
        <v>32</v>
      </c>
      <c r="B163" s="1" t="s">
        <v>5</v>
      </c>
      <c r="C163" s="2">
        <v>183661279</v>
      </c>
    </row>
    <row r="164" spans="1:3" x14ac:dyDescent="0.25">
      <c r="A164" t="s">
        <v>32</v>
      </c>
      <c r="B164" s="1" t="s">
        <v>6</v>
      </c>
      <c r="C164" s="2">
        <v>180856764</v>
      </c>
    </row>
    <row r="165" spans="1:3" x14ac:dyDescent="0.25">
      <c r="A165" t="s">
        <v>32</v>
      </c>
      <c r="B165" s="1" t="s">
        <v>7</v>
      </c>
      <c r="C165" s="2">
        <v>186513788</v>
      </c>
    </row>
    <row r="166" spans="1:3" x14ac:dyDescent="0.25">
      <c r="A166" t="s">
        <v>32</v>
      </c>
      <c r="B166" s="1" t="s">
        <v>8</v>
      </c>
      <c r="C166" s="2">
        <v>185935010</v>
      </c>
    </row>
    <row r="167" spans="1:3" x14ac:dyDescent="0.25">
      <c r="A167" t="s">
        <v>32</v>
      </c>
      <c r="B167" s="1" t="s">
        <v>9</v>
      </c>
      <c r="C167" s="2">
        <v>188247439</v>
      </c>
    </row>
    <row r="168" spans="1:3" x14ac:dyDescent="0.25">
      <c r="A168" t="s">
        <v>32</v>
      </c>
      <c r="B168" s="1" t="s">
        <v>10</v>
      </c>
      <c r="C168" s="2">
        <v>188950045</v>
      </c>
    </row>
    <row r="169" spans="1:3" x14ac:dyDescent="0.25">
      <c r="A169" t="s">
        <v>32</v>
      </c>
      <c r="B169" s="1" t="s">
        <v>11</v>
      </c>
      <c r="C169" s="2">
        <v>191451100</v>
      </c>
    </row>
    <row r="170" spans="1:3" x14ac:dyDescent="0.25">
      <c r="A170" t="s">
        <v>32</v>
      </c>
      <c r="B170" s="1" t="s">
        <v>12</v>
      </c>
      <c r="C170" s="2">
        <v>191314879</v>
      </c>
    </row>
    <row r="171" spans="1:3" x14ac:dyDescent="0.25">
      <c r="A171" t="s">
        <v>32</v>
      </c>
      <c r="B171" s="1" t="s">
        <v>13</v>
      </c>
      <c r="C171" s="2">
        <v>183036862</v>
      </c>
    </row>
    <row r="172" spans="1:3" x14ac:dyDescent="0.25">
      <c r="A172" t="s">
        <v>32</v>
      </c>
      <c r="B172" s="1" t="s">
        <v>14</v>
      </c>
      <c r="C172" s="2">
        <v>177812233</v>
      </c>
    </row>
    <row r="173" spans="1:3" x14ac:dyDescent="0.25">
      <c r="A173" t="s">
        <v>32</v>
      </c>
      <c r="B173" s="1" t="s">
        <v>15</v>
      </c>
      <c r="C173" s="2">
        <v>171935239</v>
      </c>
    </row>
    <row r="174" spans="1:3" x14ac:dyDescent="0.25">
      <c r="A174" t="s">
        <v>32</v>
      </c>
      <c r="B174" s="1" t="s">
        <v>16</v>
      </c>
      <c r="C174" s="2">
        <v>170353995</v>
      </c>
    </row>
    <row r="175" spans="1:3" x14ac:dyDescent="0.25">
      <c r="A175" t="s">
        <v>32</v>
      </c>
      <c r="B175" s="1" t="s">
        <v>17</v>
      </c>
      <c r="C175" s="2">
        <v>170189837</v>
      </c>
    </row>
    <row r="176" spans="1:3" x14ac:dyDescent="0.25">
      <c r="A176" t="s">
        <v>32</v>
      </c>
      <c r="B176" s="1" t="s">
        <v>18</v>
      </c>
      <c r="C176" s="2">
        <v>173780448</v>
      </c>
    </row>
    <row r="177" spans="1:3" x14ac:dyDescent="0.25">
      <c r="A177" t="s">
        <v>32</v>
      </c>
      <c r="B177" s="1" t="s">
        <v>19</v>
      </c>
      <c r="C177" s="2">
        <v>178056198</v>
      </c>
    </row>
    <row r="178" spans="1:3" x14ac:dyDescent="0.25">
      <c r="A178" t="s">
        <v>32</v>
      </c>
      <c r="B178" s="1" t="s">
        <v>20</v>
      </c>
      <c r="C178" s="2">
        <v>178258238</v>
      </c>
    </row>
    <row r="179" spans="1:3" x14ac:dyDescent="0.25">
      <c r="A179" t="s">
        <v>32</v>
      </c>
      <c r="B179" s="1" t="s">
        <v>21</v>
      </c>
      <c r="C179" s="2">
        <v>184713731</v>
      </c>
    </row>
    <row r="180" spans="1:3" x14ac:dyDescent="0.25">
      <c r="A180" t="s">
        <v>32</v>
      </c>
      <c r="B180" s="1" t="s">
        <v>22</v>
      </c>
      <c r="C180" s="2">
        <v>189579296</v>
      </c>
    </row>
    <row r="181" spans="1:3" x14ac:dyDescent="0.25">
      <c r="A181" t="s">
        <v>32</v>
      </c>
      <c r="B181" s="1" t="s">
        <v>23</v>
      </c>
      <c r="C181" s="2">
        <v>191347651</v>
      </c>
    </row>
    <row r="182" spans="1:3" x14ac:dyDescent="0.25">
      <c r="A182" t="s">
        <v>33</v>
      </c>
      <c r="B182" s="1" t="s">
        <v>4</v>
      </c>
      <c r="C182" s="2">
        <v>71007594</v>
      </c>
    </row>
    <row r="183" spans="1:3" x14ac:dyDescent="0.25">
      <c r="A183" t="s">
        <v>33</v>
      </c>
      <c r="B183" s="1" t="s">
        <v>5</v>
      </c>
      <c r="C183" s="2">
        <v>71890852</v>
      </c>
    </row>
    <row r="184" spans="1:3" x14ac:dyDescent="0.25">
      <c r="A184" t="s">
        <v>33</v>
      </c>
      <c r="B184" s="1" t="s">
        <v>6</v>
      </c>
      <c r="C184" s="2">
        <v>74216000</v>
      </c>
    </row>
    <row r="185" spans="1:3" x14ac:dyDescent="0.25">
      <c r="A185" t="s">
        <v>33</v>
      </c>
      <c r="B185" s="1" t="s">
        <v>7</v>
      </c>
      <c r="C185" s="2">
        <v>74991717</v>
      </c>
    </row>
    <row r="186" spans="1:3" x14ac:dyDescent="0.25">
      <c r="A186" t="s">
        <v>33</v>
      </c>
      <c r="B186" s="1" t="s">
        <v>8</v>
      </c>
      <c r="C186" s="2">
        <v>75410928</v>
      </c>
    </row>
    <row r="187" spans="1:3" x14ac:dyDescent="0.25">
      <c r="A187" t="s">
        <v>33</v>
      </c>
      <c r="B187" s="1" t="s">
        <v>9</v>
      </c>
      <c r="C187" s="2">
        <v>77802714</v>
      </c>
    </row>
    <row r="188" spans="1:3" x14ac:dyDescent="0.25">
      <c r="A188" t="s">
        <v>33</v>
      </c>
      <c r="B188" s="1" t="s">
        <v>10</v>
      </c>
      <c r="C188" s="2">
        <v>81481133</v>
      </c>
    </row>
    <row r="189" spans="1:3" x14ac:dyDescent="0.25">
      <c r="A189" t="s">
        <v>33</v>
      </c>
      <c r="B189" s="1" t="s">
        <v>11</v>
      </c>
      <c r="C189" s="2">
        <v>81514657</v>
      </c>
    </row>
    <row r="190" spans="1:3" x14ac:dyDescent="0.25">
      <c r="A190" t="s">
        <v>33</v>
      </c>
      <c r="B190" s="1" t="s">
        <v>12</v>
      </c>
      <c r="C190" s="2">
        <v>82323287</v>
      </c>
    </row>
    <row r="191" spans="1:3" x14ac:dyDescent="0.25">
      <c r="A191" t="s">
        <v>33</v>
      </c>
      <c r="B191" s="1" t="s">
        <v>13</v>
      </c>
      <c r="C191" s="2">
        <v>85467829</v>
      </c>
    </row>
    <row r="192" spans="1:3" x14ac:dyDescent="0.25">
      <c r="A192" t="s">
        <v>33</v>
      </c>
      <c r="B192" s="1" t="s">
        <v>14</v>
      </c>
      <c r="C192" s="2">
        <v>88596458</v>
      </c>
    </row>
    <row r="193" spans="1:3" x14ac:dyDescent="0.25">
      <c r="A193" t="s">
        <v>33</v>
      </c>
      <c r="B193" s="1" t="s">
        <v>15</v>
      </c>
      <c r="C193" s="2">
        <v>89095582</v>
      </c>
    </row>
    <row r="194" spans="1:3" x14ac:dyDescent="0.25">
      <c r="A194" t="s">
        <v>33</v>
      </c>
      <c r="B194" s="1" t="s">
        <v>16</v>
      </c>
      <c r="C194" s="2">
        <v>90814201</v>
      </c>
    </row>
    <row r="195" spans="1:3" x14ac:dyDescent="0.25">
      <c r="A195" t="s">
        <v>33</v>
      </c>
      <c r="B195" s="1" t="s">
        <v>17</v>
      </c>
      <c r="C195" s="2">
        <v>91251411</v>
      </c>
    </row>
    <row r="196" spans="1:3" x14ac:dyDescent="0.25">
      <c r="A196" t="s">
        <v>33</v>
      </c>
      <c r="B196" s="1" t="s">
        <v>18</v>
      </c>
      <c r="C196" s="2">
        <v>94734918</v>
      </c>
    </row>
    <row r="197" spans="1:3" x14ac:dyDescent="0.25">
      <c r="A197" t="s">
        <v>33</v>
      </c>
      <c r="B197" s="1" t="s">
        <v>19</v>
      </c>
      <c r="C197" s="2">
        <v>95443112</v>
      </c>
    </row>
    <row r="198" spans="1:3" x14ac:dyDescent="0.25">
      <c r="A198" t="s">
        <v>33</v>
      </c>
      <c r="B198" s="1" t="s">
        <v>20</v>
      </c>
      <c r="C198" s="2">
        <v>98256294</v>
      </c>
    </row>
    <row r="199" spans="1:3" x14ac:dyDescent="0.25">
      <c r="A199" t="s">
        <v>33</v>
      </c>
      <c r="B199" s="1" t="s">
        <v>21</v>
      </c>
      <c r="C199" s="2">
        <v>103021079</v>
      </c>
    </row>
    <row r="200" spans="1:3" x14ac:dyDescent="0.25">
      <c r="A200" t="s">
        <v>33</v>
      </c>
      <c r="B200" s="1" t="s">
        <v>22</v>
      </c>
      <c r="C200" s="2">
        <v>105768240</v>
      </c>
    </row>
    <row r="201" spans="1:3" x14ac:dyDescent="0.25">
      <c r="A201" t="s">
        <v>33</v>
      </c>
      <c r="B201" s="1" t="s">
        <v>23</v>
      </c>
      <c r="C201" s="2">
        <v>107993106</v>
      </c>
    </row>
    <row r="202" spans="1:3" x14ac:dyDescent="0.25">
      <c r="A202" t="s">
        <v>34</v>
      </c>
      <c r="B202" s="1" t="s">
        <v>4</v>
      </c>
      <c r="C202" s="2">
        <v>110381295</v>
      </c>
    </row>
    <row r="203" spans="1:3" x14ac:dyDescent="0.25">
      <c r="A203" t="s">
        <v>34</v>
      </c>
      <c r="B203" s="1" t="s">
        <v>5</v>
      </c>
      <c r="C203" s="2">
        <v>116534559</v>
      </c>
    </row>
    <row r="204" spans="1:3" x14ac:dyDescent="0.25">
      <c r="A204" t="s">
        <v>34</v>
      </c>
      <c r="B204" s="1" t="s">
        <v>6</v>
      </c>
      <c r="C204" s="2">
        <v>119524010</v>
      </c>
    </row>
    <row r="205" spans="1:3" x14ac:dyDescent="0.25">
      <c r="A205" t="s">
        <v>34</v>
      </c>
      <c r="B205" s="1" t="s">
        <v>7</v>
      </c>
      <c r="C205" s="2">
        <v>117408472</v>
      </c>
    </row>
    <row r="206" spans="1:3" x14ac:dyDescent="0.25">
      <c r="A206" t="s">
        <v>34</v>
      </c>
      <c r="B206" s="1" t="s">
        <v>8</v>
      </c>
      <c r="C206" s="2">
        <v>117077135</v>
      </c>
    </row>
    <row r="207" spans="1:3" x14ac:dyDescent="0.25">
      <c r="A207" t="s">
        <v>34</v>
      </c>
      <c r="B207" s="1" t="s">
        <v>9</v>
      </c>
      <c r="C207" s="2">
        <v>118834441</v>
      </c>
    </row>
    <row r="208" spans="1:3" x14ac:dyDescent="0.25">
      <c r="A208" t="s">
        <v>34</v>
      </c>
      <c r="B208" s="1" t="s">
        <v>10</v>
      </c>
      <c r="C208" s="2">
        <v>119553224</v>
      </c>
    </row>
    <row r="209" spans="1:3" x14ac:dyDescent="0.25">
      <c r="A209" t="s">
        <v>34</v>
      </c>
      <c r="B209" s="1" t="s">
        <v>11</v>
      </c>
      <c r="C209" s="2">
        <v>118651323</v>
      </c>
    </row>
    <row r="210" spans="1:3" x14ac:dyDescent="0.25">
      <c r="A210" t="s">
        <v>34</v>
      </c>
      <c r="B210" s="1" t="s">
        <v>12</v>
      </c>
      <c r="C210" s="2">
        <v>123482586</v>
      </c>
    </row>
    <row r="211" spans="1:3" x14ac:dyDescent="0.25">
      <c r="A211" t="s">
        <v>34</v>
      </c>
      <c r="B211" s="1" t="s">
        <v>13</v>
      </c>
      <c r="C211" s="2">
        <v>117156524</v>
      </c>
    </row>
    <row r="212" spans="1:3" x14ac:dyDescent="0.25">
      <c r="A212" t="s">
        <v>34</v>
      </c>
      <c r="B212" s="1" t="s">
        <v>14</v>
      </c>
      <c r="C212" s="2">
        <v>118577108</v>
      </c>
    </row>
    <row r="213" spans="1:3" x14ac:dyDescent="0.25">
      <c r="A213" t="s">
        <v>34</v>
      </c>
      <c r="B213" s="1" t="s">
        <v>15</v>
      </c>
      <c r="C213" s="2">
        <v>114549272</v>
      </c>
    </row>
    <row r="214" spans="1:3" x14ac:dyDescent="0.25">
      <c r="A214" t="s">
        <v>34</v>
      </c>
      <c r="B214" s="1" t="s">
        <v>16</v>
      </c>
      <c r="C214" s="2">
        <v>114571797</v>
      </c>
    </row>
    <row r="215" spans="1:3" x14ac:dyDescent="0.25">
      <c r="A215" t="s">
        <v>34</v>
      </c>
      <c r="B215" s="1" t="s">
        <v>17</v>
      </c>
      <c r="C215" s="2">
        <v>115176963</v>
      </c>
    </row>
    <row r="216" spans="1:3" x14ac:dyDescent="0.25">
      <c r="A216" t="s">
        <v>34</v>
      </c>
      <c r="B216" s="1" t="s">
        <v>18</v>
      </c>
      <c r="C216" s="2">
        <v>117039077</v>
      </c>
    </row>
    <row r="217" spans="1:3" x14ac:dyDescent="0.25">
      <c r="A217" t="s">
        <v>34</v>
      </c>
      <c r="B217" s="1" t="s">
        <v>19</v>
      </c>
      <c r="C217" s="2">
        <v>120500106</v>
      </c>
    </row>
    <row r="218" spans="1:3" x14ac:dyDescent="0.25">
      <c r="A218" t="s">
        <v>34</v>
      </c>
      <c r="B218" s="1" t="s">
        <v>20</v>
      </c>
      <c r="C218" s="2">
        <v>122995313</v>
      </c>
    </row>
    <row r="219" spans="1:3" x14ac:dyDescent="0.25">
      <c r="A219" t="s">
        <v>34</v>
      </c>
      <c r="B219" s="1" t="s">
        <v>21</v>
      </c>
      <c r="C219" s="2">
        <v>126816000</v>
      </c>
    </row>
    <row r="220" spans="1:3" x14ac:dyDescent="0.25">
      <c r="A220" t="s">
        <v>34</v>
      </c>
      <c r="B220" s="1" t="s">
        <v>22</v>
      </c>
      <c r="C220" s="2">
        <v>131164973</v>
      </c>
    </row>
    <row r="221" spans="1:3" x14ac:dyDescent="0.25">
      <c r="A221" t="s">
        <v>34</v>
      </c>
      <c r="B221" s="1" t="s">
        <v>23</v>
      </c>
      <c r="C221" s="2">
        <v>137161734</v>
      </c>
    </row>
    <row r="222" spans="1:3" x14ac:dyDescent="0.25">
      <c r="A222" t="s">
        <v>35</v>
      </c>
      <c r="B222" s="1" t="s">
        <v>4</v>
      </c>
      <c r="C222" s="2">
        <v>4665321</v>
      </c>
    </row>
    <row r="223" spans="1:3" x14ac:dyDescent="0.25">
      <c r="A223" t="s">
        <v>35</v>
      </c>
      <c r="B223" s="1" t="s">
        <v>5</v>
      </c>
      <c r="C223" s="2">
        <v>4749586</v>
      </c>
    </row>
    <row r="224" spans="1:3" x14ac:dyDescent="0.25">
      <c r="A224" t="s">
        <v>35</v>
      </c>
      <c r="B224" s="1" t="s">
        <v>6</v>
      </c>
      <c r="C224" s="2">
        <v>4729122</v>
      </c>
    </row>
    <row r="225" spans="1:3" x14ac:dyDescent="0.25">
      <c r="A225" t="s">
        <v>35</v>
      </c>
      <c r="B225" s="1" t="s">
        <v>7</v>
      </c>
      <c r="C225" s="2">
        <v>4766544</v>
      </c>
    </row>
    <row r="226" spans="1:3" x14ac:dyDescent="0.25">
      <c r="A226" t="s">
        <v>35</v>
      </c>
      <c r="B226" s="1" t="s">
        <v>8</v>
      </c>
      <c r="C226" s="2">
        <v>4718968</v>
      </c>
    </row>
    <row r="227" spans="1:3" x14ac:dyDescent="0.25">
      <c r="A227" t="s">
        <v>35</v>
      </c>
      <c r="B227" s="1" t="s">
        <v>9</v>
      </c>
      <c r="C227" s="2">
        <v>4689739</v>
      </c>
    </row>
    <row r="228" spans="1:3" x14ac:dyDescent="0.25">
      <c r="A228" t="s">
        <v>35</v>
      </c>
      <c r="B228" s="1" t="s">
        <v>10</v>
      </c>
      <c r="C228" s="2">
        <v>4926273</v>
      </c>
    </row>
    <row r="229" spans="1:3" x14ac:dyDescent="0.25">
      <c r="A229" t="s">
        <v>35</v>
      </c>
      <c r="B229" s="1" t="s">
        <v>11</v>
      </c>
      <c r="C229" s="2">
        <v>5165686</v>
      </c>
    </row>
    <row r="230" spans="1:3" x14ac:dyDescent="0.25">
      <c r="A230" t="s">
        <v>35</v>
      </c>
      <c r="B230" s="1" t="s">
        <v>12</v>
      </c>
      <c r="C230" s="2">
        <v>5218425</v>
      </c>
    </row>
    <row r="231" spans="1:3" x14ac:dyDescent="0.25">
      <c r="A231" t="s">
        <v>35</v>
      </c>
      <c r="B231" s="1" t="s">
        <v>13</v>
      </c>
      <c r="C231" s="2">
        <v>4916138</v>
      </c>
    </row>
    <row r="232" spans="1:3" x14ac:dyDescent="0.25">
      <c r="A232" t="s">
        <v>35</v>
      </c>
      <c r="B232" s="1" t="s">
        <v>14</v>
      </c>
      <c r="C232" s="2">
        <v>4664302</v>
      </c>
    </row>
    <row r="233" spans="1:3" x14ac:dyDescent="0.25">
      <c r="A233" t="s">
        <v>35</v>
      </c>
      <c r="B233" s="1" t="s">
        <v>15</v>
      </c>
      <c r="C233" s="2">
        <v>4576091</v>
      </c>
    </row>
    <row r="234" spans="1:3" x14ac:dyDescent="0.25">
      <c r="A234" t="s">
        <v>35</v>
      </c>
      <c r="B234" s="1" t="s">
        <v>16</v>
      </c>
      <c r="C234" s="2">
        <v>4453290</v>
      </c>
    </row>
    <row r="235" spans="1:3" x14ac:dyDescent="0.25">
      <c r="A235" t="s">
        <v>35</v>
      </c>
      <c r="B235" s="1" t="s">
        <v>17</v>
      </c>
      <c r="C235" s="2">
        <v>4365534</v>
      </c>
    </row>
    <row r="236" spans="1:3" x14ac:dyDescent="0.25">
      <c r="A236" t="s">
        <v>35</v>
      </c>
      <c r="B236" s="1" t="s">
        <v>18</v>
      </c>
      <c r="C236" s="2">
        <v>4265270</v>
      </c>
    </row>
    <row r="237" spans="1:3" x14ac:dyDescent="0.25">
      <c r="A237" t="s">
        <v>35</v>
      </c>
      <c r="B237" s="1" t="s">
        <v>19</v>
      </c>
      <c r="C237" s="2">
        <v>3970764</v>
      </c>
    </row>
    <row r="238" spans="1:3" x14ac:dyDescent="0.25">
      <c r="A238" t="s">
        <v>35</v>
      </c>
      <c r="B238" s="1" t="s">
        <v>20</v>
      </c>
      <c r="C238" s="2">
        <v>4085998</v>
      </c>
    </row>
    <row r="239" spans="1:3" x14ac:dyDescent="0.25">
      <c r="A239" t="s">
        <v>35</v>
      </c>
      <c r="B239" s="1" t="s">
        <v>21</v>
      </c>
      <c r="C239" s="2">
        <v>4057286</v>
      </c>
    </row>
    <row r="240" spans="1:3" x14ac:dyDescent="0.25">
      <c r="A240" t="s">
        <v>35</v>
      </c>
      <c r="B240" s="1" t="s">
        <v>22</v>
      </c>
      <c r="C240" s="2">
        <v>3978576</v>
      </c>
    </row>
    <row r="241" spans="1:3" x14ac:dyDescent="0.25">
      <c r="A241" t="s">
        <v>35</v>
      </c>
      <c r="B241" s="1" t="s">
        <v>23</v>
      </c>
      <c r="C241" s="2">
        <v>3845625</v>
      </c>
    </row>
    <row r="242" spans="1:3" x14ac:dyDescent="0.25">
      <c r="A242" t="s">
        <v>36</v>
      </c>
      <c r="B242" s="1" t="s">
        <v>4</v>
      </c>
      <c r="C242" s="2">
        <v>31407499</v>
      </c>
    </row>
    <row r="243" spans="1:3" x14ac:dyDescent="0.25">
      <c r="A243" t="s">
        <v>36</v>
      </c>
      <c r="B243" s="1" t="s">
        <v>5</v>
      </c>
      <c r="C243" s="2">
        <v>32118304</v>
      </c>
    </row>
    <row r="244" spans="1:3" x14ac:dyDescent="0.25">
      <c r="A244" t="s">
        <v>36</v>
      </c>
      <c r="B244" s="1" t="s">
        <v>6</v>
      </c>
      <c r="C244" s="2">
        <v>33073299</v>
      </c>
    </row>
    <row r="245" spans="1:3" x14ac:dyDescent="0.25">
      <c r="A245" t="s">
        <v>36</v>
      </c>
      <c r="B245" s="1" t="s">
        <v>7</v>
      </c>
      <c r="C245" s="2">
        <v>33893237</v>
      </c>
    </row>
    <row r="246" spans="1:3" x14ac:dyDescent="0.25">
      <c r="A246" t="s">
        <v>36</v>
      </c>
      <c r="B246" s="1" t="s">
        <v>8</v>
      </c>
      <c r="C246" s="2">
        <v>33692065</v>
      </c>
    </row>
    <row r="247" spans="1:3" x14ac:dyDescent="0.25">
      <c r="A247" t="s">
        <v>36</v>
      </c>
      <c r="B247" s="1" t="s">
        <v>9</v>
      </c>
      <c r="C247" s="2">
        <v>34768927</v>
      </c>
    </row>
    <row r="248" spans="1:3" x14ac:dyDescent="0.25">
      <c r="A248" t="s">
        <v>36</v>
      </c>
      <c r="B248" s="1" t="s">
        <v>10</v>
      </c>
      <c r="C248" s="2">
        <v>37727639</v>
      </c>
    </row>
    <row r="249" spans="1:3" x14ac:dyDescent="0.25">
      <c r="A249" t="s">
        <v>36</v>
      </c>
      <c r="B249" s="1" t="s">
        <v>11</v>
      </c>
      <c r="C249" s="2">
        <v>38352300</v>
      </c>
    </row>
    <row r="250" spans="1:3" x14ac:dyDescent="0.25">
      <c r="A250" t="s">
        <v>36</v>
      </c>
      <c r="B250" s="1" t="s">
        <v>12</v>
      </c>
      <c r="C250" s="2">
        <v>38414981</v>
      </c>
    </row>
    <row r="251" spans="1:3" x14ac:dyDescent="0.25">
      <c r="A251" t="s">
        <v>36</v>
      </c>
      <c r="B251" s="1" t="s">
        <v>13</v>
      </c>
      <c r="C251" s="2">
        <v>39181197</v>
      </c>
    </row>
    <row r="252" spans="1:3" x14ac:dyDescent="0.25">
      <c r="A252" t="s">
        <v>36</v>
      </c>
      <c r="B252" s="1" t="s">
        <v>14</v>
      </c>
      <c r="C252" s="2">
        <v>40381538</v>
      </c>
    </row>
    <row r="253" spans="1:3" x14ac:dyDescent="0.25">
      <c r="A253" t="s">
        <v>36</v>
      </c>
      <c r="B253" s="1" t="s">
        <v>15</v>
      </c>
      <c r="C253" s="2">
        <v>41480766</v>
      </c>
    </row>
    <row r="254" spans="1:3" x14ac:dyDescent="0.25">
      <c r="A254" t="s">
        <v>36</v>
      </c>
      <c r="B254" s="1" t="s">
        <v>16</v>
      </c>
      <c r="C254" s="2">
        <v>41731085</v>
      </c>
    </row>
    <row r="255" spans="1:3" x14ac:dyDescent="0.25">
      <c r="A255" t="s">
        <v>36</v>
      </c>
      <c r="B255" s="1" t="s">
        <v>17</v>
      </c>
      <c r="C255" s="2">
        <v>42597008</v>
      </c>
    </row>
    <row r="256" spans="1:3" x14ac:dyDescent="0.25">
      <c r="A256" t="s">
        <v>36</v>
      </c>
      <c r="B256" s="1" t="s">
        <v>18</v>
      </c>
      <c r="C256" s="2">
        <v>43035586</v>
      </c>
    </row>
    <row r="257" spans="1:3" x14ac:dyDescent="0.25">
      <c r="A257" t="s">
        <v>36</v>
      </c>
      <c r="B257" s="1" t="s">
        <v>19</v>
      </c>
      <c r="C257" s="2">
        <v>42749559</v>
      </c>
    </row>
    <row r="258" spans="1:3" x14ac:dyDescent="0.25">
      <c r="A258" t="s">
        <v>36</v>
      </c>
      <c r="B258" s="1" t="s">
        <v>20</v>
      </c>
      <c r="C258" s="2">
        <v>42306747</v>
      </c>
    </row>
    <row r="259" spans="1:3" x14ac:dyDescent="0.25">
      <c r="A259" t="s">
        <v>36</v>
      </c>
      <c r="B259" s="1" t="s">
        <v>21</v>
      </c>
      <c r="C259" s="2">
        <v>43540377</v>
      </c>
    </row>
    <row r="260" spans="1:3" x14ac:dyDescent="0.25">
      <c r="A260" t="s">
        <v>36</v>
      </c>
      <c r="B260" s="1" t="s">
        <v>22</v>
      </c>
      <c r="C260" s="2">
        <v>45975608</v>
      </c>
    </row>
    <row r="261" spans="1:3" x14ac:dyDescent="0.25">
      <c r="A261" t="s">
        <v>36</v>
      </c>
      <c r="B261" s="1" t="s">
        <v>23</v>
      </c>
      <c r="C261" s="2">
        <v>46196657</v>
      </c>
    </row>
    <row r="262" spans="1:3" x14ac:dyDescent="0.25">
      <c r="A262" t="s">
        <v>37</v>
      </c>
      <c r="B262" s="1" t="s">
        <v>4</v>
      </c>
      <c r="C262" s="2">
        <v>12819621</v>
      </c>
    </row>
    <row r="263" spans="1:3" x14ac:dyDescent="0.25">
      <c r="A263" t="s">
        <v>37</v>
      </c>
      <c r="B263" s="1" t="s">
        <v>5</v>
      </c>
      <c r="C263" s="2">
        <v>12471799</v>
      </c>
    </row>
    <row r="264" spans="1:3" x14ac:dyDescent="0.25">
      <c r="A264" t="s">
        <v>37</v>
      </c>
      <c r="B264" s="1" t="s">
        <v>6</v>
      </c>
      <c r="C264" s="2">
        <v>12165949</v>
      </c>
    </row>
    <row r="265" spans="1:3" x14ac:dyDescent="0.25">
      <c r="A265" t="s">
        <v>37</v>
      </c>
      <c r="B265" s="1" t="s">
        <v>7</v>
      </c>
      <c r="C265" s="2">
        <v>11218751</v>
      </c>
    </row>
    <row r="266" spans="1:3" x14ac:dyDescent="0.25">
      <c r="A266" t="s">
        <v>37</v>
      </c>
      <c r="B266" s="1" t="s">
        <v>8</v>
      </c>
      <c r="C266" s="2">
        <v>10600144</v>
      </c>
    </row>
    <row r="267" spans="1:3" x14ac:dyDescent="0.25">
      <c r="A267" t="s">
        <v>37</v>
      </c>
      <c r="B267" s="1" t="s">
        <v>9</v>
      </c>
      <c r="C267" s="2">
        <v>12812083</v>
      </c>
    </row>
    <row r="268" spans="1:3" x14ac:dyDescent="0.25">
      <c r="A268" t="s">
        <v>37</v>
      </c>
      <c r="B268" s="1" t="s">
        <v>10</v>
      </c>
      <c r="C268" s="2">
        <v>13004698</v>
      </c>
    </row>
    <row r="269" spans="1:3" x14ac:dyDescent="0.25">
      <c r="A269" t="s">
        <v>37</v>
      </c>
      <c r="B269" s="1" t="s">
        <v>11</v>
      </c>
      <c r="C269" s="2">
        <v>14050161</v>
      </c>
    </row>
    <row r="270" spans="1:3" x14ac:dyDescent="0.25">
      <c r="A270" t="s">
        <v>37</v>
      </c>
      <c r="B270" s="1" t="s">
        <v>12</v>
      </c>
      <c r="C270" s="2">
        <v>14229938</v>
      </c>
    </row>
    <row r="271" spans="1:3" x14ac:dyDescent="0.25">
      <c r="A271" t="s">
        <v>37</v>
      </c>
      <c r="B271" s="1" t="s">
        <v>13</v>
      </c>
      <c r="C271" s="2">
        <v>13145270</v>
      </c>
    </row>
    <row r="272" spans="1:3" x14ac:dyDescent="0.25">
      <c r="A272" t="s">
        <v>37</v>
      </c>
      <c r="B272" s="1" t="s">
        <v>14</v>
      </c>
      <c r="C272" s="2">
        <v>12662417</v>
      </c>
    </row>
    <row r="273" spans="1:3" x14ac:dyDescent="0.25">
      <c r="A273" t="s">
        <v>37</v>
      </c>
      <c r="B273" s="1" t="s">
        <v>15</v>
      </c>
      <c r="C273" s="2">
        <v>11924410</v>
      </c>
    </row>
    <row r="274" spans="1:3" x14ac:dyDescent="0.25">
      <c r="A274" t="s">
        <v>37</v>
      </c>
      <c r="B274" s="1" t="s">
        <v>16</v>
      </c>
      <c r="C274" s="2">
        <v>11340031</v>
      </c>
    </row>
    <row r="275" spans="1:3" x14ac:dyDescent="0.25">
      <c r="A275" t="s">
        <v>37</v>
      </c>
      <c r="B275" s="1" t="s">
        <v>17</v>
      </c>
      <c r="C275" s="2">
        <v>11447581</v>
      </c>
    </row>
    <row r="276" spans="1:3" x14ac:dyDescent="0.25">
      <c r="A276" t="s">
        <v>37</v>
      </c>
      <c r="B276" s="1" t="s">
        <v>18</v>
      </c>
      <c r="C276" s="2">
        <v>10839067</v>
      </c>
    </row>
    <row r="277" spans="1:3" x14ac:dyDescent="0.25">
      <c r="A277" t="s">
        <v>37</v>
      </c>
      <c r="B277" s="1" t="s">
        <v>19</v>
      </c>
      <c r="C277" s="2">
        <v>9758760</v>
      </c>
    </row>
    <row r="278" spans="1:3" x14ac:dyDescent="0.25">
      <c r="A278" t="s">
        <v>37</v>
      </c>
      <c r="B278" s="1" t="s">
        <v>20</v>
      </c>
      <c r="C278" s="2">
        <v>10097479</v>
      </c>
    </row>
    <row r="279" spans="1:3" x14ac:dyDescent="0.25">
      <c r="A279" t="s">
        <v>37</v>
      </c>
      <c r="B279" s="1" t="s">
        <v>21</v>
      </c>
      <c r="C279" s="2">
        <v>9803603</v>
      </c>
    </row>
    <row r="280" spans="1:3" x14ac:dyDescent="0.25">
      <c r="A280" t="s">
        <v>37</v>
      </c>
      <c r="B280" s="1" t="s">
        <v>22</v>
      </c>
      <c r="C280" s="2">
        <v>9461431</v>
      </c>
    </row>
    <row r="281" spans="1:3" x14ac:dyDescent="0.25">
      <c r="A281" t="s">
        <v>37</v>
      </c>
      <c r="B281" s="1" t="s">
        <v>23</v>
      </c>
      <c r="C281" s="2">
        <v>9662250</v>
      </c>
    </row>
    <row r="282" spans="1:3" x14ac:dyDescent="0.25">
      <c r="A282" t="s">
        <v>38</v>
      </c>
      <c r="B282" s="1" t="s">
        <v>4</v>
      </c>
      <c r="C282" s="2">
        <v>19788629</v>
      </c>
    </row>
    <row r="283" spans="1:3" x14ac:dyDescent="0.25">
      <c r="A283" t="s">
        <v>38</v>
      </c>
      <c r="B283" s="1" t="s">
        <v>5</v>
      </c>
      <c r="C283" s="2">
        <v>21132629</v>
      </c>
    </row>
    <row r="284" spans="1:3" x14ac:dyDescent="0.25">
      <c r="A284" t="s">
        <v>38</v>
      </c>
      <c r="B284" s="1" t="s">
        <v>6</v>
      </c>
      <c r="C284" s="2">
        <v>22131913</v>
      </c>
    </row>
    <row r="285" spans="1:3" x14ac:dyDescent="0.25">
      <c r="A285" t="s">
        <v>38</v>
      </c>
      <c r="B285" s="1" t="s">
        <v>7</v>
      </c>
      <c r="C285" s="2">
        <v>22528964</v>
      </c>
    </row>
    <row r="286" spans="1:3" x14ac:dyDescent="0.25">
      <c r="A286" t="s">
        <v>38</v>
      </c>
      <c r="B286" s="1" t="s">
        <v>8</v>
      </c>
      <c r="C286" s="2">
        <v>23531841</v>
      </c>
    </row>
    <row r="287" spans="1:3" x14ac:dyDescent="0.25">
      <c r="A287" t="s">
        <v>38</v>
      </c>
      <c r="B287" s="1" t="s">
        <v>9</v>
      </c>
      <c r="C287" s="2">
        <v>25293112</v>
      </c>
    </row>
    <row r="288" spans="1:3" x14ac:dyDescent="0.25">
      <c r="A288" t="s">
        <v>38</v>
      </c>
      <c r="B288" s="1" t="s">
        <v>10</v>
      </c>
      <c r="C288" s="2">
        <v>26304720</v>
      </c>
    </row>
    <row r="289" spans="1:3" x14ac:dyDescent="0.25">
      <c r="A289" t="s">
        <v>38</v>
      </c>
      <c r="B289" s="1" t="s">
        <v>11</v>
      </c>
      <c r="C289" s="2">
        <v>26674450</v>
      </c>
    </row>
    <row r="290" spans="1:3" x14ac:dyDescent="0.25">
      <c r="A290" t="s">
        <v>38</v>
      </c>
      <c r="B290" s="1" t="s">
        <v>12</v>
      </c>
      <c r="C290" s="2">
        <v>29323079</v>
      </c>
    </row>
    <row r="291" spans="1:3" x14ac:dyDescent="0.25">
      <c r="A291" t="s">
        <v>38</v>
      </c>
      <c r="B291" s="1" t="s">
        <v>13</v>
      </c>
      <c r="C291" s="2">
        <v>27730986</v>
      </c>
    </row>
    <row r="292" spans="1:3" x14ac:dyDescent="0.25">
      <c r="A292" t="s">
        <v>38</v>
      </c>
      <c r="B292" s="1" t="s">
        <v>14</v>
      </c>
      <c r="C292" s="2">
        <v>29812037</v>
      </c>
    </row>
    <row r="293" spans="1:3" x14ac:dyDescent="0.25">
      <c r="A293" t="s">
        <v>38</v>
      </c>
      <c r="B293" s="1" t="s">
        <v>15</v>
      </c>
      <c r="C293" s="2">
        <v>30011903</v>
      </c>
    </row>
    <row r="294" spans="1:3" x14ac:dyDescent="0.25">
      <c r="A294" t="s">
        <v>38</v>
      </c>
      <c r="B294" s="1" t="s">
        <v>16</v>
      </c>
      <c r="C294" s="2">
        <v>30878357</v>
      </c>
    </row>
    <row r="295" spans="1:3" x14ac:dyDescent="0.25">
      <c r="A295" t="s">
        <v>38</v>
      </c>
      <c r="B295" s="1" t="s">
        <v>17</v>
      </c>
      <c r="C295" s="2">
        <v>31438847</v>
      </c>
    </row>
    <row r="296" spans="1:3" x14ac:dyDescent="0.25">
      <c r="A296" t="s">
        <v>38</v>
      </c>
      <c r="B296" s="1" t="s">
        <v>18</v>
      </c>
      <c r="C296" s="2">
        <v>32456359</v>
      </c>
    </row>
    <row r="297" spans="1:3" x14ac:dyDescent="0.25">
      <c r="A297" t="s">
        <v>38</v>
      </c>
      <c r="B297" s="1" t="s">
        <v>19</v>
      </c>
      <c r="C297" s="2">
        <v>33941970</v>
      </c>
    </row>
    <row r="298" spans="1:3" x14ac:dyDescent="0.25">
      <c r="A298" t="s">
        <v>38</v>
      </c>
      <c r="B298" s="1" t="s">
        <v>20</v>
      </c>
      <c r="C298" s="2">
        <v>35545567</v>
      </c>
    </row>
    <row r="299" spans="1:3" x14ac:dyDescent="0.25">
      <c r="A299" t="s">
        <v>38</v>
      </c>
      <c r="B299" s="1" t="s">
        <v>21</v>
      </c>
      <c r="C299" s="2">
        <v>37873366</v>
      </c>
    </row>
    <row r="300" spans="1:3" x14ac:dyDescent="0.25">
      <c r="A300" t="s">
        <v>38</v>
      </c>
      <c r="B300" s="1" t="s">
        <v>22</v>
      </c>
      <c r="C300" s="2">
        <v>39085868</v>
      </c>
    </row>
    <row r="301" spans="1:3" x14ac:dyDescent="0.25">
      <c r="A301" t="s">
        <v>38</v>
      </c>
      <c r="B301" s="1" t="s">
        <v>23</v>
      </c>
      <c r="C301" s="2">
        <v>40290444</v>
      </c>
    </row>
    <row r="302" spans="1:3" x14ac:dyDescent="0.25">
      <c r="A302" t="s">
        <v>39</v>
      </c>
      <c r="B302" s="1" t="s">
        <v>4</v>
      </c>
      <c r="C302" s="2">
        <v>36429309</v>
      </c>
    </row>
    <row r="303" spans="1:3" x14ac:dyDescent="0.25">
      <c r="A303" t="s">
        <v>39</v>
      </c>
      <c r="B303" s="1" t="s">
        <v>5</v>
      </c>
      <c r="C303" s="2">
        <v>38559273</v>
      </c>
    </row>
    <row r="304" spans="1:3" x14ac:dyDescent="0.25">
      <c r="A304" t="s">
        <v>39</v>
      </c>
      <c r="B304" s="1" t="s">
        <v>6</v>
      </c>
      <c r="C304" s="2">
        <v>40188041</v>
      </c>
    </row>
    <row r="305" spans="1:3" x14ac:dyDescent="0.25">
      <c r="A305" t="s">
        <v>39</v>
      </c>
      <c r="B305" s="1" t="s">
        <v>7</v>
      </c>
      <c r="C305" s="2">
        <v>42252702</v>
      </c>
    </row>
    <row r="306" spans="1:3" x14ac:dyDescent="0.25">
      <c r="A306" t="s">
        <v>39</v>
      </c>
      <c r="B306" s="1" t="s">
        <v>8</v>
      </c>
      <c r="C306" s="2">
        <v>43572733</v>
      </c>
    </row>
    <row r="307" spans="1:3" x14ac:dyDescent="0.25">
      <c r="A307" t="s">
        <v>39</v>
      </c>
      <c r="B307" s="1" t="s">
        <v>9</v>
      </c>
      <c r="C307" s="2">
        <v>46152775</v>
      </c>
    </row>
    <row r="308" spans="1:3" x14ac:dyDescent="0.25">
      <c r="A308" t="s">
        <v>39</v>
      </c>
      <c r="B308" s="1" t="s">
        <v>10</v>
      </c>
      <c r="C308" s="2">
        <v>48237405</v>
      </c>
    </row>
    <row r="309" spans="1:3" x14ac:dyDescent="0.25">
      <c r="A309" t="s">
        <v>39</v>
      </c>
      <c r="B309" s="1" t="s">
        <v>11</v>
      </c>
      <c r="C309" s="2">
        <v>53015303</v>
      </c>
    </row>
    <row r="310" spans="1:3" x14ac:dyDescent="0.25">
      <c r="A310" t="s">
        <v>39</v>
      </c>
      <c r="B310" s="1" t="s">
        <v>12</v>
      </c>
      <c r="C310" s="2">
        <v>53661930</v>
      </c>
    </row>
    <row r="311" spans="1:3" x14ac:dyDescent="0.25">
      <c r="A311" t="s">
        <v>39</v>
      </c>
      <c r="B311" s="1" t="s">
        <v>13</v>
      </c>
      <c r="C311" s="2">
        <v>49972071</v>
      </c>
    </row>
    <row r="312" spans="1:3" x14ac:dyDescent="0.25">
      <c r="A312" t="s">
        <v>39</v>
      </c>
      <c r="B312" s="1" t="s">
        <v>14</v>
      </c>
      <c r="C312" s="2">
        <v>50510325</v>
      </c>
    </row>
    <row r="313" spans="1:3" x14ac:dyDescent="0.25">
      <c r="A313" t="s">
        <v>39</v>
      </c>
      <c r="B313" s="1" t="s">
        <v>15</v>
      </c>
      <c r="C313" s="2">
        <v>48486524</v>
      </c>
    </row>
    <row r="314" spans="1:3" x14ac:dyDescent="0.25">
      <c r="A314" t="s">
        <v>39</v>
      </c>
      <c r="B314" s="1" t="s">
        <v>16</v>
      </c>
      <c r="C314" s="2">
        <v>49266249</v>
      </c>
    </row>
    <row r="315" spans="1:3" x14ac:dyDescent="0.25">
      <c r="A315" t="s">
        <v>39</v>
      </c>
      <c r="B315" s="1" t="s">
        <v>17</v>
      </c>
      <c r="C315" s="2">
        <v>52456906</v>
      </c>
    </row>
    <row r="316" spans="1:3" x14ac:dyDescent="0.25">
      <c r="A316" t="s">
        <v>39</v>
      </c>
      <c r="B316" s="1" t="s">
        <v>18</v>
      </c>
      <c r="C316" s="2">
        <v>53941987</v>
      </c>
    </row>
    <row r="317" spans="1:3" x14ac:dyDescent="0.25">
      <c r="A317" t="s">
        <v>39</v>
      </c>
      <c r="B317" s="1" t="s">
        <v>19</v>
      </c>
      <c r="C317" s="2">
        <v>60677415</v>
      </c>
    </row>
    <row r="318" spans="1:3" x14ac:dyDescent="0.25">
      <c r="A318" t="s">
        <v>39</v>
      </c>
      <c r="B318" s="1" t="s">
        <v>20</v>
      </c>
      <c r="C318" s="2">
        <v>62523254</v>
      </c>
    </row>
    <row r="319" spans="1:3" x14ac:dyDescent="0.25">
      <c r="A319" t="s">
        <v>39</v>
      </c>
      <c r="B319" s="1" t="s">
        <v>21</v>
      </c>
      <c r="C319" s="2">
        <v>64380942</v>
      </c>
    </row>
    <row r="320" spans="1:3" x14ac:dyDescent="0.25">
      <c r="A320" t="s">
        <v>39</v>
      </c>
      <c r="B320" s="1" t="s">
        <v>22</v>
      </c>
      <c r="C320" s="2">
        <v>68283485</v>
      </c>
    </row>
    <row r="321" spans="1:3" x14ac:dyDescent="0.25">
      <c r="A321" t="s">
        <v>39</v>
      </c>
      <c r="B321" s="1" t="s">
        <v>23</v>
      </c>
      <c r="C321" s="2">
        <v>70289357</v>
      </c>
    </row>
    <row r="322" spans="1:3" x14ac:dyDescent="0.25">
      <c r="A322" t="s">
        <v>40</v>
      </c>
      <c r="B322" s="1" t="s">
        <v>4</v>
      </c>
      <c r="C322" s="2">
        <v>1661123</v>
      </c>
    </row>
    <row r="323" spans="1:3" x14ac:dyDescent="0.25">
      <c r="A323" t="s">
        <v>40</v>
      </c>
      <c r="B323" s="1" t="s">
        <v>5</v>
      </c>
      <c r="C323" s="2">
        <v>1605857</v>
      </c>
    </row>
    <row r="324" spans="1:3" x14ac:dyDescent="0.25">
      <c r="A324" t="s">
        <v>40</v>
      </c>
      <c r="B324" s="1" t="s">
        <v>6</v>
      </c>
      <c r="C324" s="2">
        <v>1761793</v>
      </c>
    </row>
    <row r="325" spans="1:3" x14ac:dyDescent="0.25">
      <c r="A325" t="s">
        <v>40</v>
      </c>
      <c r="B325" s="1" t="s">
        <v>7</v>
      </c>
      <c r="C325" s="2">
        <v>1561125</v>
      </c>
    </row>
    <row r="326" spans="1:3" x14ac:dyDescent="0.25">
      <c r="A326" t="s">
        <v>40</v>
      </c>
      <c r="B326" s="1" t="s">
        <v>8</v>
      </c>
      <c r="C326" s="2">
        <v>1515744</v>
      </c>
    </row>
    <row r="327" spans="1:3" x14ac:dyDescent="0.25">
      <c r="A327" t="s">
        <v>40</v>
      </c>
      <c r="B327" s="1" t="s">
        <v>9</v>
      </c>
      <c r="C327" s="2">
        <v>1979987</v>
      </c>
    </row>
    <row r="328" spans="1:3" x14ac:dyDescent="0.25">
      <c r="A328" t="s">
        <v>40</v>
      </c>
      <c r="B328" s="1" t="s">
        <v>10</v>
      </c>
      <c r="C328" s="2">
        <v>1730435</v>
      </c>
    </row>
    <row r="329" spans="1:3" x14ac:dyDescent="0.25">
      <c r="A329" t="s">
        <v>40</v>
      </c>
      <c r="B329" s="1" t="s">
        <v>11</v>
      </c>
      <c r="C329" s="2">
        <v>1660864</v>
      </c>
    </row>
    <row r="330" spans="1:3" x14ac:dyDescent="0.25">
      <c r="A330" t="s">
        <v>40</v>
      </c>
      <c r="B330" s="1" t="s">
        <v>12</v>
      </c>
      <c r="C330" s="2">
        <v>1568173</v>
      </c>
    </row>
    <row r="331" spans="1:3" x14ac:dyDescent="0.25">
      <c r="A331" t="s">
        <v>40</v>
      </c>
      <c r="B331" s="1" t="s">
        <v>13</v>
      </c>
      <c r="C331" s="2">
        <v>1487373</v>
      </c>
    </row>
    <row r="332" spans="1:3" x14ac:dyDescent="0.25">
      <c r="A332" t="s">
        <v>40</v>
      </c>
      <c r="B332" s="1" t="s">
        <v>14</v>
      </c>
      <c r="C332" s="2">
        <v>1371613</v>
      </c>
    </row>
    <row r="333" spans="1:3" x14ac:dyDescent="0.25">
      <c r="A333" t="s">
        <v>40</v>
      </c>
      <c r="B333" s="1" t="s">
        <v>15</v>
      </c>
      <c r="C333" s="2">
        <v>1275827</v>
      </c>
    </row>
    <row r="334" spans="1:3" x14ac:dyDescent="0.25">
      <c r="A334" t="s">
        <v>40</v>
      </c>
      <c r="B334" s="1" t="s">
        <v>16</v>
      </c>
      <c r="C334" s="2">
        <v>1010412</v>
      </c>
    </row>
    <row r="335" spans="1:3" x14ac:dyDescent="0.25">
      <c r="A335" t="s">
        <v>40</v>
      </c>
      <c r="B335" s="1" t="s">
        <v>17</v>
      </c>
      <c r="C335" s="2">
        <v>889285</v>
      </c>
    </row>
    <row r="336" spans="1:3" x14ac:dyDescent="0.25">
      <c r="A336" t="s">
        <v>40</v>
      </c>
      <c r="B336" s="1" t="s">
        <v>18</v>
      </c>
      <c r="C336" s="2">
        <v>2065267</v>
      </c>
    </row>
    <row r="337" spans="1:3" x14ac:dyDescent="0.25">
      <c r="A337" t="s">
        <v>40</v>
      </c>
      <c r="B337" s="1" t="s">
        <v>19</v>
      </c>
      <c r="C337" s="2">
        <v>2198243</v>
      </c>
    </row>
    <row r="338" spans="1:3" x14ac:dyDescent="0.25">
      <c r="A338" t="s">
        <v>40</v>
      </c>
      <c r="B338" s="1" t="s">
        <v>20</v>
      </c>
      <c r="C338" s="2">
        <v>4814254</v>
      </c>
    </row>
    <row r="339" spans="1:3" x14ac:dyDescent="0.25">
      <c r="A339" t="s">
        <v>40</v>
      </c>
      <c r="B339" s="1" t="s">
        <v>21</v>
      </c>
      <c r="C339" s="2">
        <v>6713749</v>
      </c>
    </row>
    <row r="340" spans="1:3" x14ac:dyDescent="0.25">
      <c r="A340" t="s">
        <v>40</v>
      </c>
      <c r="B340" s="1" t="s">
        <v>22</v>
      </c>
      <c r="C340" s="2">
        <v>7158814</v>
      </c>
    </row>
    <row r="341" spans="1:3" x14ac:dyDescent="0.25">
      <c r="A341" t="s">
        <v>40</v>
      </c>
      <c r="B341" s="1" t="s">
        <v>23</v>
      </c>
      <c r="C341" s="2">
        <v>7205558</v>
      </c>
    </row>
    <row r="342" spans="1:3" x14ac:dyDescent="0.25">
      <c r="A342" t="s">
        <v>41</v>
      </c>
      <c r="B342" s="1" t="s">
        <v>4</v>
      </c>
      <c r="C342" s="2">
        <v>12506448</v>
      </c>
    </row>
    <row r="343" spans="1:3" x14ac:dyDescent="0.25">
      <c r="A343" t="s">
        <v>41</v>
      </c>
      <c r="B343" s="1" t="s">
        <v>5</v>
      </c>
      <c r="C343" s="2">
        <v>13163247</v>
      </c>
    </row>
    <row r="344" spans="1:3" x14ac:dyDescent="0.25">
      <c r="A344" t="s">
        <v>41</v>
      </c>
      <c r="B344" s="1" t="s">
        <v>6</v>
      </c>
      <c r="C344" s="2">
        <v>13661814</v>
      </c>
    </row>
    <row r="345" spans="1:3" x14ac:dyDescent="0.25">
      <c r="A345" t="s">
        <v>41</v>
      </c>
      <c r="B345" s="1" t="s">
        <v>7</v>
      </c>
      <c r="C345" s="2">
        <v>15670832</v>
      </c>
    </row>
    <row r="346" spans="1:3" x14ac:dyDescent="0.25">
      <c r="A346" t="s">
        <v>41</v>
      </c>
      <c r="B346" s="1" t="s">
        <v>8</v>
      </c>
      <c r="C346" s="2">
        <v>16309071</v>
      </c>
    </row>
    <row r="347" spans="1:3" x14ac:dyDescent="0.25">
      <c r="A347" t="s">
        <v>41</v>
      </c>
      <c r="B347" s="1" t="s">
        <v>9</v>
      </c>
      <c r="C347" s="2">
        <v>17580708</v>
      </c>
    </row>
    <row r="348" spans="1:3" x14ac:dyDescent="0.25">
      <c r="A348" t="s">
        <v>41</v>
      </c>
      <c r="B348" s="1" t="s">
        <v>10</v>
      </c>
      <c r="C348" s="2">
        <v>18390023</v>
      </c>
    </row>
    <row r="349" spans="1:3" x14ac:dyDescent="0.25">
      <c r="A349" t="s">
        <v>41</v>
      </c>
      <c r="B349" s="1" t="s">
        <v>11</v>
      </c>
      <c r="C349" s="2">
        <v>19366245</v>
      </c>
    </row>
    <row r="350" spans="1:3" x14ac:dyDescent="0.25">
      <c r="A350" t="s">
        <v>41</v>
      </c>
      <c r="B350" s="1" t="s">
        <v>12</v>
      </c>
      <c r="C350" s="2">
        <v>18914203</v>
      </c>
    </row>
    <row r="351" spans="1:3" x14ac:dyDescent="0.25">
      <c r="A351" t="s">
        <v>41</v>
      </c>
      <c r="B351" s="1" t="s">
        <v>13</v>
      </c>
      <c r="C351" s="2">
        <v>19193337</v>
      </c>
    </row>
    <row r="352" spans="1:3" x14ac:dyDescent="0.25">
      <c r="A352" t="s">
        <v>41</v>
      </c>
      <c r="B352" s="1" t="s">
        <v>14</v>
      </c>
      <c r="C352" s="2">
        <v>19923613</v>
      </c>
    </row>
    <row r="353" spans="1:3" x14ac:dyDescent="0.25">
      <c r="A353" t="s">
        <v>41</v>
      </c>
      <c r="B353" s="1" t="s">
        <v>15</v>
      </c>
      <c r="C353" s="2">
        <v>19491934</v>
      </c>
    </row>
    <row r="354" spans="1:3" x14ac:dyDescent="0.25">
      <c r="A354" t="s">
        <v>41</v>
      </c>
      <c r="B354" s="1" t="s">
        <v>16</v>
      </c>
      <c r="C354" s="2">
        <v>18488594</v>
      </c>
    </row>
    <row r="355" spans="1:3" x14ac:dyDescent="0.25">
      <c r="A355" t="s">
        <v>41</v>
      </c>
      <c r="B355" s="1" t="s">
        <v>17</v>
      </c>
      <c r="C355" s="2">
        <v>18369481</v>
      </c>
    </row>
    <row r="356" spans="1:3" x14ac:dyDescent="0.25">
      <c r="A356" t="s">
        <v>41</v>
      </c>
      <c r="B356" s="1" t="s">
        <v>18</v>
      </c>
      <c r="C356" s="2">
        <v>14320814</v>
      </c>
    </row>
    <row r="357" spans="1:3" x14ac:dyDescent="0.25">
      <c r="A357" t="s">
        <v>41</v>
      </c>
      <c r="B357" s="1" t="s">
        <v>19</v>
      </c>
      <c r="C357" s="2">
        <v>11608327</v>
      </c>
    </row>
    <row r="358" spans="1:3" x14ac:dyDescent="0.25">
      <c r="A358" t="s">
        <v>41</v>
      </c>
      <c r="B358" s="1" t="s">
        <v>20</v>
      </c>
      <c r="C358" s="2">
        <v>9527115</v>
      </c>
    </row>
    <row r="359" spans="1:3" x14ac:dyDescent="0.25">
      <c r="A359" t="s">
        <v>41</v>
      </c>
      <c r="B359" s="1" t="s">
        <v>21</v>
      </c>
      <c r="C359" s="2">
        <v>9267396</v>
      </c>
    </row>
    <row r="360" spans="1:3" x14ac:dyDescent="0.25">
      <c r="A360" t="s">
        <v>41</v>
      </c>
      <c r="B360" s="1" t="s">
        <v>22</v>
      </c>
      <c r="C360" s="2">
        <v>8374410</v>
      </c>
    </row>
    <row r="361" spans="1:3" x14ac:dyDescent="0.25">
      <c r="A361" t="s">
        <v>41</v>
      </c>
      <c r="B361" s="1" t="s">
        <v>23</v>
      </c>
      <c r="C361" s="2">
        <v>7766644</v>
      </c>
    </row>
    <row r="362" spans="1:3" x14ac:dyDescent="0.25">
      <c r="A362" t="s">
        <v>42</v>
      </c>
      <c r="B362" s="1" t="s">
        <v>4</v>
      </c>
      <c r="C362" s="2">
        <v>10438566</v>
      </c>
    </row>
    <row r="363" spans="1:3" x14ac:dyDescent="0.25">
      <c r="A363" t="s">
        <v>42</v>
      </c>
      <c r="B363" s="1" t="s">
        <v>5</v>
      </c>
      <c r="C363" s="2">
        <v>10874554</v>
      </c>
    </row>
    <row r="364" spans="1:3" x14ac:dyDescent="0.25">
      <c r="A364" t="s">
        <v>42</v>
      </c>
      <c r="B364" s="1" t="s">
        <v>6</v>
      </c>
      <c r="C364" s="2">
        <v>11051604</v>
      </c>
    </row>
    <row r="365" spans="1:3" x14ac:dyDescent="0.25">
      <c r="A365" t="s">
        <v>42</v>
      </c>
      <c r="B365" s="1" t="s">
        <v>7</v>
      </c>
      <c r="C365" s="2">
        <v>11550654</v>
      </c>
    </row>
    <row r="366" spans="1:3" x14ac:dyDescent="0.25">
      <c r="A366" t="s">
        <v>42</v>
      </c>
      <c r="B366" s="1" t="s">
        <v>8</v>
      </c>
      <c r="C366" s="2">
        <v>11324576</v>
      </c>
    </row>
    <row r="367" spans="1:3" x14ac:dyDescent="0.25">
      <c r="A367" t="s">
        <v>42</v>
      </c>
      <c r="B367" s="1" t="s">
        <v>9</v>
      </c>
      <c r="C367" s="2">
        <v>12149656</v>
      </c>
    </row>
    <row r="368" spans="1:3" x14ac:dyDescent="0.25">
      <c r="A368" t="s">
        <v>42</v>
      </c>
      <c r="B368" s="1" t="s">
        <v>10</v>
      </c>
      <c r="C368" s="2">
        <v>13069123</v>
      </c>
    </row>
    <row r="369" spans="1:3" x14ac:dyDescent="0.25">
      <c r="A369" t="s">
        <v>42</v>
      </c>
      <c r="B369" s="1" t="s">
        <v>11</v>
      </c>
      <c r="C369" s="2">
        <v>13858412</v>
      </c>
    </row>
    <row r="370" spans="1:3" x14ac:dyDescent="0.25">
      <c r="A370" t="s">
        <v>42</v>
      </c>
      <c r="B370" s="1" t="s">
        <v>12</v>
      </c>
      <c r="C370" s="2">
        <v>14872241</v>
      </c>
    </row>
    <row r="371" spans="1:3" x14ac:dyDescent="0.25">
      <c r="A371" t="s">
        <v>42</v>
      </c>
      <c r="B371" s="1" t="s">
        <v>13</v>
      </c>
      <c r="C371" s="2">
        <v>14207870</v>
      </c>
    </row>
    <row r="372" spans="1:3" x14ac:dyDescent="0.25">
      <c r="A372" t="s">
        <v>42</v>
      </c>
      <c r="B372" s="1" t="s">
        <v>14</v>
      </c>
      <c r="C372" s="2">
        <v>15012254</v>
      </c>
    </row>
    <row r="373" spans="1:3" x14ac:dyDescent="0.25">
      <c r="A373" t="s">
        <v>42</v>
      </c>
      <c r="B373" s="1" t="s">
        <v>15</v>
      </c>
      <c r="C373" s="2">
        <v>14729081</v>
      </c>
    </row>
    <row r="374" spans="1:3" x14ac:dyDescent="0.25">
      <c r="A374" t="s">
        <v>42</v>
      </c>
      <c r="B374" s="1" t="s">
        <v>16</v>
      </c>
      <c r="C374" s="2">
        <v>14268757</v>
      </c>
    </row>
    <row r="375" spans="1:3" x14ac:dyDescent="0.25">
      <c r="A375" t="s">
        <v>42</v>
      </c>
      <c r="B375" s="1" t="s">
        <v>17</v>
      </c>
      <c r="C375" s="2">
        <v>14344283</v>
      </c>
    </row>
    <row r="376" spans="1:3" x14ac:dyDescent="0.25">
      <c r="A376" t="s">
        <v>42</v>
      </c>
      <c r="B376" s="1" t="s">
        <v>18</v>
      </c>
      <c r="C376" s="2">
        <v>13944876</v>
      </c>
    </row>
    <row r="377" spans="1:3" x14ac:dyDescent="0.25">
      <c r="A377" t="s">
        <v>42</v>
      </c>
      <c r="B377" s="1" t="s">
        <v>19</v>
      </c>
      <c r="C377" s="2">
        <v>13772663</v>
      </c>
    </row>
    <row r="378" spans="1:3" x14ac:dyDescent="0.25">
      <c r="A378" t="s">
        <v>42</v>
      </c>
      <c r="B378" s="1" t="s">
        <v>20</v>
      </c>
      <c r="C378" s="2">
        <v>12885415</v>
      </c>
    </row>
    <row r="379" spans="1:3" x14ac:dyDescent="0.25">
      <c r="A379" t="s">
        <v>42</v>
      </c>
      <c r="B379" s="1" t="s">
        <v>21</v>
      </c>
      <c r="C379" s="2">
        <v>14139078</v>
      </c>
    </row>
    <row r="380" spans="1:3" x14ac:dyDescent="0.25">
      <c r="A380" t="s">
        <v>42</v>
      </c>
      <c r="B380" s="1" t="s">
        <v>22</v>
      </c>
      <c r="C380" s="2">
        <v>15079881</v>
      </c>
    </row>
    <row r="381" spans="1:3" x14ac:dyDescent="0.25">
      <c r="A381" t="s">
        <v>42</v>
      </c>
      <c r="B381" s="1" t="s">
        <v>23</v>
      </c>
      <c r="C381" s="2">
        <v>16687285</v>
      </c>
    </row>
    <row r="382" spans="1:3" x14ac:dyDescent="0.25">
      <c r="A382" t="s">
        <v>43</v>
      </c>
      <c r="B382" s="1" t="s">
        <v>4</v>
      </c>
      <c r="C382" s="2">
        <v>2795605</v>
      </c>
    </row>
    <row r="383" spans="1:3" x14ac:dyDescent="0.25">
      <c r="A383" t="s">
        <v>43</v>
      </c>
      <c r="B383" s="1" t="s">
        <v>5</v>
      </c>
      <c r="C383" s="2">
        <v>2952087</v>
      </c>
    </row>
    <row r="384" spans="1:3" x14ac:dyDescent="0.25">
      <c r="A384" t="s">
        <v>43</v>
      </c>
      <c r="B384" s="1" t="s">
        <v>6</v>
      </c>
      <c r="C384" s="2">
        <v>2855800</v>
      </c>
    </row>
    <row r="385" spans="1:3" x14ac:dyDescent="0.25">
      <c r="A385" t="s">
        <v>43</v>
      </c>
      <c r="B385" s="1" t="s">
        <v>7</v>
      </c>
      <c r="C385" s="2">
        <v>2982477</v>
      </c>
    </row>
    <row r="386" spans="1:3" x14ac:dyDescent="0.25">
      <c r="A386" t="s">
        <v>43</v>
      </c>
      <c r="B386" s="1" t="s">
        <v>8</v>
      </c>
      <c r="C386" s="2">
        <v>3058799</v>
      </c>
    </row>
    <row r="387" spans="1:3" x14ac:dyDescent="0.25">
      <c r="A387" t="s">
        <v>43</v>
      </c>
      <c r="B387" s="1" t="s">
        <v>9</v>
      </c>
      <c r="C387" s="2">
        <v>3268904</v>
      </c>
    </row>
    <row r="388" spans="1:3" x14ac:dyDescent="0.25">
      <c r="A388" t="s">
        <v>43</v>
      </c>
      <c r="B388" s="1" t="s">
        <v>10</v>
      </c>
      <c r="C388" s="2">
        <v>3955309</v>
      </c>
    </row>
    <row r="389" spans="1:3" x14ac:dyDescent="0.25">
      <c r="A389" t="s">
        <v>43</v>
      </c>
      <c r="B389" s="1" t="s">
        <v>11</v>
      </c>
      <c r="C389" s="2">
        <v>4156767</v>
      </c>
    </row>
    <row r="390" spans="1:3" x14ac:dyDescent="0.25">
      <c r="A390" t="s">
        <v>43</v>
      </c>
      <c r="B390" s="1" t="s">
        <v>12</v>
      </c>
      <c r="C390" s="2">
        <v>4295556</v>
      </c>
    </row>
    <row r="391" spans="1:3" x14ac:dyDescent="0.25">
      <c r="A391" t="s">
        <v>43</v>
      </c>
      <c r="B391" s="1" t="s">
        <v>13</v>
      </c>
      <c r="C391" s="2">
        <v>4664906</v>
      </c>
    </row>
    <row r="392" spans="1:3" x14ac:dyDescent="0.25">
      <c r="A392" t="s">
        <v>43</v>
      </c>
      <c r="B392" s="1" t="s">
        <v>14</v>
      </c>
      <c r="C392" s="2">
        <v>4955278</v>
      </c>
    </row>
    <row r="393" spans="1:3" x14ac:dyDescent="0.25">
      <c r="A393" t="s">
        <v>43</v>
      </c>
      <c r="B393" s="1" t="s">
        <v>15</v>
      </c>
      <c r="C393" s="2">
        <v>5105932</v>
      </c>
    </row>
    <row r="394" spans="1:3" x14ac:dyDescent="0.25">
      <c r="A394" t="s">
        <v>43</v>
      </c>
      <c r="B394" s="1" t="s">
        <v>16</v>
      </c>
      <c r="C394" s="2">
        <v>5132691</v>
      </c>
    </row>
    <row r="395" spans="1:3" x14ac:dyDescent="0.25">
      <c r="A395" t="s">
        <v>43</v>
      </c>
      <c r="B395" s="1" t="s">
        <v>17</v>
      </c>
      <c r="C395" s="2">
        <v>5354506</v>
      </c>
    </row>
    <row r="396" spans="1:3" x14ac:dyDescent="0.25">
      <c r="A396" t="s">
        <v>43</v>
      </c>
      <c r="B396" s="1" t="s">
        <v>18</v>
      </c>
      <c r="C396" s="2">
        <v>5649139</v>
      </c>
    </row>
    <row r="397" spans="1:3" x14ac:dyDescent="0.25">
      <c r="A397" t="s">
        <v>43</v>
      </c>
      <c r="B397" s="1" t="s">
        <v>19</v>
      </c>
      <c r="C397" s="2">
        <v>6076409</v>
      </c>
    </row>
    <row r="398" spans="1:3" x14ac:dyDescent="0.25">
      <c r="A398" t="s">
        <v>43</v>
      </c>
      <c r="B398" s="1" t="s">
        <v>20</v>
      </c>
      <c r="C398" s="2">
        <v>6412669</v>
      </c>
    </row>
    <row r="399" spans="1:3" x14ac:dyDescent="0.25">
      <c r="A399" t="s">
        <v>43</v>
      </c>
      <c r="B399" s="1" t="s">
        <v>21</v>
      </c>
      <c r="C399" s="2">
        <v>6850618</v>
      </c>
    </row>
    <row r="400" spans="1:3" x14ac:dyDescent="0.25">
      <c r="A400" t="s">
        <v>43</v>
      </c>
      <c r="B400" s="1" t="s">
        <v>22</v>
      </c>
      <c r="C400" s="2">
        <v>7226652</v>
      </c>
    </row>
    <row r="401" spans="1:3" x14ac:dyDescent="0.25">
      <c r="A401" t="s">
        <v>43</v>
      </c>
      <c r="B401" s="1" t="s">
        <v>23</v>
      </c>
      <c r="C401" s="2">
        <v>8064115</v>
      </c>
    </row>
    <row r="402" spans="1:3" x14ac:dyDescent="0.25">
      <c r="A402" t="s">
        <v>44</v>
      </c>
      <c r="B402" s="1" t="s">
        <v>4</v>
      </c>
      <c r="C402" s="2">
        <v>59051838</v>
      </c>
    </row>
    <row r="403" spans="1:3" x14ac:dyDescent="0.25">
      <c r="A403" t="s">
        <v>44</v>
      </c>
      <c r="B403" s="1" t="s">
        <v>5</v>
      </c>
      <c r="C403" s="2">
        <v>60894998</v>
      </c>
    </row>
    <row r="404" spans="1:3" x14ac:dyDescent="0.25">
      <c r="A404" t="s">
        <v>44</v>
      </c>
      <c r="B404" s="1" t="s">
        <v>6</v>
      </c>
      <c r="C404" s="2">
        <v>60858028</v>
      </c>
    </row>
    <row r="405" spans="1:3" x14ac:dyDescent="0.25">
      <c r="A405" t="s">
        <v>44</v>
      </c>
      <c r="B405" s="1" t="s">
        <v>7</v>
      </c>
      <c r="C405" s="2">
        <v>60859618</v>
      </c>
    </row>
    <row r="406" spans="1:3" x14ac:dyDescent="0.25">
      <c r="A406" t="s">
        <v>44</v>
      </c>
      <c r="B406" s="1" t="s">
        <v>8</v>
      </c>
      <c r="C406" s="2">
        <v>132337254</v>
      </c>
    </row>
    <row r="407" spans="1:3" x14ac:dyDescent="0.25">
      <c r="A407" t="s">
        <v>44</v>
      </c>
      <c r="B407" s="1" t="s">
        <v>9</v>
      </c>
      <c r="C407" s="2">
        <v>134811292</v>
      </c>
    </row>
    <row r="408" spans="1:3" x14ac:dyDescent="0.25">
      <c r="A408" t="s">
        <v>44</v>
      </c>
      <c r="B408" s="1" t="s">
        <v>10</v>
      </c>
      <c r="C408" s="2">
        <v>131686962</v>
      </c>
    </row>
    <row r="409" spans="1:3" x14ac:dyDescent="0.25">
      <c r="A409" t="s">
        <v>44</v>
      </c>
      <c r="B409" s="1" t="s">
        <v>11</v>
      </c>
      <c r="C409" s="2">
        <v>132760609</v>
      </c>
    </row>
    <row r="410" spans="1:3" x14ac:dyDescent="0.25">
      <c r="A410" t="s">
        <v>44</v>
      </c>
      <c r="B410" s="1" t="s">
        <v>12</v>
      </c>
      <c r="C410" s="2">
        <v>147845204</v>
      </c>
    </row>
    <row r="411" spans="1:3" x14ac:dyDescent="0.25">
      <c r="A411" t="s">
        <v>44</v>
      </c>
      <c r="B411" s="1" t="s">
        <v>13</v>
      </c>
      <c r="C411" s="2">
        <v>141733902</v>
      </c>
    </row>
    <row r="412" spans="1:3" x14ac:dyDescent="0.25">
      <c r="A412" t="s">
        <v>44</v>
      </c>
      <c r="B412" s="1" t="s">
        <v>14</v>
      </c>
      <c r="C412" s="2">
        <v>139708268</v>
      </c>
    </row>
    <row r="413" spans="1:3" x14ac:dyDescent="0.25">
      <c r="A413" t="s">
        <v>44</v>
      </c>
      <c r="B413" s="1" t="s">
        <v>15</v>
      </c>
      <c r="C413" s="2">
        <v>126689753</v>
      </c>
    </row>
    <row r="414" spans="1:3" x14ac:dyDescent="0.25">
      <c r="A414" t="s">
        <v>44</v>
      </c>
      <c r="B414" s="1" t="s">
        <v>16</v>
      </c>
      <c r="C414" s="2">
        <v>122982923</v>
      </c>
    </row>
    <row r="415" spans="1:3" x14ac:dyDescent="0.25">
      <c r="A415" t="s">
        <v>44</v>
      </c>
      <c r="B415" s="1" t="s">
        <v>17</v>
      </c>
      <c r="C415" s="2">
        <v>125517052</v>
      </c>
    </row>
    <row r="416" spans="1:3" x14ac:dyDescent="0.25">
      <c r="A416" t="s">
        <v>44</v>
      </c>
      <c r="B416" s="1" t="s">
        <v>18</v>
      </c>
      <c r="C416" s="2">
        <v>127443775</v>
      </c>
    </row>
    <row r="417" spans="1:3" x14ac:dyDescent="0.25">
      <c r="A417" t="s">
        <v>44</v>
      </c>
      <c r="B417" s="1" t="s">
        <v>19</v>
      </c>
      <c r="C417" s="2">
        <v>125155305</v>
      </c>
    </row>
    <row r="418" spans="1:3" x14ac:dyDescent="0.25">
      <c r="A418" t="s">
        <v>44</v>
      </c>
      <c r="B418" s="1" t="s">
        <v>20</v>
      </c>
      <c r="C418" s="2">
        <v>131718866</v>
      </c>
    </row>
    <row r="419" spans="1:3" x14ac:dyDescent="0.25">
      <c r="A419" t="s">
        <v>44</v>
      </c>
      <c r="B419" s="1" t="s">
        <v>21</v>
      </c>
      <c r="C419" s="2">
        <v>138109397</v>
      </c>
    </row>
    <row r="420" spans="1:3" x14ac:dyDescent="0.25">
      <c r="A420" t="s">
        <v>44</v>
      </c>
      <c r="B420" s="1" t="s">
        <v>22</v>
      </c>
      <c r="C420" s="2">
        <v>144077164</v>
      </c>
    </row>
    <row r="421" spans="1:3" x14ac:dyDescent="0.25">
      <c r="A421" t="s">
        <v>44</v>
      </c>
      <c r="B421" s="1" t="s">
        <v>23</v>
      </c>
      <c r="C421" s="2">
        <v>134596053</v>
      </c>
    </row>
    <row r="422" spans="1:3" x14ac:dyDescent="0.25">
      <c r="A422" t="s">
        <v>45</v>
      </c>
      <c r="B422" s="1" t="s">
        <v>4</v>
      </c>
      <c r="C422" s="2">
        <v>5603841</v>
      </c>
    </row>
    <row r="423" spans="1:3" x14ac:dyDescent="0.25">
      <c r="A423" t="s">
        <v>45</v>
      </c>
      <c r="B423" s="1" t="s">
        <v>5</v>
      </c>
      <c r="C423" s="2">
        <v>5979114</v>
      </c>
    </row>
    <row r="424" spans="1:3" x14ac:dyDescent="0.25">
      <c r="A424" t="s">
        <v>45</v>
      </c>
      <c r="B424" s="1" t="s">
        <v>6</v>
      </c>
      <c r="C424" s="2">
        <v>6197667</v>
      </c>
    </row>
    <row r="425" spans="1:3" x14ac:dyDescent="0.25">
      <c r="A425" t="s">
        <v>45</v>
      </c>
      <c r="B425" s="1" t="s">
        <v>7</v>
      </c>
      <c r="C425" s="2">
        <v>6548959</v>
      </c>
    </row>
    <row r="426" spans="1:3" x14ac:dyDescent="0.25">
      <c r="A426" t="s">
        <v>45</v>
      </c>
      <c r="B426" s="1" t="s">
        <v>8</v>
      </c>
      <c r="C426" s="2">
        <v>6683759</v>
      </c>
    </row>
    <row r="427" spans="1:3" x14ac:dyDescent="0.25">
      <c r="A427" t="s">
        <v>45</v>
      </c>
      <c r="B427" s="1" t="s">
        <v>9</v>
      </c>
      <c r="C427" s="2">
        <v>6807405</v>
      </c>
    </row>
    <row r="428" spans="1:3" x14ac:dyDescent="0.25">
      <c r="A428" t="s">
        <v>45</v>
      </c>
      <c r="B428" s="1" t="s">
        <v>10</v>
      </c>
      <c r="C428" s="2">
        <v>6815433</v>
      </c>
    </row>
    <row r="429" spans="1:3" x14ac:dyDescent="0.25">
      <c r="A429" t="s">
        <v>45</v>
      </c>
      <c r="B429" s="1" t="s">
        <v>11</v>
      </c>
      <c r="C429" s="2">
        <v>7140003</v>
      </c>
    </row>
    <row r="430" spans="1:3" x14ac:dyDescent="0.25">
      <c r="A430" t="s">
        <v>45</v>
      </c>
      <c r="B430" s="1" t="s">
        <v>12</v>
      </c>
      <c r="C430" s="2">
        <v>6735983</v>
      </c>
    </row>
    <row r="431" spans="1:3" x14ac:dyDescent="0.25">
      <c r="A431" t="s">
        <v>45</v>
      </c>
      <c r="B431" s="1" t="s">
        <v>13</v>
      </c>
      <c r="C431" s="2">
        <v>6347363</v>
      </c>
    </row>
    <row r="432" spans="1:3" x14ac:dyDescent="0.25">
      <c r="A432" t="s">
        <v>45</v>
      </c>
      <c r="B432" s="1" t="s">
        <v>14</v>
      </c>
      <c r="C432" s="2">
        <v>6813793</v>
      </c>
    </row>
    <row r="433" spans="1:3" x14ac:dyDescent="0.25">
      <c r="A433" t="s">
        <v>45</v>
      </c>
      <c r="B433" s="1" t="s">
        <v>15</v>
      </c>
      <c r="C433" s="2">
        <v>7428576</v>
      </c>
    </row>
    <row r="434" spans="1:3" x14ac:dyDescent="0.25">
      <c r="A434" t="s">
        <v>45</v>
      </c>
      <c r="B434" s="1" t="s">
        <v>16</v>
      </c>
      <c r="C434" s="2">
        <v>7703757</v>
      </c>
    </row>
    <row r="435" spans="1:3" x14ac:dyDescent="0.25">
      <c r="A435" t="s">
        <v>45</v>
      </c>
      <c r="B435" s="1" t="s">
        <v>17</v>
      </c>
      <c r="C435" s="2">
        <v>8733158</v>
      </c>
    </row>
    <row r="436" spans="1:3" x14ac:dyDescent="0.25">
      <c r="A436" t="s">
        <v>45</v>
      </c>
      <c r="B436" s="1" t="s">
        <v>18</v>
      </c>
      <c r="C436" s="2">
        <v>9121953</v>
      </c>
    </row>
    <row r="437" spans="1:3" x14ac:dyDescent="0.25">
      <c r="A437" t="s">
        <v>45</v>
      </c>
      <c r="B437" s="1" t="s">
        <v>19</v>
      </c>
      <c r="C437" s="2">
        <v>9812089</v>
      </c>
    </row>
    <row r="438" spans="1:3" x14ac:dyDescent="0.25">
      <c r="A438" t="s">
        <v>45</v>
      </c>
      <c r="B438" s="1" t="s">
        <v>20</v>
      </c>
      <c r="C438" s="2">
        <v>10287872</v>
      </c>
    </row>
    <row r="439" spans="1:3" x14ac:dyDescent="0.25">
      <c r="A439" t="s">
        <v>45</v>
      </c>
      <c r="B439" s="1" t="s">
        <v>21</v>
      </c>
      <c r="C439" s="2">
        <v>11123180</v>
      </c>
    </row>
    <row r="440" spans="1:3" x14ac:dyDescent="0.25">
      <c r="A440" t="s">
        <v>45</v>
      </c>
      <c r="B440" s="1" t="s">
        <v>22</v>
      </c>
      <c r="C440" s="2">
        <v>12009465</v>
      </c>
    </row>
    <row r="441" spans="1:3" x14ac:dyDescent="0.25">
      <c r="A441" t="s">
        <v>45</v>
      </c>
      <c r="B441" s="1" t="s">
        <v>23</v>
      </c>
      <c r="C441" s="2">
        <v>12409218</v>
      </c>
    </row>
    <row r="442" spans="1:3" x14ac:dyDescent="0.25">
      <c r="A442" t="s">
        <v>46</v>
      </c>
      <c r="B442" s="1" t="s">
        <v>4</v>
      </c>
      <c r="C442" s="2">
        <v>1314061</v>
      </c>
    </row>
    <row r="443" spans="1:3" x14ac:dyDescent="0.25">
      <c r="A443" t="s">
        <v>46</v>
      </c>
      <c r="B443" s="1" t="s">
        <v>5</v>
      </c>
      <c r="C443" s="2">
        <v>1352306</v>
      </c>
    </row>
    <row r="444" spans="1:3" x14ac:dyDescent="0.25">
      <c r="A444" t="s">
        <v>46</v>
      </c>
      <c r="B444" s="1" t="s">
        <v>6</v>
      </c>
      <c r="C444" s="2">
        <v>1240994</v>
      </c>
    </row>
    <row r="445" spans="1:3" x14ac:dyDescent="0.25">
      <c r="A445" t="s">
        <v>46</v>
      </c>
      <c r="B445" s="1" t="s">
        <v>7</v>
      </c>
      <c r="C445" s="2">
        <v>1246702</v>
      </c>
    </row>
    <row r="446" spans="1:3" x14ac:dyDescent="0.25">
      <c r="A446" t="s">
        <v>46</v>
      </c>
      <c r="B446" s="1" t="s">
        <v>8</v>
      </c>
      <c r="C446" s="2">
        <v>1302437</v>
      </c>
    </row>
    <row r="447" spans="1:3" x14ac:dyDescent="0.25">
      <c r="A447" t="s">
        <v>46</v>
      </c>
      <c r="B447" s="1" t="s">
        <v>9</v>
      </c>
      <c r="C447" s="2">
        <v>1439109</v>
      </c>
    </row>
    <row r="448" spans="1:3" x14ac:dyDescent="0.25">
      <c r="A448" t="s">
        <v>46</v>
      </c>
      <c r="B448" s="1" t="s">
        <v>10</v>
      </c>
      <c r="C448" s="2">
        <v>3311188</v>
      </c>
    </row>
    <row r="449" spans="1:3" x14ac:dyDescent="0.25">
      <c r="A449" t="s">
        <v>46</v>
      </c>
      <c r="B449" s="1" t="s">
        <v>11</v>
      </c>
      <c r="C449" s="2">
        <v>3276730</v>
      </c>
    </row>
    <row r="450" spans="1:3" x14ac:dyDescent="0.25">
      <c r="A450" t="s">
        <v>46</v>
      </c>
      <c r="B450" s="1" t="s">
        <v>12</v>
      </c>
      <c r="C450" s="2">
        <v>3455690</v>
      </c>
    </row>
    <row r="451" spans="1:3" x14ac:dyDescent="0.25">
      <c r="A451" t="s">
        <v>46</v>
      </c>
      <c r="B451" s="1" t="s">
        <v>13</v>
      </c>
      <c r="C451" s="2">
        <v>3785747</v>
      </c>
    </row>
    <row r="452" spans="1:3" x14ac:dyDescent="0.25">
      <c r="A452" t="s">
        <v>46</v>
      </c>
      <c r="B452" s="1" t="s">
        <v>14</v>
      </c>
      <c r="C452" s="2">
        <v>4074205</v>
      </c>
    </row>
    <row r="453" spans="1:3" x14ac:dyDescent="0.25">
      <c r="A453" t="s">
        <v>46</v>
      </c>
      <c r="B453" s="1" t="s">
        <v>15</v>
      </c>
      <c r="C453" s="2">
        <v>4299853</v>
      </c>
    </row>
    <row r="454" spans="1:3" x14ac:dyDescent="0.25">
      <c r="A454" t="s">
        <v>46</v>
      </c>
      <c r="B454" s="1" t="s">
        <v>16</v>
      </c>
      <c r="C454" s="2">
        <v>4400480</v>
      </c>
    </row>
    <row r="455" spans="1:3" x14ac:dyDescent="0.25">
      <c r="A455" t="s">
        <v>46</v>
      </c>
      <c r="B455" s="1" t="s">
        <v>17</v>
      </c>
      <c r="C455" s="2">
        <v>4986858</v>
      </c>
    </row>
    <row r="456" spans="1:3" x14ac:dyDescent="0.25">
      <c r="A456" t="s">
        <v>46</v>
      </c>
      <c r="B456" s="1" t="s">
        <v>18</v>
      </c>
      <c r="C456" s="2">
        <v>5056863</v>
      </c>
    </row>
    <row r="457" spans="1:3" x14ac:dyDescent="0.25">
      <c r="A457" t="s">
        <v>46</v>
      </c>
      <c r="B457" s="1" t="s">
        <v>19</v>
      </c>
      <c r="C457" s="2">
        <v>5519188</v>
      </c>
    </row>
    <row r="458" spans="1:3" x14ac:dyDescent="0.25">
      <c r="A458" t="s">
        <v>46</v>
      </c>
      <c r="B458" s="1" t="s">
        <v>20</v>
      </c>
      <c r="C458" s="2">
        <v>5429210</v>
      </c>
    </row>
    <row r="459" spans="1:3" x14ac:dyDescent="0.25">
      <c r="A459" t="s">
        <v>46</v>
      </c>
      <c r="B459" s="1" t="s">
        <v>21</v>
      </c>
      <c r="C459" s="2">
        <v>6712205</v>
      </c>
    </row>
    <row r="460" spans="1:3" x14ac:dyDescent="0.25">
      <c r="A460" t="s">
        <v>46</v>
      </c>
      <c r="B460" s="1" t="s">
        <v>22</v>
      </c>
      <c r="C460" s="2">
        <v>7465262</v>
      </c>
    </row>
    <row r="461" spans="1:3" x14ac:dyDescent="0.25">
      <c r="A461" t="s">
        <v>46</v>
      </c>
      <c r="B461" s="1" t="s">
        <v>23</v>
      </c>
      <c r="C461" s="2">
        <v>8064123</v>
      </c>
    </row>
    <row r="462" spans="1:3" x14ac:dyDescent="0.25">
      <c r="A462" t="s">
        <v>47</v>
      </c>
      <c r="B462" s="1" t="s">
        <v>4</v>
      </c>
      <c r="C462" s="2">
        <v>470655</v>
      </c>
    </row>
    <row r="463" spans="1:3" x14ac:dyDescent="0.25">
      <c r="A463" t="s">
        <v>47</v>
      </c>
      <c r="B463" s="1" t="s">
        <v>5</v>
      </c>
      <c r="C463" s="2">
        <v>462405</v>
      </c>
    </row>
    <row r="464" spans="1:3" x14ac:dyDescent="0.25">
      <c r="A464" t="s">
        <v>47</v>
      </c>
      <c r="B464" s="1" t="s">
        <v>6</v>
      </c>
      <c r="C464" s="2">
        <v>428049</v>
      </c>
    </row>
    <row r="465" spans="1:3" x14ac:dyDescent="0.25">
      <c r="A465" t="s">
        <v>47</v>
      </c>
      <c r="B465" s="1" t="s">
        <v>7</v>
      </c>
      <c r="C465" s="2">
        <v>392855</v>
      </c>
    </row>
    <row r="466" spans="1:3" x14ac:dyDescent="0.25">
      <c r="A466" t="s">
        <v>47</v>
      </c>
      <c r="B466" s="1" t="s">
        <v>8</v>
      </c>
      <c r="C466" s="2">
        <v>365320</v>
      </c>
    </row>
    <row r="467" spans="1:3" x14ac:dyDescent="0.25">
      <c r="A467" t="s">
        <v>47</v>
      </c>
      <c r="B467" s="1" t="s">
        <v>9</v>
      </c>
      <c r="C467" s="2">
        <v>375055</v>
      </c>
    </row>
    <row r="468" spans="1:3" x14ac:dyDescent="0.25">
      <c r="A468" t="s">
        <v>47</v>
      </c>
      <c r="B468" s="1" t="s">
        <v>10</v>
      </c>
      <c r="C468" s="2">
        <v>363171</v>
      </c>
    </row>
    <row r="469" spans="1:3" x14ac:dyDescent="0.25">
      <c r="A469" t="s">
        <v>47</v>
      </c>
      <c r="B469" s="1" t="s">
        <v>11</v>
      </c>
      <c r="C469" s="2">
        <v>284795</v>
      </c>
    </row>
    <row r="470" spans="1:3" x14ac:dyDescent="0.25">
      <c r="A470" t="s">
        <v>47</v>
      </c>
      <c r="B470" s="1" t="s">
        <v>12</v>
      </c>
      <c r="C470" s="2">
        <v>309912</v>
      </c>
    </row>
    <row r="471" spans="1:3" x14ac:dyDescent="0.25">
      <c r="A471" t="s">
        <v>47</v>
      </c>
      <c r="B471" s="1" t="s">
        <v>13</v>
      </c>
      <c r="C471" s="2">
        <v>273020</v>
      </c>
    </row>
    <row r="472" spans="1:3" x14ac:dyDescent="0.25">
      <c r="A472" t="s">
        <v>47</v>
      </c>
      <c r="B472" s="1" t="s">
        <v>14</v>
      </c>
      <c r="C472" s="2">
        <v>618898</v>
      </c>
    </row>
    <row r="473" spans="1:3" x14ac:dyDescent="0.25">
      <c r="A473" t="s">
        <v>47</v>
      </c>
      <c r="B473" s="1" t="s">
        <v>15</v>
      </c>
      <c r="C473" s="2">
        <v>907956</v>
      </c>
    </row>
    <row r="474" spans="1:3" x14ac:dyDescent="0.25">
      <c r="A474" t="s">
        <v>47</v>
      </c>
      <c r="B474" s="1" t="s">
        <v>16</v>
      </c>
      <c r="C474" s="2">
        <v>1292028</v>
      </c>
    </row>
    <row r="475" spans="1:3" x14ac:dyDescent="0.25">
      <c r="A475" t="s">
        <v>47</v>
      </c>
      <c r="B475" s="1" t="s">
        <v>17</v>
      </c>
      <c r="C475" s="2">
        <v>2171114</v>
      </c>
    </row>
    <row r="476" spans="1:3" x14ac:dyDescent="0.25">
      <c r="A476" t="s">
        <v>47</v>
      </c>
      <c r="B476" s="1" t="s">
        <v>18</v>
      </c>
      <c r="C476" s="2">
        <v>3727237</v>
      </c>
    </row>
    <row r="477" spans="1:3" x14ac:dyDescent="0.25">
      <c r="A477" t="s">
        <v>47</v>
      </c>
      <c r="B477" s="1" t="s">
        <v>19</v>
      </c>
      <c r="C477" s="2">
        <v>3321101</v>
      </c>
    </row>
    <row r="478" spans="1:3" x14ac:dyDescent="0.25">
      <c r="A478" t="s">
        <v>47</v>
      </c>
      <c r="B478" s="1" t="s">
        <v>20</v>
      </c>
      <c r="C478" s="2">
        <v>6144616</v>
      </c>
    </row>
    <row r="479" spans="1:3" x14ac:dyDescent="0.25">
      <c r="A479" t="s">
        <v>47</v>
      </c>
      <c r="B479" s="1" t="s">
        <v>21</v>
      </c>
      <c r="C479" s="2">
        <v>7257028</v>
      </c>
    </row>
    <row r="480" spans="1:3" x14ac:dyDescent="0.25">
      <c r="A480" t="s">
        <v>47</v>
      </c>
      <c r="B480" s="1" t="s">
        <v>22</v>
      </c>
      <c r="C480" s="2">
        <v>8156070</v>
      </c>
    </row>
    <row r="481" spans="1:3" x14ac:dyDescent="0.25">
      <c r="A481" t="s">
        <v>47</v>
      </c>
      <c r="B481" s="1" t="s">
        <v>23</v>
      </c>
      <c r="C481" s="2">
        <v>9427987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4E87-5557-46C6-AE38-B81548E4D489}">
  <dimension ref="A1:E481"/>
  <sheetViews>
    <sheetView workbookViewId="0">
      <selection activeCell="C2" sqref="C2"/>
    </sheetView>
  </sheetViews>
  <sheetFormatPr defaultRowHeight="15" x14ac:dyDescent="0.25"/>
  <cols>
    <col min="3" max="3" width="15.5703125" customWidth="1"/>
    <col min="4" max="4" width="21.7109375" customWidth="1"/>
    <col min="5" max="5" width="15.7109375" customWidth="1"/>
  </cols>
  <sheetData>
    <row r="1" spans="1:5" x14ac:dyDescent="0.25">
      <c r="A1" t="s">
        <v>0</v>
      </c>
      <c r="B1" t="s">
        <v>1</v>
      </c>
      <c r="C1" t="s">
        <v>609</v>
      </c>
      <c r="D1" t="s">
        <v>58</v>
      </c>
      <c r="E1" t="s">
        <v>52</v>
      </c>
    </row>
    <row r="2" spans="1:5" x14ac:dyDescent="0.25">
      <c r="A2" t="s">
        <v>24</v>
      </c>
      <c r="B2" s="1" t="s">
        <v>4</v>
      </c>
      <c r="C2" s="2">
        <v>724495578</v>
      </c>
      <c r="D2" s="2">
        <v>1064732202</v>
      </c>
      <c r="E2">
        <f>(C2/D2)*100</f>
        <v>68.044863923445035</v>
      </c>
    </row>
    <row r="3" spans="1:5" x14ac:dyDescent="0.25">
      <c r="A3" t="s">
        <v>24</v>
      </c>
      <c r="B3" s="1" t="s">
        <v>5</v>
      </c>
      <c r="C3" s="2">
        <v>758966857</v>
      </c>
      <c r="D3" s="2">
        <v>1097368442</v>
      </c>
      <c r="E3">
        <f t="shared" ref="E3:E66" si="0">(C3/D3)*100</f>
        <v>69.16244608025643</v>
      </c>
    </row>
    <row r="4" spans="1:5" x14ac:dyDescent="0.25">
      <c r="A4" t="s">
        <v>24</v>
      </c>
      <c r="B4" s="1" t="s">
        <v>6</v>
      </c>
      <c r="C4" s="2">
        <v>772744690</v>
      </c>
      <c r="D4" s="2">
        <v>1125400727</v>
      </c>
      <c r="E4">
        <f t="shared" si="0"/>
        <v>68.663958664743248</v>
      </c>
    </row>
    <row r="5" spans="1:5" x14ac:dyDescent="0.25">
      <c r="A5" t="s">
        <v>24</v>
      </c>
      <c r="B5" s="1" t="s">
        <v>7</v>
      </c>
      <c r="C5" s="2">
        <v>804356813</v>
      </c>
      <c r="D5" s="2">
        <v>1234200039</v>
      </c>
      <c r="E5">
        <f t="shared" si="0"/>
        <v>65.172321145907858</v>
      </c>
    </row>
    <row r="6" spans="1:5" x14ac:dyDescent="0.25">
      <c r="A6" t="s">
        <v>24</v>
      </c>
      <c r="B6" s="1" t="s">
        <v>8</v>
      </c>
      <c r="C6" s="2">
        <v>814573961</v>
      </c>
      <c r="D6" s="2">
        <v>1216323558</v>
      </c>
      <c r="E6">
        <f t="shared" si="0"/>
        <v>66.970170530890925</v>
      </c>
    </row>
    <row r="7" spans="1:5" x14ac:dyDescent="0.25">
      <c r="A7" t="s">
        <v>24</v>
      </c>
      <c r="B7" s="1" t="s">
        <v>9</v>
      </c>
      <c r="C7" s="2">
        <v>844555967</v>
      </c>
      <c r="D7" s="2">
        <v>1224398243</v>
      </c>
      <c r="E7">
        <f t="shared" si="0"/>
        <v>68.977227942657208</v>
      </c>
    </row>
    <row r="8" spans="1:5" x14ac:dyDescent="0.25">
      <c r="A8" t="s">
        <v>24</v>
      </c>
      <c r="B8" s="1" t="s">
        <v>10</v>
      </c>
      <c r="C8" s="2">
        <v>857284886</v>
      </c>
      <c r="D8" s="2">
        <v>1238657773</v>
      </c>
      <c r="E8">
        <f t="shared" si="0"/>
        <v>69.210794513780527</v>
      </c>
    </row>
    <row r="9" spans="1:5" x14ac:dyDescent="0.25">
      <c r="A9" t="s">
        <v>24</v>
      </c>
      <c r="B9" s="1" t="s">
        <v>11</v>
      </c>
      <c r="C9" s="2">
        <v>859570854</v>
      </c>
      <c r="D9" s="2">
        <v>1343077860</v>
      </c>
      <c r="E9">
        <f t="shared" si="0"/>
        <v>64.000076213005258</v>
      </c>
    </row>
    <row r="10" spans="1:5" x14ac:dyDescent="0.25">
      <c r="A10" t="s">
        <v>24</v>
      </c>
      <c r="B10" s="1" t="s">
        <v>12</v>
      </c>
      <c r="C10" s="2">
        <v>884269043</v>
      </c>
      <c r="D10" s="2">
        <v>1287093817</v>
      </c>
      <c r="E10">
        <f t="shared" si="0"/>
        <v>68.702765200215396</v>
      </c>
    </row>
    <row r="11" spans="1:5" x14ac:dyDescent="0.25">
      <c r="A11" t="s">
        <v>24</v>
      </c>
      <c r="B11" s="1" t="s">
        <v>13</v>
      </c>
      <c r="C11" s="2">
        <v>869055785</v>
      </c>
      <c r="D11" s="2">
        <v>1309320867</v>
      </c>
      <c r="E11">
        <f t="shared" si="0"/>
        <v>66.374546293700817</v>
      </c>
    </row>
    <row r="12" spans="1:5" x14ac:dyDescent="0.25">
      <c r="A12" t="s">
        <v>24</v>
      </c>
      <c r="B12" s="1" t="s">
        <v>14</v>
      </c>
      <c r="C12" s="2">
        <v>877560684</v>
      </c>
      <c r="D12" s="2">
        <v>1359555560</v>
      </c>
      <c r="E12">
        <f t="shared" si="0"/>
        <v>64.547614663133004</v>
      </c>
    </row>
    <row r="13" spans="1:5" x14ac:dyDescent="0.25">
      <c r="A13" t="s">
        <v>24</v>
      </c>
      <c r="B13" s="1" t="s">
        <v>15</v>
      </c>
      <c r="C13" s="2">
        <v>880685363</v>
      </c>
      <c r="D13" s="2">
        <v>1421785007</v>
      </c>
      <c r="E13">
        <f t="shared" si="0"/>
        <v>61.942231678069739</v>
      </c>
    </row>
    <row r="14" spans="1:5" x14ac:dyDescent="0.25">
      <c r="A14" t="s">
        <v>24</v>
      </c>
      <c r="B14" s="1" t="s">
        <v>16</v>
      </c>
      <c r="C14" s="2">
        <v>896526155</v>
      </c>
      <c r="D14" s="2">
        <v>1374381233</v>
      </c>
      <c r="E14">
        <f t="shared" si="0"/>
        <v>65.231257053988017</v>
      </c>
    </row>
    <row r="15" spans="1:5" x14ac:dyDescent="0.25">
      <c r="A15" t="s">
        <v>24</v>
      </c>
      <c r="B15" s="1" t="s">
        <v>17</v>
      </c>
      <c r="C15" s="2">
        <v>912082842</v>
      </c>
      <c r="D15" s="2">
        <v>1411625034</v>
      </c>
      <c r="E15">
        <f t="shared" si="0"/>
        <v>64.612260340517594</v>
      </c>
    </row>
    <row r="16" spans="1:5" x14ac:dyDescent="0.25">
      <c r="A16" t="s">
        <v>24</v>
      </c>
      <c r="B16" s="1" t="s">
        <v>18</v>
      </c>
      <c r="C16" s="2">
        <v>931051034</v>
      </c>
      <c r="D16" s="2">
        <v>1538515953</v>
      </c>
      <c r="E16">
        <f t="shared" si="0"/>
        <v>60.516176786110975</v>
      </c>
    </row>
    <row r="17" spans="1:5" x14ac:dyDescent="0.25">
      <c r="A17" t="s">
        <v>24</v>
      </c>
      <c r="B17" s="1" t="s">
        <v>19</v>
      </c>
      <c r="C17" s="2">
        <v>943702693</v>
      </c>
      <c r="D17" s="2">
        <v>1572761035</v>
      </c>
      <c r="E17">
        <f t="shared" si="0"/>
        <v>60.00292937064021</v>
      </c>
    </row>
    <row r="18" spans="1:5" x14ac:dyDescent="0.25">
      <c r="A18" t="s">
        <v>24</v>
      </c>
      <c r="B18" s="1" t="s">
        <v>20</v>
      </c>
      <c r="C18" s="2">
        <v>974801659</v>
      </c>
      <c r="D18" s="7">
        <v>1540856138</v>
      </c>
      <c r="E18">
        <f t="shared" si="0"/>
        <v>63.263638633083083</v>
      </c>
    </row>
    <row r="19" spans="1:5" x14ac:dyDescent="0.25">
      <c r="A19" t="s">
        <v>24</v>
      </c>
      <c r="B19" s="1" t="s">
        <v>21</v>
      </c>
      <c r="C19" s="2">
        <v>1003615576</v>
      </c>
      <c r="D19" s="7">
        <v>1542793400</v>
      </c>
      <c r="E19">
        <f t="shared" si="0"/>
        <v>65.051845308645994</v>
      </c>
    </row>
    <row r="20" spans="1:5" x14ac:dyDescent="0.25">
      <c r="A20" t="s">
        <v>24</v>
      </c>
      <c r="B20" s="1" t="s">
        <v>22</v>
      </c>
      <c r="C20" s="2">
        <v>1007118308</v>
      </c>
      <c r="D20" s="7">
        <v>1575760325</v>
      </c>
      <c r="E20">
        <f t="shared" si="0"/>
        <v>63.913165728423834</v>
      </c>
    </row>
    <row r="21" spans="1:5" x14ac:dyDescent="0.25">
      <c r="A21" t="s">
        <v>24</v>
      </c>
      <c r="B21" s="1" t="s">
        <v>23</v>
      </c>
      <c r="C21" s="2">
        <v>1029802549</v>
      </c>
      <c r="D21" s="8">
        <v>1750994673</v>
      </c>
      <c r="E21">
        <f t="shared" si="0"/>
        <v>58.812431863977466</v>
      </c>
    </row>
    <row r="22" spans="1:5" x14ac:dyDescent="0.25">
      <c r="A22" t="s">
        <v>25</v>
      </c>
      <c r="B22" s="1" t="s">
        <v>4</v>
      </c>
      <c r="C22" s="2">
        <v>614632699</v>
      </c>
      <c r="D22" s="2">
        <v>945619317</v>
      </c>
      <c r="E22">
        <f t="shared" si="0"/>
        <v>64.997900101061489</v>
      </c>
    </row>
    <row r="23" spans="1:5" x14ac:dyDescent="0.25">
      <c r="A23" t="s">
        <v>25</v>
      </c>
      <c r="B23" s="1" t="s">
        <v>5</v>
      </c>
      <c r="C23" s="2">
        <v>671171582</v>
      </c>
      <c r="D23" s="2">
        <v>1003464780</v>
      </c>
      <c r="E23">
        <f t="shared" si="0"/>
        <v>66.885414951982668</v>
      </c>
    </row>
    <row r="24" spans="1:5" x14ac:dyDescent="0.25">
      <c r="A24" t="s">
        <v>25</v>
      </c>
      <c r="B24" s="1" t="s">
        <v>6</v>
      </c>
      <c r="C24" s="2">
        <v>684657415</v>
      </c>
      <c r="D24" s="2">
        <v>1017323850</v>
      </c>
      <c r="E24">
        <f t="shared" si="0"/>
        <v>67.299849010715718</v>
      </c>
    </row>
    <row r="25" spans="1:5" x14ac:dyDescent="0.25">
      <c r="A25" t="s">
        <v>25</v>
      </c>
      <c r="B25" s="1" t="s">
        <v>7</v>
      </c>
      <c r="C25" s="2">
        <v>718966846</v>
      </c>
      <c r="D25" s="2">
        <v>1037077806</v>
      </c>
      <c r="E25">
        <f t="shared" si="0"/>
        <v>69.326220447533132</v>
      </c>
    </row>
    <row r="26" spans="1:5" x14ac:dyDescent="0.25">
      <c r="A26" t="s">
        <v>25</v>
      </c>
      <c r="B26" s="1" t="s">
        <v>8</v>
      </c>
      <c r="C26" s="2">
        <v>684530093</v>
      </c>
      <c r="D26" s="2">
        <v>1035916523</v>
      </c>
      <c r="E26">
        <f t="shared" si="0"/>
        <v>66.079657752500196</v>
      </c>
    </row>
    <row r="27" spans="1:5" x14ac:dyDescent="0.25">
      <c r="A27" t="s">
        <v>25</v>
      </c>
      <c r="B27" s="1" t="s">
        <v>9</v>
      </c>
      <c r="C27" s="2">
        <v>725293118</v>
      </c>
      <c r="D27" s="2">
        <v>1058351022</v>
      </c>
      <c r="E27">
        <f t="shared" si="0"/>
        <v>68.530487798782517</v>
      </c>
    </row>
    <row r="28" spans="1:5" x14ac:dyDescent="0.25">
      <c r="A28" t="s">
        <v>25</v>
      </c>
      <c r="B28" s="1" t="s">
        <v>10</v>
      </c>
      <c r="C28" s="2">
        <v>728122173</v>
      </c>
      <c r="D28" s="2">
        <v>1097658366</v>
      </c>
      <c r="E28">
        <f t="shared" si="0"/>
        <v>66.334134148985285</v>
      </c>
    </row>
    <row r="29" spans="1:5" x14ac:dyDescent="0.25">
      <c r="A29" t="s">
        <v>25</v>
      </c>
      <c r="B29" s="1" t="s">
        <v>11</v>
      </c>
      <c r="C29" s="2">
        <v>792351117</v>
      </c>
      <c r="D29" s="7">
        <v>1128683875</v>
      </c>
      <c r="E29">
        <f t="shared" si="0"/>
        <v>70.201332237514251</v>
      </c>
    </row>
    <row r="30" spans="1:5" x14ac:dyDescent="0.25">
      <c r="A30" t="s">
        <v>25</v>
      </c>
      <c r="B30" s="1" t="s">
        <v>12</v>
      </c>
      <c r="C30" s="2">
        <v>786108510</v>
      </c>
      <c r="D30" s="9">
        <v>1130707835</v>
      </c>
      <c r="E30">
        <f t="shared" si="0"/>
        <v>69.523575026788421</v>
      </c>
    </row>
    <row r="31" spans="1:5" x14ac:dyDescent="0.25">
      <c r="A31" t="s">
        <v>25</v>
      </c>
      <c r="B31" s="1" t="s">
        <v>13</v>
      </c>
      <c r="C31" s="2">
        <v>754846865</v>
      </c>
      <c r="D31" s="9">
        <v>1168344738</v>
      </c>
      <c r="E31">
        <f t="shared" si="0"/>
        <v>64.608230811409712</v>
      </c>
    </row>
    <row r="32" spans="1:5" x14ac:dyDescent="0.25">
      <c r="A32" t="s">
        <v>25</v>
      </c>
      <c r="B32" s="1" t="s">
        <v>14</v>
      </c>
      <c r="C32" s="2">
        <v>751156414</v>
      </c>
      <c r="D32" s="9">
        <v>1205616993</v>
      </c>
      <c r="E32">
        <f t="shared" si="0"/>
        <v>62.304730139118071</v>
      </c>
    </row>
    <row r="33" spans="1:5" x14ac:dyDescent="0.25">
      <c r="A33" t="s">
        <v>25</v>
      </c>
      <c r="B33" s="1" t="s">
        <v>15</v>
      </c>
      <c r="C33" s="2">
        <v>763603416</v>
      </c>
      <c r="D33" s="9">
        <v>1209045441</v>
      </c>
      <c r="E33">
        <f t="shared" si="0"/>
        <v>63.157544795704666</v>
      </c>
    </row>
    <row r="34" spans="1:5" x14ac:dyDescent="0.25">
      <c r="A34" t="s">
        <v>25</v>
      </c>
      <c r="B34" s="1" t="s">
        <v>16</v>
      </c>
      <c r="C34" s="2">
        <v>778954674</v>
      </c>
      <c r="D34" s="9">
        <v>1253404334</v>
      </c>
      <c r="E34">
        <f t="shared" si="0"/>
        <v>62.14711828178504</v>
      </c>
    </row>
    <row r="35" spans="1:5" x14ac:dyDescent="0.25">
      <c r="A35" t="s">
        <v>25</v>
      </c>
      <c r="B35" s="1" t="s">
        <v>17</v>
      </c>
      <c r="C35" s="2">
        <v>805204153</v>
      </c>
      <c r="D35" s="9">
        <v>1237027618</v>
      </c>
      <c r="E35">
        <f t="shared" si="0"/>
        <v>65.091849307442061</v>
      </c>
    </row>
    <row r="36" spans="1:5" x14ac:dyDescent="0.25">
      <c r="A36" t="s">
        <v>25</v>
      </c>
      <c r="B36" s="1" t="s">
        <v>18</v>
      </c>
      <c r="C36" s="2">
        <v>808863845</v>
      </c>
      <c r="D36" s="9">
        <v>1283320346</v>
      </c>
      <c r="E36">
        <f t="shared" si="0"/>
        <v>63.028989411814408</v>
      </c>
    </row>
    <row r="37" spans="1:5" x14ac:dyDescent="0.25">
      <c r="A37" t="s">
        <v>25</v>
      </c>
      <c r="B37" s="1" t="s">
        <v>19</v>
      </c>
      <c r="C37" s="2">
        <v>828113863</v>
      </c>
      <c r="D37" s="9">
        <v>1355555571</v>
      </c>
      <c r="E37">
        <f t="shared" si="0"/>
        <v>61.090366246593362</v>
      </c>
    </row>
    <row r="38" spans="1:5" x14ac:dyDescent="0.25">
      <c r="A38" t="s">
        <v>25</v>
      </c>
      <c r="B38" s="1" t="s">
        <v>20</v>
      </c>
      <c r="C38" s="2">
        <v>842354021</v>
      </c>
      <c r="D38" s="7">
        <v>1352850895</v>
      </c>
      <c r="E38">
        <f t="shared" si="0"/>
        <v>62.265104315135922</v>
      </c>
    </row>
    <row r="39" spans="1:5" x14ac:dyDescent="0.25">
      <c r="A39" t="s">
        <v>25</v>
      </c>
      <c r="B39" s="1" t="s">
        <v>21</v>
      </c>
      <c r="C39" s="2">
        <v>891122770</v>
      </c>
      <c r="D39" s="7">
        <v>1393396403</v>
      </c>
      <c r="E39">
        <f t="shared" si="0"/>
        <v>63.953284799745532</v>
      </c>
    </row>
    <row r="40" spans="1:5" x14ac:dyDescent="0.25">
      <c r="A40" t="s">
        <v>25</v>
      </c>
      <c r="B40" s="1" t="s">
        <v>22</v>
      </c>
      <c r="C40" s="2">
        <v>907790606</v>
      </c>
      <c r="D40" s="7">
        <v>1443000499</v>
      </c>
      <c r="E40">
        <f t="shared" si="0"/>
        <v>62.90993015103593</v>
      </c>
    </row>
    <row r="41" spans="1:5" x14ac:dyDescent="0.25">
      <c r="A41" t="s">
        <v>25</v>
      </c>
      <c r="B41" s="1" t="s">
        <v>23</v>
      </c>
      <c r="C41" s="2">
        <v>932639051</v>
      </c>
      <c r="D41" s="7">
        <v>1570332063</v>
      </c>
      <c r="E41">
        <f t="shared" si="0"/>
        <v>59.391199668830808</v>
      </c>
    </row>
    <row r="42" spans="1:5" x14ac:dyDescent="0.25">
      <c r="A42" t="s">
        <v>26</v>
      </c>
      <c r="B42" s="1" t="s">
        <v>4</v>
      </c>
      <c r="C42" s="2">
        <v>414960819</v>
      </c>
      <c r="D42" s="9">
        <v>648574305</v>
      </c>
      <c r="E42">
        <f t="shared" si="0"/>
        <v>63.980459262875058</v>
      </c>
    </row>
    <row r="43" spans="1:5" x14ac:dyDescent="0.25">
      <c r="A43" t="s">
        <v>26</v>
      </c>
      <c r="B43" s="1" t="s">
        <v>5</v>
      </c>
      <c r="C43" s="2">
        <v>431869943</v>
      </c>
      <c r="D43" s="9">
        <v>684155458</v>
      </c>
      <c r="E43">
        <f t="shared" si="0"/>
        <v>63.124533751801195</v>
      </c>
    </row>
    <row r="44" spans="1:5" x14ac:dyDescent="0.25">
      <c r="A44" t="s">
        <v>26</v>
      </c>
      <c r="B44" s="1" t="s">
        <v>6</v>
      </c>
      <c r="C44" s="2">
        <v>459289448</v>
      </c>
      <c r="D44" s="9">
        <v>712213488</v>
      </c>
      <c r="E44">
        <f t="shared" si="0"/>
        <v>64.487608805296873</v>
      </c>
    </row>
    <row r="45" spans="1:5" x14ac:dyDescent="0.25">
      <c r="A45" t="s">
        <v>26</v>
      </c>
      <c r="B45" s="1" t="s">
        <v>7</v>
      </c>
      <c r="C45" s="2">
        <v>483421821</v>
      </c>
      <c r="D45" s="9">
        <v>754575210</v>
      </c>
      <c r="E45">
        <f t="shared" si="0"/>
        <v>64.065425764517229</v>
      </c>
    </row>
    <row r="46" spans="1:5" x14ac:dyDescent="0.25">
      <c r="A46" t="s">
        <v>26</v>
      </c>
      <c r="B46" s="1" t="s">
        <v>8</v>
      </c>
      <c r="C46" s="2">
        <v>490803207</v>
      </c>
      <c r="D46" s="9">
        <v>744421643</v>
      </c>
      <c r="E46">
        <f t="shared" si="0"/>
        <v>65.930808381937396</v>
      </c>
    </row>
    <row r="47" spans="1:5" x14ac:dyDescent="0.25">
      <c r="A47" t="s">
        <v>26</v>
      </c>
      <c r="B47" s="1" t="s">
        <v>9</v>
      </c>
      <c r="C47" s="2">
        <v>516388092</v>
      </c>
      <c r="D47" s="9">
        <v>786007093</v>
      </c>
      <c r="E47">
        <f t="shared" si="0"/>
        <v>65.697637667501311</v>
      </c>
    </row>
    <row r="48" spans="1:5" x14ac:dyDescent="0.25">
      <c r="A48" t="s">
        <v>26</v>
      </c>
      <c r="B48" s="1" t="s">
        <v>10</v>
      </c>
      <c r="C48" s="2">
        <v>525552922</v>
      </c>
      <c r="D48" s="9">
        <v>756755688</v>
      </c>
      <c r="E48">
        <f t="shared" si="0"/>
        <v>69.448162773505302</v>
      </c>
    </row>
    <row r="49" spans="1:5" x14ac:dyDescent="0.25">
      <c r="A49" t="s">
        <v>26</v>
      </c>
      <c r="B49" s="1" t="s">
        <v>11</v>
      </c>
      <c r="C49" s="2">
        <v>522750099</v>
      </c>
      <c r="D49" s="9">
        <v>780237387</v>
      </c>
      <c r="E49">
        <f t="shared" si="0"/>
        <v>66.998852876041425</v>
      </c>
    </row>
    <row r="50" spans="1:5" x14ac:dyDescent="0.25">
      <c r="A50" t="s">
        <v>26</v>
      </c>
      <c r="B50" s="1" t="s">
        <v>12</v>
      </c>
      <c r="C50" s="2">
        <v>545693336</v>
      </c>
      <c r="D50" s="9">
        <v>803279408</v>
      </c>
      <c r="E50">
        <f t="shared" si="0"/>
        <v>67.933191186696035</v>
      </c>
    </row>
    <row r="51" spans="1:5" x14ac:dyDescent="0.25">
      <c r="A51" t="s">
        <v>26</v>
      </c>
      <c r="B51" s="1" t="s">
        <v>13</v>
      </c>
      <c r="C51" s="2">
        <v>543900121</v>
      </c>
      <c r="D51" s="9">
        <v>813301436</v>
      </c>
      <c r="E51">
        <f t="shared" si="0"/>
        <v>66.875588425740844</v>
      </c>
    </row>
    <row r="52" spans="1:5" x14ac:dyDescent="0.25">
      <c r="A52" t="s">
        <v>26</v>
      </c>
      <c r="B52" s="1" t="s">
        <v>14</v>
      </c>
      <c r="C52" s="2">
        <v>548613540</v>
      </c>
      <c r="D52" s="9">
        <v>847579548</v>
      </c>
      <c r="E52">
        <f t="shared" si="0"/>
        <v>64.727085651670308</v>
      </c>
    </row>
    <row r="53" spans="1:5" x14ac:dyDescent="0.25">
      <c r="A53" t="s">
        <v>26</v>
      </c>
      <c r="B53" s="1" t="s">
        <v>15</v>
      </c>
      <c r="C53" s="2">
        <v>551786774</v>
      </c>
      <c r="D53" s="9">
        <v>818227668</v>
      </c>
      <c r="E53">
        <f t="shared" si="0"/>
        <v>67.436826641261902</v>
      </c>
    </row>
    <row r="54" spans="1:5" x14ac:dyDescent="0.25">
      <c r="A54" t="s">
        <v>26</v>
      </c>
      <c r="B54" s="1" t="s">
        <v>16</v>
      </c>
      <c r="C54" s="2">
        <v>558070101</v>
      </c>
      <c r="D54" s="9">
        <v>840240592</v>
      </c>
      <c r="E54">
        <f t="shared" si="0"/>
        <v>66.417893435931504</v>
      </c>
    </row>
    <row r="55" spans="1:5" x14ac:dyDescent="0.25">
      <c r="A55" t="s">
        <v>26</v>
      </c>
      <c r="B55" s="1" t="s">
        <v>17</v>
      </c>
      <c r="C55" s="2">
        <v>568536688</v>
      </c>
      <c r="D55" s="9">
        <v>852497109</v>
      </c>
      <c r="E55">
        <f t="shared" si="0"/>
        <v>66.690746748327101</v>
      </c>
    </row>
    <row r="56" spans="1:5" x14ac:dyDescent="0.25">
      <c r="A56" t="s">
        <v>26</v>
      </c>
      <c r="B56" s="1" t="s">
        <v>18</v>
      </c>
      <c r="C56" s="2">
        <v>569568199</v>
      </c>
      <c r="D56" s="9">
        <v>894893400</v>
      </c>
      <c r="E56">
        <f t="shared" si="0"/>
        <v>63.646485603760183</v>
      </c>
    </row>
    <row r="57" spans="1:5" x14ac:dyDescent="0.25">
      <c r="A57" t="s">
        <v>26</v>
      </c>
      <c r="B57" s="1" t="s">
        <v>19</v>
      </c>
      <c r="C57" s="2">
        <v>581497289</v>
      </c>
      <c r="D57" s="9">
        <v>941211128</v>
      </c>
      <c r="E57">
        <f t="shared" si="0"/>
        <v>61.781811933698258</v>
      </c>
    </row>
    <row r="58" spans="1:5" x14ac:dyDescent="0.25">
      <c r="A58" t="s">
        <v>26</v>
      </c>
      <c r="B58" s="1" t="s">
        <v>20</v>
      </c>
      <c r="C58" s="2">
        <v>590845696</v>
      </c>
      <c r="D58" s="7">
        <v>908458601</v>
      </c>
      <c r="E58">
        <f t="shared" si="0"/>
        <v>65.038263202045471</v>
      </c>
    </row>
    <row r="59" spans="1:5" x14ac:dyDescent="0.25">
      <c r="A59" t="s">
        <v>26</v>
      </c>
      <c r="B59" s="1" t="s">
        <v>21</v>
      </c>
      <c r="C59" s="2">
        <v>616605643</v>
      </c>
      <c r="D59" s="7">
        <v>912767267</v>
      </c>
      <c r="E59">
        <f t="shared" si="0"/>
        <v>67.55343506418707</v>
      </c>
    </row>
    <row r="60" spans="1:5" x14ac:dyDescent="0.25">
      <c r="A60" t="s">
        <v>26</v>
      </c>
      <c r="B60" s="1" t="s">
        <v>22</v>
      </c>
      <c r="C60" s="2">
        <v>619029583</v>
      </c>
      <c r="D60" s="7">
        <v>909638667</v>
      </c>
      <c r="E60">
        <f t="shared" si="0"/>
        <v>68.052250355799799</v>
      </c>
    </row>
    <row r="61" spans="1:5" x14ac:dyDescent="0.25">
      <c r="A61" t="s">
        <v>26</v>
      </c>
      <c r="B61" s="1" t="s">
        <v>23</v>
      </c>
      <c r="C61" s="2">
        <v>642629631</v>
      </c>
      <c r="D61" s="7">
        <v>997556847</v>
      </c>
      <c r="E61">
        <f t="shared" si="0"/>
        <v>64.420351875946778</v>
      </c>
    </row>
    <row r="62" spans="1:5" x14ac:dyDescent="0.25">
      <c r="A62" t="s">
        <v>27</v>
      </c>
      <c r="B62" s="1" t="s">
        <v>4</v>
      </c>
      <c r="C62" s="2">
        <v>202503051</v>
      </c>
      <c r="D62" s="2">
        <v>258738696</v>
      </c>
      <c r="E62">
        <f t="shared" si="0"/>
        <v>78.265467875744406</v>
      </c>
    </row>
    <row r="63" spans="1:5" x14ac:dyDescent="0.25">
      <c r="A63" t="s">
        <v>27</v>
      </c>
      <c r="B63" s="1" t="s">
        <v>5</v>
      </c>
      <c r="C63" s="2">
        <v>211352662</v>
      </c>
      <c r="D63" s="2">
        <v>268044394</v>
      </c>
      <c r="E63">
        <f t="shared" si="0"/>
        <v>78.849872159609504</v>
      </c>
    </row>
    <row r="64" spans="1:5" x14ac:dyDescent="0.25">
      <c r="A64" t="s">
        <v>27</v>
      </c>
      <c r="B64" s="1" t="s">
        <v>6</v>
      </c>
      <c r="C64" s="2">
        <v>220077345</v>
      </c>
      <c r="D64" s="2">
        <v>272304662</v>
      </c>
      <c r="E64">
        <f t="shared" si="0"/>
        <v>80.820263371032553</v>
      </c>
    </row>
    <row r="65" spans="1:5" x14ac:dyDescent="0.25">
      <c r="A65" t="s">
        <v>27</v>
      </c>
      <c r="B65" s="1" t="s">
        <v>7</v>
      </c>
      <c r="C65" s="2">
        <v>237757674</v>
      </c>
      <c r="D65" s="2">
        <v>306436194</v>
      </c>
      <c r="E65">
        <f t="shared" si="0"/>
        <v>77.587986881210256</v>
      </c>
    </row>
    <row r="66" spans="1:5" x14ac:dyDescent="0.25">
      <c r="A66" t="s">
        <v>27</v>
      </c>
      <c r="B66" s="1" t="s">
        <v>8</v>
      </c>
      <c r="C66" s="2">
        <v>242134710</v>
      </c>
      <c r="D66" s="2">
        <v>301346488</v>
      </c>
      <c r="E66">
        <f t="shared" si="0"/>
        <v>80.350931450045636</v>
      </c>
    </row>
    <row r="67" spans="1:5" x14ac:dyDescent="0.25">
      <c r="A67" t="s">
        <v>27</v>
      </c>
      <c r="B67" s="1" t="s">
        <v>9</v>
      </c>
      <c r="C67" s="2">
        <v>251041472</v>
      </c>
      <c r="D67" s="2">
        <v>312474892</v>
      </c>
      <c r="E67">
        <f t="shared" ref="E67:E130" si="1">(C67/D67)*100</f>
        <v>80.33972598348798</v>
      </c>
    </row>
    <row r="68" spans="1:5" x14ac:dyDescent="0.25">
      <c r="A68" t="s">
        <v>27</v>
      </c>
      <c r="B68" s="1" t="s">
        <v>10</v>
      </c>
      <c r="C68" s="2">
        <v>256933913</v>
      </c>
      <c r="D68" s="2">
        <v>316211345</v>
      </c>
      <c r="E68">
        <f t="shared" si="1"/>
        <v>81.253856657167063</v>
      </c>
    </row>
    <row r="69" spans="1:5" x14ac:dyDescent="0.25">
      <c r="A69" t="s">
        <v>27</v>
      </c>
      <c r="B69" s="1" t="s">
        <v>11</v>
      </c>
      <c r="C69" s="2">
        <v>255825159</v>
      </c>
      <c r="D69" s="2">
        <v>311776828</v>
      </c>
      <c r="E69">
        <f t="shared" si="1"/>
        <v>82.053936028882816</v>
      </c>
    </row>
    <row r="70" spans="1:5" x14ac:dyDescent="0.25">
      <c r="A70" t="s">
        <v>27</v>
      </c>
      <c r="B70" s="1" t="s">
        <v>12</v>
      </c>
      <c r="C70" s="2">
        <v>253251917</v>
      </c>
      <c r="D70" s="2">
        <v>308186680</v>
      </c>
      <c r="E70">
        <f t="shared" si="1"/>
        <v>82.174841884795285</v>
      </c>
    </row>
    <row r="71" spans="1:5" x14ac:dyDescent="0.25">
      <c r="A71" t="s">
        <v>27</v>
      </c>
      <c r="B71" s="1" t="s">
        <v>13</v>
      </c>
      <c r="C71" s="2">
        <v>251836914</v>
      </c>
      <c r="D71" s="2">
        <v>314602871</v>
      </c>
      <c r="E71">
        <f t="shared" si="1"/>
        <v>80.049146786076221</v>
      </c>
    </row>
    <row r="72" spans="1:5" x14ac:dyDescent="0.25">
      <c r="A72" t="s">
        <v>27</v>
      </c>
      <c r="B72" s="1" t="s">
        <v>14</v>
      </c>
      <c r="C72" s="2">
        <v>254917931</v>
      </c>
      <c r="D72" s="2">
        <v>356974307</v>
      </c>
      <c r="E72">
        <f t="shared" si="1"/>
        <v>71.410722284839395</v>
      </c>
    </row>
    <row r="73" spans="1:5" x14ac:dyDescent="0.25">
      <c r="A73" t="s">
        <v>27</v>
      </c>
      <c r="B73" s="1" t="s">
        <v>15</v>
      </c>
      <c r="C73" s="2">
        <v>260114163</v>
      </c>
      <c r="D73" s="2">
        <v>361208406</v>
      </c>
      <c r="E73">
        <f t="shared" si="1"/>
        <v>72.012211974933933</v>
      </c>
    </row>
    <row r="74" spans="1:5" x14ac:dyDescent="0.25">
      <c r="A74" t="s">
        <v>27</v>
      </c>
      <c r="B74" s="1" t="s">
        <v>16</v>
      </c>
      <c r="C74" s="2">
        <v>261339795</v>
      </c>
      <c r="D74" s="2">
        <v>375729831</v>
      </c>
      <c r="E74">
        <f t="shared" si="1"/>
        <v>69.555242474212804</v>
      </c>
    </row>
    <row r="75" spans="1:5" x14ac:dyDescent="0.25">
      <c r="A75" t="s">
        <v>27</v>
      </c>
      <c r="B75" s="1" t="s">
        <v>17</v>
      </c>
      <c r="C75" s="2">
        <v>265906880</v>
      </c>
      <c r="D75" s="2">
        <v>380513594</v>
      </c>
      <c r="E75">
        <f t="shared" si="1"/>
        <v>69.881046089512381</v>
      </c>
    </row>
    <row r="76" spans="1:5" x14ac:dyDescent="0.25">
      <c r="A76" t="s">
        <v>27</v>
      </c>
      <c r="B76" s="1" t="s">
        <v>18</v>
      </c>
      <c r="C76" s="2">
        <v>270277025</v>
      </c>
      <c r="D76" s="2">
        <v>368055555</v>
      </c>
      <c r="E76">
        <f t="shared" si="1"/>
        <v>73.433757846692458</v>
      </c>
    </row>
    <row r="77" spans="1:5" x14ac:dyDescent="0.25">
      <c r="A77" t="s">
        <v>27</v>
      </c>
      <c r="B77" s="1" t="s">
        <v>19</v>
      </c>
      <c r="C77" s="2">
        <v>274835291</v>
      </c>
      <c r="D77" s="2">
        <v>371868311</v>
      </c>
      <c r="E77">
        <f t="shared" si="1"/>
        <v>73.906617711235953</v>
      </c>
    </row>
    <row r="78" spans="1:5" x14ac:dyDescent="0.25">
      <c r="A78" t="s">
        <v>27</v>
      </c>
      <c r="B78" s="1" t="s">
        <v>20</v>
      </c>
      <c r="C78" s="2">
        <v>277136834</v>
      </c>
      <c r="D78" s="7">
        <v>367515728</v>
      </c>
      <c r="E78">
        <f t="shared" si="1"/>
        <v>75.408156137470115</v>
      </c>
    </row>
    <row r="79" spans="1:5" x14ac:dyDescent="0.25">
      <c r="A79" t="s">
        <v>27</v>
      </c>
      <c r="B79" s="1" t="s">
        <v>21</v>
      </c>
      <c r="C79" s="2">
        <v>286152181</v>
      </c>
      <c r="D79" s="7">
        <v>381741249</v>
      </c>
      <c r="E79">
        <f t="shared" si="1"/>
        <v>74.959722521366828</v>
      </c>
    </row>
    <row r="80" spans="1:5" x14ac:dyDescent="0.25">
      <c r="A80" t="s">
        <v>27</v>
      </c>
      <c r="B80" s="1" t="s">
        <v>22</v>
      </c>
      <c r="C80" s="2">
        <v>289693214</v>
      </c>
      <c r="D80" s="7">
        <v>389291838</v>
      </c>
      <c r="E80">
        <f t="shared" si="1"/>
        <v>74.415434828613087</v>
      </c>
    </row>
    <row r="81" spans="1:5" x14ac:dyDescent="0.25">
      <c r="A81" t="s">
        <v>27</v>
      </c>
      <c r="B81" s="1" t="s">
        <v>23</v>
      </c>
      <c r="C81" s="2">
        <v>298281704</v>
      </c>
      <c r="D81" s="7">
        <v>402148312</v>
      </c>
      <c r="E81">
        <f t="shared" si="1"/>
        <v>74.17206416124408</v>
      </c>
    </row>
    <row r="82" spans="1:5" x14ac:dyDescent="0.25">
      <c r="A82" t="s">
        <v>28</v>
      </c>
      <c r="B82" s="1" t="s">
        <v>4</v>
      </c>
      <c r="C82" s="2">
        <v>99411653</v>
      </c>
      <c r="D82" s="9">
        <v>151900294</v>
      </c>
      <c r="E82">
        <f t="shared" si="1"/>
        <v>65.445332844451244</v>
      </c>
    </row>
    <row r="83" spans="1:5" x14ac:dyDescent="0.25">
      <c r="A83" t="s">
        <v>28</v>
      </c>
      <c r="B83" s="1" t="s">
        <v>5</v>
      </c>
      <c r="C83" s="2">
        <v>102777896</v>
      </c>
      <c r="D83" s="9">
        <v>159062532</v>
      </c>
      <c r="E83">
        <f t="shared" si="1"/>
        <v>64.614774270033621</v>
      </c>
    </row>
    <row r="84" spans="1:5" x14ac:dyDescent="0.25">
      <c r="A84" t="s">
        <v>28</v>
      </c>
      <c r="B84" s="1" t="s">
        <v>6</v>
      </c>
      <c r="C84" s="2">
        <v>106593467</v>
      </c>
      <c r="D84" s="9">
        <v>155534538</v>
      </c>
      <c r="E84">
        <f t="shared" si="1"/>
        <v>68.533631417608348</v>
      </c>
    </row>
    <row r="85" spans="1:5" x14ac:dyDescent="0.25">
      <c r="A85" t="s">
        <v>28</v>
      </c>
      <c r="B85" s="1" t="s">
        <v>7</v>
      </c>
      <c r="C85" s="2">
        <v>106285955</v>
      </c>
      <c r="D85" s="9">
        <v>152759234</v>
      </c>
      <c r="E85">
        <f t="shared" si="1"/>
        <v>69.577433859088345</v>
      </c>
    </row>
    <row r="86" spans="1:5" x14ac:dyDescent="0.25">
      <c r="A86" t="s">
        <v>28</v>
      </c>
      <c r="B86" s="1" t="s">
        <v>8</v>
      </c>
      <c r="C86" s="2">
        <v>104261970</v>
      </c>
      <c r="D86" s="9">
        <v>160250986</v>
      </c>
      <c r="E86">
        <f t="shared" si="1"/>
        <v>65.061671445815634</v>
      </c>
    </row>
    <row r="87" spans="1:5" x14ac:dyDescent="0.25">
      <c r="A87" t="s">
        <v>28</v>
      </c>
      <c r="B87" s="1" t="s">
        <v>9</v>
      </c>
      <c r="C87" s="2">
        <v>106726622</v>
      </c>
      <c r="D87" s="9">
        <v>147629882</v>
      </c>
      <c r="E87">
        <f t="shared" si="1"/>
        <v>72.293373505507503</v>
      </c>
    </row>
    <row r="88" spans="1:5" x14ac:dyDescent="0.25">
      <c r="A88" t="s">
        <v>28</v>
      </c>
      <c r="B88" s="1" t="s">
        <v>10</v>
      </c>
      <c r="C88" s="2">
        <v>107287065</v>
      </c>
      <c r="D88" s="9">
        <v>154908997</v>
      </c>
      <c r="E88">
        <f t="shared" si="1"/>
        <v>69.258123851902539</v>
      </c>
    </row>
    <row r="89" spans="1:5" x14ac:dyDescent="0.25">
      <c r="A89" t="s">
        <v>28</v>
      </c>
      <c r="B89" s="1" t="s">
        <v>11</v>
      </c>
      <c r="C89" s="2">
        <v>107871057</v>
      </c>
      <c r="D89" s="9">
        <v>161264340</v>
      </c>
      <c r="E89">
        <f t="shared" si="1"/>
        <v>66.890830917734206</v>
      </c>
    </row>
    <row r="90" spans="1:5" x14ac:dyDescent="0.25">
      <c r="A90" t="s">
        <v>28</v>
      </c>
      <c r="B90" s="1" t="s">
        <v>12</v>
      </c>
      <c r="C90" s="2">
        <v>110215382</v>
      </c>
      <c r="D90" s="9">
        <v>167261064</v>
      </c>
      <c r="E90">
        <f t="shared" si="1"/>
        <v>65.894225089946815</v>
      </c>
    </row>
    <row r="91" spans="1:5" x14ac:dyDescent="0.25">
      <c r="A91" t="s">
        <v>28</v>
      </c>
      <c r="B91" s="1" t="s">
        <v>13</v>
      </c>
      <c r="C91" s="2">
        <v>103429867</v>
      </c>
      <c r="D91" s="9">
        <v>157837069</v>
      </c>
      <c r="E91">
        <f t="shared" si="1"/>
        <v>65.529515756529918</v>
      </c>
    </row>
    <row r="92" spans="1:5" x14ac:dyDescent="0.25">
      <c r="A92" t="s">
        <v>28</v>
      </c>
      <c r="B92" s="1" t="s">
        <v>14</v>
      </c>
      <c r="C92" s="2">
        <v>102685817</v>
      </c>
      <c r="D92" s="9">
        <v>166635675</v>
      </c>
      <c r="E92">
        <f t="shared" si="1"/>
        <v>61.622948987364204</v>
      </c>
    </row>
    <row r="93" spans="1:5" x14ac:dyDescent="0.25">
      <c r="A93" t="s">
        <v>28</v>
      </c>
      <c r="B93" s="1" t="s">
        <v>15</v>
      </c>
      <c r="C93" s="2">
        <v>117955677</v>
      </c>
      <c r="D93" s="9">
        <v>197574403</v>
      </c>
      <c r="E93">
        <f t="shared" si="1"/>
        <v>59.701902275265894</v>
      </c>
    </row>
    <row r="94" spans="1:5" x14ac:dyDescent="0.25">
      <c r="A94" t="s">
        <v>28</v>
      </c>
      <c r="B94" s="1" t="s">
        <v>16</v>
      </c>
      <c r="C94" s="2">
        <v>117531205</v>
      </c>
      <c r="D94" s="9">
        <v>203327872</v>
      </c>
      <c r="E94">
        <f t="shared" si="1"/>
        <v>57.803784520009138</v>
      </c>
    </row>
    <row r="95" spans="1:5" x14ac:dyDescent="0.25">
      <c r="A95" t="s">
        <v>28</v>
      </c>
      <c r="B95" s="1" t="s">
        <v>17</v>
      </c>
      <c r="C95" s="2">
        <v>120645470</v>
      </c>
      <c r="D95" s="9">
        <v>212912825</v>
      </c>
      <c r="E95">
        <f t="shared" si="1"/>
        <v>56.6642568384502</v>
      </c>
    </row>
    <row r="96" spans="1:5" x14ac:dyDescent="0.25">
      <c r="A96" t="s">
        <v>28</v>
      </c>
      <c r="B96" s="1" t="s">
        <v>18</v>
      </c>
      <c r="C96" s="2">
        <v>123981977</v>
      </c>
      <c r="D96" s="9">
        <v>218796253</v>
      </c>
      <c r="E96">
        <f t="shared" si="1"/>
        <v>56.665493718487035</v>
      </c>
    </row>
    <row r="97" spans="1:5" x14ac:dyDescent="0.25">
      <c r="A97" t="s">
        <v>28</v>
      </c>
      <c r="B97" s="1" t="s">
        <v>19</v>
      </c>
      <c r="C97" s="2">
        <v>125463678</v>
      </c>
      <c r="D97" s="9">
        <v>234379042</v>
      </c>
      <c r="E97">
        <f t="shared" si="1"/>
        <v>53.530246104513047</v>
      </c>
    </row>
    <row r="98" spans="1:5" x14ac:dyDescent="0.25">
      <c r="A98" t="s">
        <v>28</v>
      </c>
      <c r="B98" s="1" t="s">
        <v>20</v>
      </c>
      <c r="C98" s="2">
        <v>129485086</v>
      </c>
      <c r="D98" s="10" t="s">
        <v>101</v>
      </c>
      <c r="E98">
        <f t="shared" si="1"/>
        <v>53.756634062841044</v>
      </c>
    </row>
    <row r="99" spans="1:5" x14ac:dyDescent="0.25">
      <c r="A99" t="s">
        <v>28</v>
      </c>
      <c r="B99" s="1" t="s">
        <v>21</v>
      </c>
      <c r="C99" s="2">
        <v>134673292</v>
      </c>
      <c r="D99" s="10" t="s">
        <v>102</v>
      </c>
      <c r="E99">
        <f t="shared" si="1"/>
        <v>58.606238970991683</v>
      </c>
    </row>
    <row r="100" spans="1:5" x14ac:dyDescent="0.25">
      <c r="A100" t="s">
        <v>28</v>
      </c>
      <c r="B100" s="1" t="s">
        <v>22</v>
      </c>
      <c r="C100" s="2">
        <v>135656971</v>
      </c>
      <c r="D100" s="10" t="s">
        <v>103</v>
      </c>
      <c r="E100">
        <f t="shared" si="1"/>
        <v>61.535220920979825</v>
      </c>
    </row>
    <row r="101" spans="1:5" x14ac:dyDescent="0.25">
      <c r="A101" t="s">
        <v>28</v>
      </c>
      <c r="B101" s="1" t="s">
        <v>23</v>
      </c>
      <c r="C101" s="2">
        <v>136323646</v>
      </c>
      <c r="D101" s="8">
        <v>255112471</v>
      </c>
      <c r="E101">
        <f t="shared" si="1"/>
        <v>53.436684402621772</v>
      </c>
    </row>
    <row r="102" spans="1:5" x14ac:dyDescent="0.25">
      <c r="A102" t="s">
        <v>29</v>
      </c>
      <c r="B102" s="1" t="s">
        <v>4</v>
      </c>
      <c r="C102" s="2">
        <v>470052360</v>
      </c>
      <c r="D102" s="9">
        <v>745043491</v>
      </c>
      <c r="E102">
        <f t="shared" si="1"/>
        <v>63.09059345906023</v>
      </c>
    </row>
    <row r="103" spans="1:5" x14ac:dyDescent="0.25">
      <c r="A103" t="s">
        <v>29</v>
      </c>
      <c r="B103" s="1" t="s">
        <v>5</v>
      </c>
      <c r="C103" s="2">
        <v>494419514</v>
      </c>
      <c r="D103" s="9">
        <v>776590042</v>
      </c>
      <c r="E103">
        <f t="shared" si="1"/>
        <v>63.665446021776319</v>
      </c>
    </row>
    <row r="104" spans="1:5" x14ac:dyDescent="0.25">
      <c r="A104" t="s">
        <v>29</v>
      </c>
      <c r="B104" s="1" t="s">
        <v>6</v>
      </c>
      <c r="C104" s="2">
        <v>515563085</v>
      </c>
      <c r="D104" s="9">
        <v>783814134</v>
      </c>
      <c r="E104">
        <f t="shared" si="1"/>
        <v>65.776191399988207</v>
      </c>
    </row>
    <row r="105" spans="1:5" x14ac:dyDescent="0.25">
      <c r="A105" t="s">
        <v>29</v>
      </c>
      <c r="B105" s="1" t="s">
        <v>7</v>
      </c>
      <c r="C105" s="2">
        <v>537914433</v>
      </c>
      <c r="D105" s="9">
        <v>808648119</v>
      </c>
      <c r="E105">
        <f t="shared" si="1"/>
        <v>66.520210751890701</v>
      </c>
    </row>
    <row r="106" spans="1:5" x14ac:dyDescent="0.25">
      <c r="A106" t="s">
        <v>29</v>
      </c>
      <c r="B106" s="1" t="s">
        <v>8</v>
      </c>
      <c r="C106" s="2">
        <v>532123564</v>
      </c>
      <c r="D106" s="9">
        <v>814559087</v>
      </c>
      <c r="E106">
        <f t="shared" si="1"/>
        <v>65.326576364128144</v>
      </c>
    </row>
    <row r="107" spans="1:5" x14ac:dyDescent="0.25">
      <c r="A107" t="s">
        <v>29</v>
      </c>
      <c r="B107" s="1" t="s">
        <v>9</v>
      </c>
      <c r="C107" s="2">
        <v>551677550</v>
      </c>
      <c r="D107" s="9">
        <v>853642798</v>
      </c>
      <c r="E107">
        <f t="shared" si="1"/>
        <v>64.626275919216496</v>
      </c>
    </row>
    <row r="108" spans="1:5" x14ac:dyDescent="0.25">
      <c r="A108" t="s">
        <v>29</v>
      </c>
      <c r="B108" s="1" t="s">
        <v>10</v>
      </c>
      <c r="C108" s="2">
        <v>570625590</v>
      </c>
      <c r="D108" s="9">
        <v>875677023</v>
      </c>
      <c r="E108">
        <f t="shared" si="1"/>
        <v>65.16393316397432</v>
      </c>
    </row>
    <row r="109" spans="1:5" x14ac:dyDescent="0.25">
      <c r="A109" t="s">
        <v>29</v>
      </c>
      <c r="B109" s="1" t="s">
        <v>11</v>
      </c>
      <c r="C109" s="2">
        <v>588250950</v>
      </c>
      <c r="D109" s="9">
        <v>899035962</v>
      </c>
      <c r="E109">
        <f t="shared" si="1"/>
        <v>65.431303625649633</v>
      </c>
    </row>
    <row r="110" spans="1:5" x14ac:dyDescent="0.25">
      <c r="A110" t="s">
        <v>29</v>
      </c>
      <c r="B110" s="1" t="s">
        <v>12</v>
      </c>
      <c r="C110" s="2">
        <v>597728368</v>
      </c>
      <c r="D110" s="9">
        <v>953701928</v>
      </c>
      <c r="E110">
        <f t="shared" si="1"/>
        <v>62.674547513340038</v>
      </c>
    </row>
    <row r="111" spans="1:5" x14ac:dyDescent="0.25">
      <c r="A111" t="s">
        <v>29</v>
      </c>
      <c r="B111" s="1" t="s">
        <v>13</v>
      </c>
      <c r="C111" s="2">
        <v>582184109</v>
      </c>
      <c r="D111" s="9">
        <v>957694444</v>
      </c>
      <c r="E111">
        <f t="shared" si="1"/>
        <v>60.790172966692083</v>
      </c>
    </row>
    <row r="112" spans="1:5" x14ac:dyDescent="0.25">
      <c r="A112" t="s">
        <v>29</v>
      </c>
      <c r="B112" s="1" t="s">
        <v>14</v>
      </c>
      <c r="C112" s="2">
        <v>569164386</v>
      </c>
      <c r="D112" s="9">
        <v>985845932</v>
      </c>
      <c r="E112">
        <f t="shared" si="1"/>
        <v>57.733603956282288</v>
      </c>
    </row>
    <row r="113" spans="1:5" x14ac:dyDescent="0.25">
      <c r="A113" t="s">
        <v>29</v>
      </c>
      <c r="B113" s="1" t="s">
        <v>15</v>
      </c>
      <c r="C113" s="2">
        <v>575648735</v>
      </c>
      <c r="D113" s="9">
        <v>1056362108</v>
      </c>
      <c r="E113">
        <f t="shared" si="1"/>
        <v>54.493504702650696</v>
      </c>
    </row>
    <row r="114" spans="1:5" x14ac:dyDescent="0.25">
      <c r="A114" t="s">
        <v>29</v>
      </c>
      <c r="B114" s="1" t="s">
        <v>16</v>
      </c>
      <c r="C114" s="2">
        <v>573933771</v>
      </c>
      <c r="D114" s="9">
        <v>1071238142</v>
      </c>
      <c r="E114">
        <f t="shared" si="1"/>
        <v>53.576674363784925</v>
      </c>
    </row>
    <row r="115" spans="1:5" x14ac:dyDescent="0.25">
      <c r="A115" t="s">
        <v>29</v>
      </c>
      <c r="B115" s="1" t="s">
        <v>17</v>
      </c>
      <c r="C115" s="2">
        <v>579912255</v>
      </c>
      <c r="D115" s="9">
        <v>1109512267</v>
      </c>
      <c r="E115">
        <f t="shared" si="1"/>
        <v>52.267313507764932</v>
      </c>
    </row>
    <row r="116" spans="1:5" x14ac:dyDescent="0.25">
      <c r="A116" t="s">
        <v>29</v>
      </c>
      <c r="B116" s="1" t="s">
        <v>18</v>
      </c>
      <c r="C116" s="2">
        <v>591363643</v>
      </c>
      <c r="D116" s="9">
        <v>1148850342</v>
      </c>
      <c r="E116">
        <f t="shared" si="1"/>
        <v>51.474384554781281</v>
      </c>
    </row>
    <row r="117" spans="1:5" x14ac:dyDescent="0.25">
      <c r="A117" t="s">
        <v>29</v>
      </c>
      <c r="B117" s="1" t="s">
        <v>19</v>
      </c>
      <c r="C117" s="2">
        <v>620640134</v>
      </c>
      <c r="D117" s="7">
        <v>1205491799</v>
      </c>
      <c r="E117">
        <f t="shared" si="1"/>
        <v>51.484392885529708</v>
      </c>
    </row>
    <row r="118" spans="1:5" x14ac:dyDescent="0.25">
      <c r="A118" t="s">
        <v>29</v>
      </c>
      <c r="B118" s="1" t="s">
        <v>20</v>
      </c>
      <c r="C118" s="2">
        <v>619851707</v>
      </c>
      <c r="D118" s="10" t="s">
        <v>104</v>
      </c>
      <c r="E118">
        <f t="shared" si="1"/>
        <v>50.220215138207244</v>
      </c>
    </row>
    <row r="119" spans="1:5" x14ac:dyDescent="0.25">
      <c r="A119" t="s">
        <v>29</v>
      </c>
      <c r="B119" s="1" t="s">
        <v>21</v>
      </c>
      <c r="C119" s="2">
        <v>656872451</v>
      </c>
      <c r="D119" s="10" t="s">
        <v>105</v>
      </c>
      <c r="E119">
        <f t="shared" si="1"/>
        <v>53.07188364495358</v>
      </c>
    </row>
    <row r="120" spans="1:5" x14ac:dyDescent="0.25">
      <c r="A120" t="s">
        <v>29</v>
      </c>
      <c r="B120" s="1" t="s">
        <v>22</v>
      </c>
      <c r="C120" s="2">
        <v>662674349</v>
      </c>
      <c r="D120" s="10" t="s">
        <v>106</v>
      </c>
      <c r="E120">
        <f t="shared" si="1"/>
        <v>52.614403024741343</v>
      </c>
    </row>
    <row r="121" spans="1:5" x14ac:dyDescent="0.25">
      <c r="A121" t="s">
        <v>29</v>
      </c>
      <c r="B121" s="1" t="s">
        <v>23</v>
      </c>
      <c r="C121" s="2">
        <v>691141340</v>
      </c>
      <c r="D121" s="7">
        <v>1283366355</v>
      </c>
      <c r="E121">
        <f t="shared" si="1"/>
        <v>53.853783629850568</v>
      </c>
    </row>
    <row r="122" spans="1:5" x14ac:dyDescent="0.25">
      <c r="A122" t="s">
        <v>30</v>
      </c>
      <c r="B122" s="1" t="s">
        <v>4</v>
      </c>
      <c r="C122" s="2">
        <v>107539050</v>
      </c>
      <c r="D122" s="2">
        <v>160883617</v>
      </c>
      <c r="E122">
        <f t="shared" si="1"/>
        <v>66.842760005824587</v>
      </c>
    </row>
    <row r="123" spans="1:5" x14ac:dyDescent="0.25">
      <c r="A123" t="s">
        <v>30</v>
      </c>
      <c r="B123" s="1" t="s">
        <v>5</v>
      </c>
      <c r="C123" s="2">
        <v>111298493</v>
      </c>
      <c r="D123" s="2">
        <v>155896565</v>
      </c>
      <c r="E123">
        <f t="shared" si="1"/>
        <v>71.392524267612956</v>
      </c>
    </row>
    <row r="124" spans="1:5" x14ac:dyDescent="0.25">
      <c r="A124" t="s">
        <v>30</v>
      </c>
      <c r="B124" s="1" t="s">
        <v>6</v>
      </c>
      <c r="C124" s="2">
        <v>184056660</v>
      </c>
      <c r="D124" s="2">
        <v>157955044</v>
      </c>
      <c r="E124">
        <f t="shared" si="1"/>
        <v>116.52471193006031</v>
      </c>
    </row>
    <row r="125" spans="1:5" x14ac:dyDescent="0.25">
      <c r="A125" t="s">
        <v>30</v>
      </c>
      <c r="B125" s="1" t="s">
        <v>7</v>
      </c>
      <c r="C125" s="2">
        <v>118938088</v>
      </c>
      <c r="D125" s="2">
        <v>163236041</v>
      </c>
      <c r="E125">
        <f t="shared" si="1"/>
        <v>72.862639446150254</v>
      </c>
    </row>
    <row r="126" spans="1:5" x14ac:dyDescent="0.25">
      <c r="A126" t="s">
        <v>30</v>
      </c>
      <c r="B126" s="1" t="s">
        <v>8</v>
      </c>
      <c r="C126" s="2">
        <v>121382357</v>
      </c>
      <c r="D126" s="2">
        <v>173997784</v>
      </c>
      <c r="E126">
        <f t="shared" si="1"/>
        <v>69.760863736057701</v>
      </c>
    </row>
    <row r="127" spans="1:5" x14ac:dyDescent="0.25">
      <c r="A127" t="s">
        <v>30</v>
      </c>
      <c r="B127" s="1" t="s">
        <v>9</v>
      </c>
      <c r="C127" s="2">
        <v>121035591</v>
      </c>
      <c r="D127" s="2">
        <v>169266124</v>
      </c>
      <c r="E127">
        <f t="shared" si="1"/>
        <v>71.506092382667191</v>
      </c>
    </row>
    <row r="128" spans="1:5" x14ac:dyDescent="0.25">
      <c r="A128" t="s">
        <v>30</v>
      </c>
      <c r="B128" s="1" t="s">
        <v>10</v>
      </c>
      <c r="C128" s="2">
        <v>115726478</v>
      </c>
      <c r="D128" s="2">
        <v>163721487</v>
      </c>
      <c r="E128">
        <f t="shared" si="1"/>
        <v>70.684966353866557</v>
      </c>
    </row>
    <row r="129" spans="1:5" x14ac:dyDescent="0.25">
      <c r="A129" t="s">
        <v>30</v>
      </c>
      <c r="B129" s="1" t="s">
        <v>11</v>
      </c>
      <c r="C129" s="2">
        <v>108246585</v>
      </c>
      <c r="D129" s="2">
        <v>154703225</v>
      </c>
      <c r="E129">
        <f t="shared" si="1"/>
        <v>69.970477344606095</v>
      </c>
    </row>
    <row r="130" spans="1:5" x14ac:dyDescent="0.25">
      <c r="A130" t="s">
        <v>30</v>
      </c>
      <c r="B130" s="1" t="s">
        <v>12</v>
      </c>
      <c r="C130" s="2">
        <v>109100984</v>
      </c>
      <c r="D130" s="2">
        <v>167608969</v>
      </c>
      <c r="E130">
        <f t="shared" si="1"/>
        <v>65.092569121405432</v>
      </c>
    </row>
    <row r="131" spans="1:5" x14ac:dyDescent="0.25">
      <c r="A131" t="s">
        <v>30</v>
      </c>
      <c r="B131" s="1" t="s">
        <v>13</v>
      </c>
      <c r="C131" s="2">
        <v>103208523</v>
      </c>
      <c r="D131" s="2">
        <v>151741055</v>
      </c>
      <c r="E131">
        <f t="shared" ref="E131:E194" si="2">(C131/D131)*100</f>
        <v>68.016215519260754</v>
      </c>
    </row>
    <row r="132" spans="1:5" x14ac:dyDescent="0.25">
      <c r="A132" t="s">
        <v>30</v>
      </c>
      <c r="B132" s="1" t="s">
        <v>14</v>
      </c>
      <c r="C132" s="2">
        <v>97827874</v>
      </c>
      <c r="D132" s="2">
        <v>166139379</v>
      </c>
      <c r="E132">
        <f t="shared" si="2"/>
        <v>58.883014122738473</v>
      </c>
    </row>
    <row r="133" spans="1:5" x14ac:dyDescent="0.25">
      <c r="A133" t="s">
        <v>30</v>
      </c>
      <c r="B133" s="1" t="s">
        <v>15</v>
      </c>
      <c r="C133" s="2">
        <v>94381957</v>
      </c>
      <c r="D133" s="2">
        <v>162579069</v>
      </c>
      <c r="E133">
        <f t="shared" si="2"/>
        <v>58.052956989192751</v>
      </c>
    </row>
    <row r="134" spans="1:5" x14ac:dyDescent="0.25">
      <c r="A134" t="s">
        <v>30</v>
      </c>
      <c r="B134" s="1" t="s">
        <v>16</v>
      </c>
      <c r="C134" s="2">
        <v>92178499</v>
      </c>
      <c r="D134" s="2">
        <v>164370126</v>
      </c>
      <c r="E134">
        <f t="shared" si="2"/>
        <v>56.079837159703828</v>
      </c>
    </row>
    <row r="135" spans="1:5" x14ac:dyDescent="0.25">
      <c r="A135" t="s">
        <v>30</v>
      </c>
      <c r="B135" s="1" t="s">
        <v>17</v>
      </c>
      <c r="C135" s="2">
        <v>89033010</v>
      </c>
      <c r="D135" s="2">
        <v>152055984</v>
      </c>
      <c r="E135">
        <f t="shared" si="2"/>
        <v>58.552782769798782</v>
      </c>
    </row>
    <row r="136" spans="1:5" x14ac:dyDescent="0.25">
      <c r="A136" t="s">
        <v>30</v>
      </c>
      <c r="B136" s="1" t="s">
        <v>18</v>
      </c>
      <c r="C136" s="2">
        <v>88781717</v>
      </c>
      <c r="D136" s="2">
        <v>144079298</v>
      </c>
      <c r="E136">
        <f t="shared" si="2"/>
        <v>61.620037182579836</v>
      </c>
    </row>
    <row r="137" spans="1:5" x14ac:dyDescent="0.25">
      <c r="A137" t="s">
        <v>30</v>
      </c>
      <c r="B137" s="1" t="s">
        <v>19</v>
      </c>
      <c r="C137" s="2">
        <v>90708235</v>
      </c>
      <c r="D137" s="2">
        <v>157962140</v>
      </c>
      <c r="E137">
        <f t="shared" si="2"/>
        <v>57.424035278326826</v>
      </c>
    </row>
    <row r="138" spans="1:5" x14ac:dyDescent="0.25">
      <c r="A138" t="s">
        <v>30</v>
      </c>
      <c r="B138" s="1" t="s">
        <v>20</v>
      </c>
      <c r="C138" s="2">
        <v>89193327</v>
      </c>
      <c r="D138" s="10" t="s">
        <v>107</v>
      </c>
      <c r="E138">
        <f t="shared" si="2"/>
        <v>59.638788972142123</v>
      </c>
    </row>
    <row r="139" spans="1:5" x14ac:dyDescent="0.25">
      <c r="A139" t="s">
        <v>30</v>
      </c>
      <c r="B139" s="1" t="s">
        <v>21</v>
      </c>
      <c r="C139" s="2">
        <v>96509030</v>
      </c>
      <c r="D139" s="10" t="s">
        <v>108</v>
      </c>
      <c r="E139">
        <f t="shared" si="2"/>
        <v>61.409978626872821</v>
      </c>
    </row>
    <row r="140" spans="1:5" x14ac:dyDescent="0.25">
      <c r="A140" t="s">
        <v>30</v>
      </c>
      <c r="B140" s="1" t="s">
        <v>22</v>
      </c>
      <c r="C140" s="2">
        <v>100914804</v>
      </c>
      <c r="D140" s="10" t="s">
        <v>109</v>
      </c>
      <c r="E140">
        <f t="shared" si="2"/>
        <v>65.324371591950865</v>
      </c>
    </row>
    <row r="141" spans="1:5" x14ac:dyDescent="0.25">
      <c r="A141" t="s">
        <v>30</v>
      </c>
      <c r="B141" s="1" t="s">
        <v>23</v>
      </c>
      <c r="C141" s="2">
        <v>95958897</v>
      </c>
      <c r="D141" s="7">
        <v>148946390</v>
      </c>
      <c r="E141">
        <f t="shared" si="2"/>
        <v>64.425124368573151</v>
      </c>
    </row>
    <row r="142" spans="1:5" x14ac:dyDescent="0.25">
      <c r="A142" t="s">
        <v>31</v>
      </c>
      <c r="B142" s="1" t="s">
        <v>4</v>
      </c>
      <c r="C142" s="2">
        <v>127843341</v>
      </c>
      <c r="D142" s="2">
        <v>197923174</v>
      </c>
      <c r="E142">
        <f t="shared" si="2"/>
        <v>64.592406445543361</v>
      </c>
    </row>
    <row r="143" spans="1:5" x14ac:dyDescent="0.25">
      <c r="A143" t="s">
        <v>31</v>
      </c>
      <c r="B143" s="1" t="s">
        <v>5</v>
      </c>
      <c r="C143" s="2">
        <v>133839523</v>
      </c>
      <c r="D143" s="2">
        <v>189452263</v>
      </c>
      <c r="E143">
        <f t="shared" si="2"/>
        <v>70.645512954363596</v>
      </c>
    </row>
    <row r="144" spans="1:5" x14ac:dyDescent="0.25">
      <c r="A144" t="s">
        <v>31</v>
      </c>
      <c r="B144" s="1" t="s">
        <v>6</v>
      </c>
      <c r="C144" s="2">
        <v>132648354</v>
      </c>
      <c r="D144" s="2">
        <v>186831938</v>
      </c>
      <c r="E144">
        <f t="shared" si="2"/>
        <v>70.99875718251127</v>
      </c>
    </row>
    <row r="145" spans="1:5" x14ac:dyDescent="0.25">
      <c r="A145" t="s">
        <v>31</v>
      </c>
      <c r="B145" s="1" t="s">
        <v>7</v>
      </c>
      <c r="C145" s="2">
        <v>136248157</v>
      </c>
      <c r="D145" s="2">
        <v>188898490</v>
      </c>
      <c r="E145">
        <f t="shared" si="2"/>
        <v>72.127711026170729</v>
      </c>
    </row>
    <row r="146" spans="1:5" x14ac:dyDescent="0.25">
      <c r="A146" t="s">
        <v>31</v>
      </c>
      <c r="B146" s="1" t="s">
        <v>8</v>
      </c>
      <c r="C146" s="2">
        <v>137075803</v>
      </c>
      <c r="D146" s="2">
        <v>192838094</v>
      </c>
      <c r="E146">
        <f t="shared" si="2"/>
        <v>71.083363331728435</v>
      </c>
    </row>
    <row r="147" spans="1:5" x14ac:dyDescent="0.25">
      <c r="A147" t="s">
        <v>31</v>
      </c>
      <c r="B147" s="1" t="s">
        <v>9</v>
      </c>
      <c r="C147" s="2">
        <v>136104941</v>
      </c>
      <c r="D147" s="2">
        <v>193984292</v>
      </c>
      <c r="E147">
        <f t="shared" si="2"/>
        <v>70.162867104724128</v>
      </c>
    </row>
    <row r="148" spans="1:5" x14ac:dyDescent="0.25">
      <c r="A148" t="s">
        <v>31</v>
      </c>
      <c r="B148" s="1" t="s">
        <v>10</v>
      </c>
      <c r="C148" s="2">
        <v>135545876</v>
      </c>
      <c r="D148" s="2">
        <v>192939358</v>
      </c>
      <c r="E148">
        <f t="shared" si="2"/>
        <v>70.253097867154708</v>
      </c>
    </row>
    <row r="149" spans="1:5" x14ac:dyDescent="0.25">
      <c r="A149" t="s">
        <v>31</v>
      </c>
      <c r="B149" s="1" t="s">
        <v>11</v>
      </c>
      <c r="C149" s="2">
        <v>132491854</v>
      </c>
      <c r="D149" s="2">
        <v>190252348</v>
      </c>
      <c r="E149">
        <f t="shared" si="2"/>
        <v>69.640062471134385</v>
      </c>
    </row>
    <row r="150" spans="1:5" x14ac:dyDescent="0.25">
      <c r="A150" t="s">
        <v>31</v>
      </c>
      <c r="B150" s="1" t="s">
        <v>12</v>
      </c>
      <c r="C150" s="2">
        <v>131705526</v>
      </c>
      <c r="D150" s="7">
        <v>185132358</v>
      </c>
      <c r="E150">
        <f t="shared" si="2"/>
        <v>71.141278284804216</v>
      </c>
    </row>
    <row r="151" spans="1:5" x14ac:dyDescent="0.25">
      <c r="A151" t="s">
        <v>31</v>
      </c>
      <c r="B151" s="1" t="s">
        <v>13</v>
      </c>
      <c r="C151" s="2">
        <v>121709076</v>
      </c>
      <c r="D151" s="9">
        <v>192810389</v>
      </c>
      <c r="E151">
        <f t="shared" si="2"/>
        <v>63.123712695792541</v>
      </c>
    </row>
    <row r="152" spans="1:5" x14ac:dyDescent="0.25">
      <c r="A152" t="s">
        <v>31</v>
      </c>
      <c r="B152" s="1" t="s">
        <v>14</v>
      </c>
      <c r="C152" s="2">
        <v>116775318</v>
      </c>
      <c r="D152" s="9">
        <v>198216614</v>
      </c>
      <c r="E152">
        <f t="shared" si="2"/>
        <v>58.91298193601471</v>
      </c>
    </row>
    <row r="153" spans="1:5" x14ac:dyDescent="0.25">
      <c r="A153" t="s">
        <v>31</v>
      </c>
      <c r="B153" s="1" t="s">
        <v>15</v>
      </c>
      <c r="C153" s="2">
        <v>113587709</v>
      </c>
      <c r="D153" s="9">
        <v>201319549</v>
      </c>
      <c r="E153">
        <f t="shared" si="2"/>
        <v>56.421599176143602</v>
      </c>
    </row>
    <row r="154" spans="1:5" x14ac:dyDescent="0.25">
      <c r="A154" t="s">
        <v>31</v>
      </c>
      <c r="B154" s="1" t="s">
        <v>16</v>
      </c>
      <c r="C154" s="2">
        <v>112469011</v>
      </c>
      <c r="D154" s="9">
        <v>190948316</v>
      </c>
      <c r="E154">
        <f t="shared" si="2"/>
        <v>58.90023717203141</v>
      </c>
    </row>
    <row r="155" spans="1:5" x14ac:dyDescent="0.25">
      <c r="A155" t="s">
        <v>31</v>
      </c>
      <c r="B155" s="1" t="s">
        <v>17</v>
      </c>
      <c r="C155" s="2">
        <v>110891662</v>
      </c>
      <c r="D155" s="9">
        <v>189958177</v>
      </c>
      <c r="E155">
        <f t="shared" si="2"/>
        <v>58.37688261242895</v>
      </c>
    </row>
    <row r="156" spans="1:5" x14ac:dyDescent="0.25">
      <c r="A156" t="s">
        <v>31</v>
      </c>
      <c r="B156" s="1" t="s">
        <v>18</v>
      </c>
      <c r="C156" s="2">
        <v>109449083</v>
      </c>
      <c r="D156" s="9">
        <v>184798507</v>
      </c>
      <c r="E156">
        <f t="shared" si="2"/>
        <v>59.226172752575323</v>
      </c>
    </row>
    <row r="157" spans="1:5" x14ac:dyDescent="0.25">
      <c r="A157" t="s">
        <v>31</v>
      </c>
      <c r="B157" s="1" t="s">
        <v>19</v>
      </c>
      <c r="C157" s="2">
        <v>111281807</v>
      </c>
      <c r="D157" s="9">
        <v>190667695</v>
      </c>
      <c r="E157">
        <f t="shared" si="2"/>
        <v>58.364269311589467</v>
      </c>
    </row>
    <row r="158" spans="1:5" x14ac:dyDescent="0.25">
      <c r="A158" t="s">
        <v>31</v>
      </c>
      <c r="B158" s="1" t="s">
        <v>20</v>
      </c>
      <c r="C158" s="2">
        <v>109717554</v>
      </c>
      <c r="D158" s="10" t="s">
        <v>110</v>
      </c>
      <c r="E158">
        <f t="shared" si="2"/>
        <v>57.559468408936674</v>
      </c>
    </row>
    <row r="159" spans="1:5" x14ac:dyDescent="0.25">
      <c r="A159" t="s">
        <v>31</v>
      </c>
      <c r="B159" s="1" t="s">
        <v>21</v>
      </c>
      <c r="C159" s="2">
        <v>116426349</v>
      </c>
      <c r="D159" s="10" t="s">
        <v>111</v>
      </c>
      <c r="E159">
        <f t="shared" si="2"/>
        <v>63.503690101175849</v>
      </c>
    </row>
    <row r="160" spans="1:5" x14ac:dyDescent="0.25">
      <c r="A160" t="s">
        <v>31</v>
      </c>
      <c r="B160" s="1" t="s">
        <v>22</v>
      </c>
      <c r="C160" s="2">
        <v>114731259</v>
      </c>
      <c r="D160" s="10" t="s">
        <v>112</v>
      </c>
      <c r="E160">
        <f t="shared" si="2"/>
        <v>63.360242815566856</v>
      </c>
    </row>
    <row r="161" spans="1:5" x14ac:dyDescent="0.25">
      <c r="A161" t="s">
        <v>31</v>
      </c>
      <c r="B161" s="1" t="s">
        <v>23</v>
      </c>
      <c r="C161" s="2">
        <v>120287068</v>
      </c>
      <c r="D161" s="8">
        <v>193649452</v>
      </c>
      <c r="E161">
        <f t="shared" si="2"/>
        <v>62.115883498601377</v>
      </c>
    </row>
    <row r="162" spans="1:5" x14ac:dyDescent="0.25">
      <c r="A162" t="s">
        <v>32</v>
      </c>
      <c r="B162" s="1" t="s">
        <v>4</v>
      </c>
      <c r="C162" s="2">
        <v>176642758</v>
      </c>
      <c r="D162" s="9">
        <v>255689959</v>
      </c>
      <c r="E162">
        <f t="shared" si="2"/>
        <v>69.084745717370936</v>
      </c>
    </row>
    <row r="163" spans="1:5" x14ac:dyDescent="0.25">
      <c r="A163" t="s">
        <v>32</v>
      </c>
      <c r="B163" s="1" t="s">
        <v>5</v>
      </c>
      <c r="C163" s="2">
        <v>183661279</v>
      </c>
      <c r="D163" s="9">
        <v>258587594</v>
      </c>
      <c r="E163">
        <f t="shared" si="2"/>
        <v>71.024783578751268</v>
      </c>
    </row>
    <row r="164" spans="1:5" x14ac:dyDescent="0.25">
      <c r="A164" t="s">
        <v>32</v>
      </c>
      <c r="B164" s="1" t="s">
        <v>6</v>
      </c>
      <c r="C164" s="2">
        <v>180856764</v>
      </c>
      <c r="D164" s="9">
        <v>259070857</v>
      </c>
      <c r="E164">
        <f t="shared" si="2"/>
        <v>69.809767912258849</v>
      </c>
    </row>
    <row r="165" spans="1:5" x14ac:dyDescent="0.25">
      <c r="A165" t="s">
        <v>32</v>
      </c>
      <c r="B165" s="1" t="s">
        <v>7</v>
      </c>
      <c r="C165" s="2">
        <v>186513788</v>
      </c>
      <c r="D165" s="9">
        <v>265273866</v>
      </c>
      <c r="E165">
        <f t="shared" si="2"/>
        <v>70.309899279712681</v>
      </c>
    </row>
    <row r="166" spans="1:5" x14ac:dyDescent="0.25">
      <c r="A166" t="s">
        <v>32</v>
      </c>
      <c r="B166" s="1" t="s">
        <v>8</v>
      </c>
      <c r="C166" s="2">
        <v>185935010</v>
      </c>
      <c r="D166" s="9">
        <v>261262096</v>
      </c>
      <c r="E166">
        <f t="shared" si="2"/>
        <v>71.168000581301314</v>
      </c>
    </row>
    <row r="167" spans="1:5" x14ac:dyDescent="0.25">
      <c r="A167" t="s">
        <v>32</v>
      </c>
      <c r="B167" s="1" t="s">
        <v>9</v>
      </c>
      <c r="C167" s="2">
        <v>188247439</v>
      </c>
      <c r="D167" s="9">
        <v>270190664</v>
      </c>
      <c r="E167">
        <f t="shared" si="2"/>
        <v>69.672073865587009</v>
      </c>
    </row>
    <row r="168" spans="1:5" x14ac:dyDescent="0.25">
      <c r="A168" t="s">
        <v>32</v>
      </c>
      <c r="B168" s="1" t="s">
        <v>10</v>
      </c>
      <c r="C168" s="2">
        <v>188950045</v>
      </c>
      <c r="D168" s="9">
        <v>260881792</v>
      </c>
      <c r="E168">
        <f t="shared" si="2"/>
        <v>72.427455956757612</v>
      </c>
    </row>
    <row r="169" spans="1:5" x14ac:dyDescent="0.25">
      <c r="A169" t="s">
        <v>32</v>
      </c>
      <c r="B169" s="1" t="s">
        <v>11</v>
      </c>
      <c r="C169" s="2">
        <v>191451100</v>
      </c>
      <c r="D169" s="9">
        <v>272442016</v>
      </c>
      <c r="E169">
        <f t="shared" si="2"/>
        <v>70.272237304248989</v>
      </c>
    </row>
    <row r="170" spans="1:5" x14ac:dyDescent="0.25">
      <c r="A170" t="s">
        <v>32</v>
      </c>
      <c r="B170" s="1" t="s">
        <v>12</v>
      </c>
      <c r="C170" s="2">
        <v>191314879</v>
      </c>
      <c r="D170" s="9">
        <v>271885773</v>
      </c>
      <c r="E170">
        <f t="shared" si="2"/>
        <v>70.365902889666827</v>
      </c>
    </row>
    <row r="171" spans="1:5" x14ac:dyDescent="0.25">
      <c r="A171" t="s">
        <v>32</v>
      </c>
      <c r="B171" s="1" t="s">
        <v>13</v>
      </c>
      <c r="C171" s="2">
        <v>183036862</v>
      </c>
      <c r="D171" s="9">
        <v>272039821</v>
      </c>
      <c r="E171">
        <f t="shared" si="2"/>
        <v>67.28311367327359</v>
      </c>
    </row>
    <row r="172" spans="1:5" x14ac:dyDescent="0.25">
      <c r="A172" t="s">
        <v>32</v>
      </c>
      <c r="B172" s="1" t="s">
        <v>14</v>
      </c>
      <c r="C172" s="2">
        <v>177812233</v>
      </c>
      <c r="D172" s="9">
        <v>279200462</v>
      </c>
      <c r="E172">
        <f t="shared" si="2"/>
        <v>63.686224487694432</v>
      </c>
    </row>
    <row r="173" spans="1:5" x14ac:dyDescent="0.25">
      <c r="A173" t="s">
        <v>32</v>
      </c>
      <c r="B173" s="1" t="s">
        <v>15</v>
      </c>
      <c r="C173" s="2">
        <v>171935239</v>
      </c>
      <c r="D173" s="9">
        <v>278674061</v>
      </c>
      <c r="E173">
        <f t="shared" si="2"/>
        <v>61.697611318048004</v>
      </c>
    </row>
    <row r="174" spans="1:5" x14ac:dyDescent="0.25">
      <c r="A174" t="s">
        <v>32</v>
      </c>
      <c r="B174" s="1" t="s">
        <v>16</v>
      </c>
      <c r="C174" s="2">
        <v>170353995</v>
      </c>
      <c r="D174" s="9">
        <v>270049711</v>
      </c>
      <c r="E174">
        <f t="shared" si="2"/>
        <v>63.082457807184987</v>
      </c>
    </row>
    <row r="175" spans="1:5" x14ac:dyDescent="0.25">
      <c r="A175" t="s">
        <v>32</v>
      </c>
      <c r="B175" s="1" t="s">
        <v>17</v>
      </c>
      <c r="C175" s="2">
        <v>170189837</v>
      </c>
      <c r="D175" s="9">
        <v>286367574</v>
      </c>
      <c r="E175">
        <f t="shared" si="2"/>
        <v>59.430554452369662</v>
      </c>
    </row>
    <row r="176" spans="1:5" x14ac:dyDescent="0.25">
      <c r="A176" t="s">
        <v>32</v>
      </c>
      <c r="B176" s="1" t="s">
        <v>18</v>
      </c>
      <c r="C176" s="2">
        <v>173780448</v>
      </c>
      <c r="D176" s="9">
        <v>292786766</v>
      </c>
      <c r="E176">
        <f t="shared" si="2"/>
        <v>59.353928585692969</v>
      </c>
    </row>
    <row r="177" spans="1:5" x14ac:dyDescent="0.25">
      <c r="A177" t="s">
        <v>32</v>
      </c>
      <c r="B177" s="1" t="s">
        <v>19</v>
      </c>
      <c r="C177" s="2">
        <v>178056198</v>
      </c>
      <c r="D177" s="9">
        <v>307243611</v>
      </c>
      <c r="E177">
        <f t="shared" si="2"/>
        <v>57.952774809693274</v>
      </c>
    </row>
    <row r="178" spans="1:5" x14ac:dyDescent="0.25">
      <c r="A178" t="s">
        <v>32</v>
      </c>
      <c r="B178" s="1" t="s">
        <v>20</v>
      </c>
      <c r="C178" s="2">
        <v>178258238</v>
      </c>
      <c r="D178" s="10" t="s">
        <v>113</v>
      </c>
      <c r="E178">
        <f t="shared" si="2"/>
        <v>58.858618345620897</v>
      </c>
    </row>
    <row r="179" spans="1:5" x14ac:dyDescent="0.25">
      <c r="A179" t="s">
        <v>32</v>
      </c>
      <c r="B179" s="1" t="s">
        <v>21</v>
      </c>
      <c r="C179" s="2">
        <v>184713731</v>
      </c>
      <c r="D179" s="10" t="s">
        <v>114</v>
      </c>
      <c r="E179">
        <f t="shared" si="2"/>
        <v>60.356046691417362</v>
      </c>
    </row>
    <row r="180" spans="1:5" x14ac:dyDescent="0.25">
      <c r="A180" t="s">
        <v>32</v>
      </c>
      <c r="B180" s="1" t="s">
        <v>22</v>
      </c>
      <c r="C180" s="2">
        <v>189579296</v>
      </c>
      <c r="D180" s="10" t="s">
        <v>115</v>
      </c>
      <c r="E180">
        <f t="shared" si="2"/>
        <v>62.811065852018011</v>
      </c>
    </row>
    <row r="181" spans="1:5" x14ac:dyDescent="0.25">
      <c r="A181" t="s">
        <v>32</v>
      </c>
      <c r="B181" s="1" t="s">
        <v>23</v>
      </c>
      <c r="C181" s="2">
        <v>191347651</v>
      </c>
      <c r="D181" s="7">
        <v>301515827</v>
      </c>
      <c r="E181">
        <f t="shared" si="2"/>
        <v>63.461892831250942</v>
      </c>
    </row>
    <row r="182" spans="1:5" x14ac:dyDescent="0.25">
      <c r="A182" t="s">
        <v>33</v>
      </c>
      <c r="B182" s="1" t="s">
        <v>4</v>
      </c>
      <c r="C182" s="2">
        <v>71007594</v>
      </c>
      <c r="D182" s="10" t="s">
        <v>120</v>
      </c>
      <c r="E182">
        <f t="shared" si="2"/>
        <v>64.076730591018645</v>
      </c>
    </row>
    <row r="183" spans="1:5" x14ac:dyDescent="0.25">
      <c r="A183" t="s">
        <v>33</v>
      </c>
      <c r="B183" s="1" t="s">
        <v>5</v>
      </c>
      <c r="C183" s="2">
        <v>71890852</v>
      </c>
      <c r="D183" s="10" t="s">
        <v>121</v>
      </c>
      <c r="E183">
        <f t="shared" si="2"/>
        <v>66.740948861600344</v>
      </c>
    </row>
    <row r="184" spans="1:5" x14ac:dyDescent="0.25">
      <c r="A184" t="s">
        <v>33</v>
      </c>
      <c r="B184" s="1" t="s">
        <v>6</v>
      </c>
      <c r="C184" s="2">
        <v>74216000</v>
      </c>
      <c r="D184" s="10" t="s">
        <v>122</v>
      </c>
      <c r="E184">
        <f t="shared" si="2"/>
        <v>68.319692193900735</v>
      </c>
    </row>
    <row r="185" spans="1:5" x14ac:dyDescent="0.25">
      <c r="A185" t="s">
        <v>33</v>
      </c>
      <c r="B185" s="1" t="s">
        <v>7</v>
      </c>
      <c r="C185" s="2">
        <v>74991717</v>
      </c>
      <c r="D185" s="10" t="s">
        <v>123</v>
      </c>
      <c r="E185">
        <f t="shared" si="2"/>
        <v>65.443402805891253</v>
      </c>
    </row>
    <row r="186" spans="1:5" x14ac:dyDescent="0.25">
      <c r="A186" t="s">
        <v>33</v>
      </c>
      <c r="B186" s="1" t="s">
        <v>8</v>
      </c>
      <c r="C186" s="2">
        <v>75410928</v>
      </c>
      <c r="D186" s="10" t="s">
        <v>124</v>
      </c>
      <c r="E186">
        <f t="shared" si="2"/>
        <v>67.180791315840807</v>
      </c>
    </row>
    <row r="187" spans="1:5" x14ac:dyDescent="0.25">
      <c r="A187" t="s">
        <v>33</v>
      </c>
      <c r="B187" s="1" t="s">
        <v>9</v>
      </c>
      <c r="C187" s="2">
        <v>77802714</v>
      </c>
      <c r="D187" s="10" t="s">
        <v>125</v>
      </c>
      <c r="E187">
        <f t="shared" si="2"/>
        <v>67.752584864706762</v>
      </c>
    </row>
    <row r="188" spans="1:5" x14ac:dyDescent="0.25">
      <c r="A188" t="s">
        <v>33</v>
      </c>
      <c r="B188" s="1" t="s">
        <v>10</v>
      </c>
      <c r="C188" s="2">
        <v>81481133</v>
      </c>
      <c r="D188" s="10" t="s">
        <v>126</v>
      </c>
      <c r="E188">
        <f t="shared" si="2"/>
        <v>69.436456172084803</v>
      </c>
    </row>
    <row r="189" spans="1:5" x14ac:dyDescent="0.25">
      <c r="A189" t="s">
        <v>33</v>
      </c>
      <c r="B189" s="1" t="s">
        <v>11</v>
      </c>
      <c r="C189" s="2">
        <v>81514657</v>
      </c>
      <c r="D189" s="10" t="s">
        <v>127</v>
      </c>
      <c r="E189">
        <f t="shared" si="2"/>
        <v>69.672804483509779</v>
      </c>
    </row>
    <row r="190" spans="1:5" x14ac:dyDescent="0.25">
      <c r="A190" t="s">
        <v>33</v>
      </c>
      <c r="B190" s="1" t="s">
        <v>12</v>
      </c>
      <c r="C190" s="2">
        <v>82323287</v>
      </c>
      <c r="D190" s="10" t="s">
        <v>128</v>
      </c>
      <c r="E190">
        <f t="shared" si="2"/>
        <v>70.483079115647001</v>
      </c>
    </row>
    <row r="191" spans="1:5" x14ac:dyDescent="0.25">
      <c r="A191" t="s">
        <v>33</v>
      </c>
      <c r="B191" s="1" t="s">
        <v>13</v>
      </c>
      <c r="C191" s="2">
        <v>85467829</v>
      </c>
      <c r="D191" s="10" t="s">
        <v>129</v>
      </c>
      <c r="E191">
        <f t="shared" si="2"/>
        <v>71.729706569790579</v>
      </c>
    </row>
    <row r="192" spans="1:5" x14ac:dyDescent="0.25">
      <c r="A192" t="s">
        <v>33</v>
      </c>
      <c r="B192" s="1" t="s">
        <v>14</v>
      </c>
      <c r="C192" s="2">
        <v>88596458</v>
      </c>
      <c r="D192" s="10" t="s">
        <v>130</v>
      </c>
      <c r="E192">
        <f t="shared" si="2"/>
        <v>62.917705669957712</v>
      </c>
    </row>
    <row r="193" spans="1:5" x14ac:dyDescent="0.25">
      <c r="A193" t="s">
        <v>33</v>
      </c>
      <c r="B193" s="1" t="s">
        <v>15</v>
      </c>
      <c r="C193" s="2">
        <v>89095582</v>
      </c>
      <c r="D193" s="10" t="s">
        <v>131</v>
      </c>
      <c r="E193">
        <f t="shared" si="2"/>
        <v>66.708314884999012</v>
      </c>
    </row>
    <row r="194" spans="1:5" x14ac:dyDescent="0.25">
      <c r="A194" t="s">
        <v>33</v>
      </c>
      <c r="B194" s="1" t="s">
        <v>16</v>
      </c>
      <c r="C194" s="2">
        <v>90814201</v>
      </c>
      <c r="D194" s="10" t="s">
        <v>132</v>
      </c>
      <c r="E194">
        <f t="shared" si="2"/>
        <v>66.378602510796114</v>
      </c>
    </row>
    <row r="195" spans="1:5" x14ac:dyDescent="0.25">
      <c r="A195" t="s">
        <v>33</v>
      </c>
      <c r="B195" s="1" t="s">
        <v>17</v>
      </c>
      <c r="C195" s="2">
        <v>91251411</v>
      </c>
      <c r="D195" s="10" t="s">
        <v>133</v>
      </c>
      <c r="E195">
        <f t="shared" ref="E195:E258" si="3">(C195/D195)*100</f>
        <v>63.809169800225348</v>
      </c>
    </row>
    <row r="196" spans="1:5" x14ac:dyDescent="0.25">
      <c r="A196" t="s">
        <v>33</v>
      </c>
      <c r="B196" s="1" t="s">
        <v>18</v>
      </c>
      <c r="C196" s="2">
        <v>94734918</v>
      </c>
      <c r="D196" s="10" t="s">
        <v>134</v>
      </c>
      <c r="E196">
        <f t="shared" si="3"/>
        <v>62.550944961149078</v>
      </c>
    </row>
    <row r="197" spans="1:5" x14ac:dyDescent="0.25">
      <c r="A197" t="s">
        <v>33</v>
      </c>
      <c r="B197" s="1" t="s">
        <v>19</v>
      </c>
      <c r="C197" s="2">
        <v>95443112</v>
      </c>
      <c r="D197" s="10" t="s">
        <v>135</v>
      </c>
      <c r="E197">
        <f t="shared" si="3"/>
        <v>63.875524849425922</v>
      </c>
    </row>
    <row r="198" spans="1:5" x14ac:dyDescent="0.25">
      <c r="A198" t="s">
        <v>33</v>
      </c>
      <c r="B198" s="1" t="s">
        <v>20</v>
      </c>
      <c r="C198" s="2">
        <v>98256294</v>
      </c>
      <c r="D198" s="10" t="s">
        <v>136</v>
      </c>
      <c r="E198">
        <f t="shared" si="3"/>
        <v>61.890193647963422</v>
      </c>
    </row>
    <row r="199" spans="1:5" x14ac:dyDescent="0.25">
      <c r="A199" t="s">
        <v>33</v>
      </c>
      <c r="B199" s="1" t="s">
        <v>21</v>
      </c>
      <c r="C199" s="2">
        <v>103021079</v>
      </c>
      <c r="D199" s="10" t="s">
        <v>137</v>
      </c>
      <c r="E199">
        <f t="shared" si="3"/>
        <v>63.207929835834243</v>
      </c>
    </row>
    <row r="200" spans="1:5" x14ac:dyDescent="0.25">
      <c r="A200" t="s">
        <v>33</v>
      </c>
      <c r="B200" s="1" t="s">
        <v>22</v>
      </c>
      <c r="C200" s="2">
        <v>105768240</v>
      </c>
      <c r="D200" s="10" t="s">
        <v>138</v>
      </c>
      <c r="E200">
        <f t="shared" si="3"/>
        <v>65.856758065603955</v>
      </c>
    </row>
    <row r="201" spans="1:5" x14ac:dyDescent="0.25">
      <c r="A201" t="s">
        <v>33</v>
      </c>
      <c r="B201" s="1" t="s">
        <v>23</v>
      </c>
      <c r="C201" s="2">
        <v>107993106</v>
      </c>
      <c r="D201" s="8">
        <v>170338680</v>
      </c>
      <c r="E201">
        <f t="shared" si="3"/>
        <v>63.399050644281139</v>
      </c>
    </row>
    <row r="202" spans="1:5" x14ac:dyDescent="0.25">
      <c r="A202" t="s">
        <v>34</v>
      </c>
      <c r="B202" s="1" t="s">
        <v>4</v>
      </c>
      <c r="C202" s="2">
        <v>110381295</v>
      </c>
      <c r="D202" s="2">
        <v>161554444</v>
      </c>
      <c r="E202">
        <f t="shared" si="3"/>
        <v>68.324517894413347</v>
      </c>
    </row>
    <row r="203" spans="1:5" x14ac:dyDescent="0.25">
      <c r="A203" t="s">
        <v>34</v>
      </c>
      <c r="B203" s="1" t="s">
        <v>5</v>
      </c>
      <c r="C203" s="2">
        <v>116534559</v>
      </c>
      <c r="D203" s="2">
        <v>170301607</v>
      </c>
      <c r="E203">
        <f t="shared" si="3"/>
        <v>68.42833784886129</v>
      </c>
    </row>
    <row r="204" spans="1:5" x14ac:dyDescent="0.25">
      <c r="A204" t="s">
        <v>34</v>
      </c>
      <c r="B204" s="1" t="s">
        <v>6</v>
      </c>
      <c r="C204" s="2">
        <v>119524010</v>
      </c>
      <c r="D204" s="2">
        <v>163994740</v>
      </c>
      <c r="E204">
        <f t="shared" si="3"/>
        <v>72.882831485936677</v>
      </c>
    </row>
    <row r="205" spans="1:5" x14ac:dyDescent="0.25">
      <c r="A205" t="s">
        <v>34</v>
      </c>
      <c r="B205" s="1" t="s">
        <v>7</v>
      </c>
      <c r="C205" s="2">
        <v>117408472</v>
      </c>
      <c r="D205" s="2">
        <v>173582894</v>
      </c>
      <c r="E205">
        <f t="shared" si="3"/>
        <v>67.638273158413881</v>
      </c>
    </row>
    <row r="206" spans="1:5" x14ac:dyDescent="0.25">
      <c r="A206" t="s">
        <v>34</v>
      </c>
      <c r="B206" s="1" t="s">
        <v>8</v>
      </c>
      <c r="C206" s="2">
        <v>117077135</v>
      </c>
      <c r="D206" s="2">
        <v>177528984</v>
      </c>
      <c r="E206">
        <f t="shared" si="3"/>
        <v>65.948180608074679</v>
      </c>
    </row>
    <row r="207" spans="1:5" x14ac:dyDescent="0.25">
      <c r="A207" t="s">
        <v>34</v>
      </c>
      <c r="B207" s="1" t="s">
        <v>9</v>
      </c>
      <c r="C207" s="2">
        <v>118834441</v>
      </c>
      <c r="D207" s="2">
        <v>178044586</v>
      </c>
      <c r="E207">
        <f t="shared" si="3"/>
        <v>66.744203612009855</v>
      </c>
    </row>
    <row r="208" spans="1:5" x14ac:dyDescent="0.25">
      <c r="A208" t="s">
        <v>34</v>
      </c>
      <c r="B208" s="1" t="s">
        <v>10</v>
      </c>
      <c r="C208" s="2">
        <v>119553224</v>
      </c>
      <c r="D208" s="2">
        <v>175449266</v>
      </c>
      <c r="E208">
        <f t="shared" si="3"/>
        <v>68.14119359154229</v>
      </c>
    </row>
    <row r="209" spans="1:5" x14ac:dyDescent="0.25">
      <c r="A209" t="s">
        <v>34</v>
      </c>
      <c r="B209" s="1" t="s">
        <v>11</v>
      </c>
      <c r="C209" s="2">
        <v>118651323</v>
      </c>
      <c r="D209" s="2">
        <v>180809253</v>
      </c>
      <c r="E209">
        <f t="shared" si="3"/>
        <v>65.622373319577846</v>
      </c>
    </row>
    <row r="210" spans="1:5" x14ac:dyDescent="0.25">
      <c r="A210" t="s">
        <v>34</v>
      </c>
      <c r="B210" s="1" t="s">
        <v>12</v>
      </c>
      <c r="C210" s="2">
        <v>123482586</v>
      </c>
      <c r="D210" s="2">
        <v>191542602</v>
      </c>
      <c r="E210">
        <f t="shared" si="3"/>
        <v>64.467426416187038</v>
      </c>
    </row>
    <row r="211" spans="1:5" x14ac:dyDescent="0.25">
      <c r="A211" t="s">
        <v>34</v>
      </c>
      <c r="B211" s="1" t="s">
        <v>13</v>
      </c>
      <c r="C211" s="2">
        <v>117156524</v>
      </c>
      <c r="D211" s="2">
        <v>182216046</v>
      </c>
      <c r="E211">
        <f t="shared" si="3"/>
        <v>64.295393612042275</v>
      </c>
    </row>
    <row r="212" spans="1:5" x14ac:dyDescent="0.25">
      <c r="A212" t="s">
        <v>34</v>
      </c>
      <c r="B212" s="1" t="s">
        <v>14</v>
      </c>
      <c r="C212" s="2">
        <v>118577108</v>
      </c>
      <c r="D212" s="2">
        <v>197971797</v>
      </c>
      <c r="E212">
        <f t="shared" si="3"/>
        <v>59.895959827045466</v>
      </c>
    </row>
    <row r="213" spans="1:5" x14ac:dyDescent="0.25">
      <c r="A213" t="s">
        <v>34</v>
      </c>
      <c r="B213" s="1" t="s">
        <v>15</v>
      </c>
      <c r="C213" s="2">
        <v>114549272</v>
      </c>
      <c r="D213" s="2">
        <v>206340908</v>
      </c>
      <c r="E213">
        <f t="shared" si="3"/>
        <v>55.514572030476863</v>
      </c>
    </row>
    <row r="214" spans="1:5" x14ac:dyDescent="0.25">
      <c r="A214" t="s">
        <v>34</v>
      </c>
      <c r="B214" s="1" t="s">
        <v>16</v>
      </c>
      <c r="C214" s="2">
        <v>114571797</v>
      </c>
      <c r="D214" s="2">
        <v>207783766</v>
      </c>
      <c r="E214">
        <f t="shared" si="3"/>
        <v>55.139917427427896</v>
      </c>
    </row>
    <row r="215" spans="1:5" x14ac:dyDescent="0.25">
      <c r="A215" t="s">
        <v>34</v>
      </c>
      <c r="B215" s="1" t="s">
        <v>17</v>
      </c>
      <c r="C215" s="2">
        <v>115176963</v>
      </c>
      <c r="D215" s="2">
        <v>201135481</v>
      </c>
      <c r="E215">
        <f t="shared" si="3"/>
        <v>57.263374133378285</v>
      </c>
    </row>
    <row r="216" spans="1:5" x14ac:dyDescent="0.25">
      <c r="A216" t="s">
        <v>34</v>
      </c>
      <c r="B216" s="1" t="s">
        <v>18</v>
      </c>
      <c r="C216" s="2">
        <v>117039077</v>
      </c>
      <c r="D216" s="2">
        <v>211346011</v>
      </c>
      <c r="E216">
        <f t="shared" si="3"/>
        <v>55.377944653992074</v>
      </c>
    </row>
    <row r="217" spans="1:5" x14ac:dyDescent="0.25">
      <c r="A217" t="s">
        <v>34</v>
      </c>
      <c r="B217" s="1" t="s">
        <v>19</v>
      </c>
      <c r="C217" s="2">
        <v>120500106</v>
      </c>
      <c r="D217" s="2">
        <v>214436988</v>
      </c>
      <c r="E217">
        <f t="shared" si="3"/>
        <v>56.193713185339092</v>
      </c>
    </row>
    <row r="218" spans="1:5" x14ac:dyDescent="0.25">
      <c r="A218" t="s">
        <v>34</v>
      </c>
      <c r="B218" s="1" t="s">
        <v>20</v>
      </c>
      <c r="C218" s="2">
        <v>122995313</v>
      </c>
      <c r="D218" s="10" t="s">
        <v>139</v>
      </c>
      <c r="E218">
        <f t="shared" si="3"/>
        <v>54.485562160151346</v>
      </c>
    </row>
    <row r="219" spans="1:5" x14ac:dyDescent="0.25">
      <c r="A219" t="s">
        <v>34</v>
      </c>
      <c r="B219" s="1" t="s">
        <v>21</v>
      </c>
      <c r="C219" s="2">
        <v>126816000</v>
      </c>
      <c r="D219" s="10" t="s">
        <v>140</v>
      </c>
      <c r="E219">
        <f t="shared" si="3"/>
        <v>56.751828838603643</v>
      </c>
    </row>
    <row r="220" spans="1:5" x14ac:dyDescent="0.25">
      <c r="A220" t="s">
        <v>34</v>
      </c>
      <c r="B220" s="1" t="s">
        <v>22</v>
      </c>
      <c r="C220" s="2">
        <v>131164973</v>
      </c>
      <c r="D220" s="10" t="s">
        <v>141</v>
      </c>
      <c r="E220">
        <f t="shared" si="3"/>
        <v>59.500136782525345</v>
      </c>
    </row>
    <row r="221" spans="1:5" x14ac:dyDescent="0.25">
      <c r="A221" t="s">
        <v>34</v>
      </c>
      <c r="B221" s="1" t="s">
        <v>23</v>
      </c>
      <c r="C221" s="2">
        <v>137161734</v>
      </c>
      <c r="D221" s="11" t="s">
        <v>142</v>
      </c>
      <c r="E221">
        <f t="shared" si="3"/>
        <v>57.499606634049371</v>
      </c>
    </row>
    <row r="222" spans="1:5" x14ac:dyDescent="0.25">
      <c r="A222" t="s">
        <v>35</v>
      </c>
      <c r="B222" s="1" t="s">
        <v>4</v>
      </c>
      <c r="C222" s="2">
        <v>4665321</v>
      </c>
      <c r="D222" s="9">
        <v>7155757</v>
      </c>
      <c r="E222">
        <f t="shared" si="3"/>
        <v>65.196749973482895</v>
      </c>
    </row>
    <row r="223" spans="1:5" x14ac:dyDescent="0.25">
      <c r="A223" t="s">
        <v>35</v>
      </c>
      <c r="B223" s="1" t="s">
        <v>5</v>
      </c>
      <c r="C223" s="2">
        <v>4749586</v>
      </c>
      <c r="D223" s="9">
        <v>7396242</v>
      </c>
      <c r="E223">
        <f t="shared" si="3"/>
        <v>64.21620601381079</v>
      </c>
    </row>
    <row r="224" spans="1:5" x14ac:dyDescent="0.25">
      <c r="A224" t="s">
        <v>35</v>
      </c>
      <c r="B224" s="1" t="s">
        <v>6</v>
      </c>
      <c r="C224" s="2">
        <v>4729122</v>
      </c>
      <c r="D224" s="9">
        <v>7121266</v>
      </c>
      <c r="E224">
        <f t="shared" si="3"/>
        <v>66.40844479057516</v>
      </c>
    </row>
    <row r="225" spans="1:5" x14ac:dyDescent="0.25">
      <c r="A225" t="s">
        <v>35</v>
      </c>
      <c r="B225" s="1" t="s">
        <v>7</v>
      </c>
      <c r="C225" s="2">
        <v>4766544</v>
      </c>
      <c r="D225" s="9">
        <v>7297274</v>
      </c>
      <c r="E225">
        <f t="shared" si="3"/>
        <v>65.319515205267066</v>
      </c>
    </row>
    <row r="226" spans="1:5" x14ac:dyDescent="0.25">
      <c r="A226" t="s">
        <v>35</v>
      </c>
      <c r="B226" s="1" t="s">
        <v>8</v>
      </c>
      <c r="C226" s="2">
        <v>4718968</v>
      </c>
      <c r="D226" s="9">
        <v>7698672</v>
      </c>
      <c r="E226">
        <f t="shared" si="3"/>
        <v>61.295870248790962</v>
      </c>
    </row>
    <row r="227" spans="1:5" x14ac:dyDescent="0.25">
      <c r="A227" t="s">
        <v>35</v>
      </c>
      <c r="B227" s="1" t="s">
        <v>9</v>
      </c>
      <c r="C227" s="2">
        <v>4689739</v>
      </c>
      <c r="D227" s="9">
        <v>7379818</v>
      </c>
      <c r="E227">
        <f t="shared" si="3"/>
        <v>63.54816609298495</v>
      </c>
    </row>
    <row r="228" spans="1:5" x14ac:dyDescent="0.25">
      <c r="A228" t="s">
        <v>35</v>
      </c>
      <c r="B228" s="1" t="s">
        <v>10</v>
      </c>
      <c r="C228" s="2">
        <v>4926273</v>
      </c>
      <c r="D228" s="9">
        <v>7148922</v>
      </c>
      <c r="E228">
        <f t="shared" si="3"/>
        <v>68.909312480958661</v>
      </c>
    </row>
    <row r="229" spans="1:5" x14ac:dyDescent="0.25">
      <c r="A229" t="s">
        <v>35</v>
      </c>
      <c r="B229" s="1" t="s">
        <v>11</v>
      </c>
      <c r="C229" s="2">
        <v>5165686</v>
      </c>
      <c r="D229" s="9">
        <v>7607654</v>
      </c>
      <c r="E229">
        <f t="shared" si="3"/>
        <v>67.901169006897533</v>
      </c>
    </row>
    <row r="230" spans="1:5" x14ac:dyDescent="0.25">
      <c r="A230" t="s">
        <v>35</v>
      </c>
      <c r="B230" s="1" t="s">
        <v>12</v>
      </c>
      <c r="C230" s="2">
        <v>5218425</v>
      </c>
      <c r="D230" s="9">
        <v>7917744</v>
      </c>
      <c r="E230">
        <f t="shared" si="3"/>
        <v>65.907978333222189</v>
      </c>
    </row>
    <row r="231" spans="1:5" x14ac:dyDescent="0.25">
      <c r="A231" t="s">
        <v>35</v>
      </c>
      <c r="B231" s="1" t="s">
        <v>13</v>
      </c>
      <c r="C231" s="2">
        <v>4916138</v>
      </c>
      <c r="D231" s="9">
        <v>7686327</v>
      </c>
      <c r="E231">
        <f t="shared" si="3"/>
        <v>63.959521888673223</v>
      </c>
    </row>
    <row r="232" spans="1:5" x14ac:dyDescent="0.25">
      <c r="A232" t="s">
        <v>35</v>
      </c>
      <c r="B232" s="1" t="s">
        <v>14</v>
      </c>
      <c r="C232" s="2">
        <v>4664302</v>
      </c>
      <c r="D232" s="9">
        <v>8043256</v>
      </c>
      <c r="E232">
        <f t="shared" si="3"/>
        <v>57.990221870347035</v>
      </c>
    </row>
    <row r="233" spans="1:5" x14ac:dyDescent="0.25">
      <c r="A233" t="s">
        <v>35</v>
      </c>
      <c r="B233" s="1" t="s">
        <v>15</v>
      </c>
      <c r="C233" s="2">
        <v>4576091</v>
      </c>
      <c r="D233" s="9">
        <v>7637523</v>
      </c>
      <c r="E233">
        <f t="shared" si="3"/>
        <v>59.915904672234696</v>
      </c>
    </row>
    <row r="234" spans="1:5" x14ac:dyDescent="0.25">
      <c r="A234" t="s">
        <v>35</v>
      </c>
      <c r="B234" s="1" t="s">
        <v>16</v>
      </c>
      <c r="C234" s="2">
        <v>4453290</v>
      </c>
      <c r="D234" s="9">
        <v>7601659</v>
      </c>
      <c r="E234">
        <f t="shared" si="3"/>
        <v>58.583132971368492</v>
      </c>
    </row>
    <row r="235" spans="1:5" x14ac:dyDescent="0.25">
      <c r="A235" t="s">
        <v>35</v>
      </c>
      <c r="B235" s="1" t="s">
        <v>17</v>
      </c>
      <c r="C235" s="2">
        <v>4365534</v>
      </c>
      <c r="D235" s="7">
        <v>7545988</v>
      </c>
      <c r="E235">
        <f t="shared" si="3"/>
        <v>57.852384604905282</v>
      </c>
    </row>
    <row r="236" spans="1:5" x14ac:dyDescent="0.25">
      <c r="A236" t="s">
        <v>35</v>
      </c>
      <c r="B236" s="1" t="s">
        <v>18</v>
      </c>
      <c r="C236" s="2">
        <v>4265270</v>
      </c>
      <c r="D236" s="9">
        <v>7251694</v>
      </c>
      <c r="E236">
        <f t="shared" si="3"/>
        <v>58.817567315995412</v>
      </c>
    </row>
    <row r="237" spans="1:5" x14ac:dyDescent="0.25">
      <c r="A237" t="s">
        <v>35</v>
      </c>
      <c r="B237" s="1" t="s">
        <v>19</v>
      </c>
      <c r="C237" s="2">
        <v>3970764</v>
      </c>
      <c r="D237" s="9">
        <v>8666526</v>
      </c>
      <c r="E237">
        <f t="shared" si="3"/>
        <v>45.817251341541002</v>
      </c>
    </row>
    <row r="238" spans="1:5" x14ac:dyDescent="0.25">
      <c r="A238" t="s">
        <v>35</v>
      </c>
      <c r="B238" s="1" t="s">
        <v>20</v>
      </c>
      <c r="C238" s="2">
        <v>4085998</v>
      </c>
      <c r="D238" s="10" t="s">
        <v>146</v>
      </c>
      <c r="E238">
        <f t="shared" si="3"/>
        <v>47.677850663703772</v>
      </c>
    </row>
    <row r="239" spans="1:5" x14ac:dyDescent="0.25">
      <c r="A239" t="s">
        <v>35</v>
      </c>
      <c r="B239" s="1" t="s">
        <v>21</v>
      </c>
      <c r="C239" s="2">
        <v>4057286</v>
      </c>
      <c r="D239" s="9">
        <v>8791457</v>
      </c>
      <c r="E239">
        <f t="shared" si="3"/>
        <v>46.15032525325438</v>
      </c>
    </row>
    <row r="240" spans="1:5" x14ac:dyDescent="0.25">
      <c r="A240" t="s">
        <v>35</v>
      </c>
      <c r="B240" s="1" t="s">
        <v>22</v>
      </c>
      <c r="C240" s="2">
        <v>3978576</v>
      </c>
      <c r="D240" s="10" t="s">
        <v>147</v>
      </c>
      <c r="E240">
        <f t="shared" si="3"/>
        <v>48.26598788648144</v>
      </c>
    </row>
    <row r="241" spans="1:5" x14ac:dyDescent="0.25">
      <c r="A241" t="s">
        <v>35</v>
      </c>
      <c r="B241" s="1" t="s">
        <v>23</v>
      </c>
      <c r="C241" s="2">
        <v>3845625</v>
      </c>
      <c r="D241" s="8">
        <v>8211292</v>
      </c>
      <c r="E241">
        <f t="shared" si="3"/>
        <v>46.833372872381105</v>
      </c>
    </row>
    <row r="242" spans="1:5" x14ac:dyDescent="0.25">
      <c r="A242" t="s">
        <v>36</v>
      </c>
      <c r="B242" s="1" t="s">
        <v>4</v>
      </c>
      <c r="C242" s="2">
        <v>31407499</v>
      </c>
      <c r="D242" s="2">
        <v>55313192</v>
      </c>
      <c r="E242">
        <f t="shared" si="3"/>
        <v>56.781208721420384</v>
      </c>
    </row>
    <row r="243" spans="1:5" x14ac:dyDescent="0.25">
      <c r="A243" t="s">
        <v>36</v>
      </c>
      <c r="B243" s="1" t="s">
        <v>5</v>
      </c>
      <c r="C243" s="2">
        <v>32118304</v>
      </c>
      <c r="D243" s="2">
        <v>59537033</v>
      </c>
      <c r="E243">
        <f t="shared" si="3"/>
        <v>53.946766208521005</v>
      </c>
    </row>
    <row r="244" spans="1:5" x14ac:dyDescent="0.25">
      <c r="A244" t="s">
        <v>36</v>
      </c>
      <c r="B244" s="1" t="s">
        <v>6</v>
      </c>
      <c r="C244" s="2">
        <v>33073299</v>
      </c>
      <c r="D244" s="2">
        <v>63427447</v>
      </c>
      <c r="E244">
        <f t="shared" si="3"/>
        <v>52.143512886463803</v>
      </c>
    </row>
    <row r="245" spans="1:5" x14ac:dyDescent="0.25">
      <c r="A245" t="s">
        <v>36</v>
      </c>
      <c r="B245" s="1" t="s">
        <v>7</v>
      </c>
      <c r="C245" s="2">
        <v>33893237</v>
      </c>
      <c r="D245" s="2">
        <v>62689118</v>
      </c>
      <c r="E245">
        <f t="shared" si="3"/>
        <v>54.065582801787073</v>
      </c>
    </row>
    <row r="246" spans="1:5" x14ac:dyDescent="0.25">
      <c r="A246" t="s">
        <v>36</v>
      </c>
      <c r="B246" s="1" t="s">
        <v>8</v>
      </c>
      <c r="C246" s="2">
        <v>33692065</v>
      </c>
      <c r="D246" s="2">
        <v>63091469</v>
      </c>
      <c r="E246">
        <f t="shared" si="3"/>
        <v>53.401934578508545</v>
      </c>
    </row>
    <row r="247" spans="1:5" x14ac:dyDescent="0.25">
      <c r="A247" t="s">
        <v>36</v>
      </c>
      <c r="B247" s="1" t="s">
        <v>9</v>
      </c>
      <c r="C247" s="2">
        <v>34768927</v>
      </c>
      <c r="D247" s="2">
        <v>68951774</v>
      </c>
      <c r="E247">
        <f t="shared" si="3"/>
        <v>50.424992691268535</v>
      </c>
    </row>
    <row r="248" spans="1:5" x14ac:dyDescent="0.25">
      <c r="A248" t="s">
        <v>36</v>
      </c>
      <c r="B248" s="1" t="s">
        <v>10</v>
      </c>
      <c r="C248" s="2">
        <v>37727639</v>
      </c>
      <c r="D248" s="2">
        <v>72128316</v>
      </c>
      <c r="E248">
        <f t="shared" si="3"/>
        <v>52.306280102255542</v>
      </c>
    </row>
    <row r="249" spans="1:5" x14ac:dyDescent="0.25">
      <c r="A249" t="s">
        <v>36</v>
      </c>
      <c r="B249" s="1" t="s">
        <v>11</v>
      </c>
      <c r="C249" s="2">
        <v>38352300</v>
      </c>
      <c r="D249" s="2">
        <v>76715290</v>
      </c>
      <c r="E249">
        <f t="shared" si="3"/>
        <v>49.993032679665298</v>
      </c>
    </row>
    <row r="250" spans="1:5" x14ac:dyDescent="0.25">
      <c r="A250" t="s">
        <v>36</v>
      </c>
      <c r="B250" s="1" t="s">
        <v>12</v>
      </c>
      <c r="C250" s="2">
        <v>38414981</v>
      </c>
      <c r="D250" s="2">
        <v>69720706</v>
      </c>
      <c r="E250">
        <f t="shared" si="3"/>
        <v>55.098382107605161</v>
      </c>
    </row>
    <row r="251" spans="1:5" x14ac:dyDescent="0.25">
      <c r="A251" t="s">
        <v>36</v>
      </c>
      <c r="B251" s="1" t="s">
        <v>13</v>
      </c>
      <c r="C251" s="2">
        <v>39181197</v>
      </c>
      <c r="D251" s="2">
        <v>75240142</v>
      </c>
      <c r="E251">
        <f t="shared" si="3"/>
        <v>52.074857859784473</v>
      </c>
    </row>
    <row r="252" spans="1:5" x14ac:dyDescent="0.25">
      <c r="A252" t="s">
        <v>36</v>
      </c>
      <c r="B252" s="1" t="s">
        <v>14</v>
      </c>
      <c r="C252" s="2">
        <v>40381538</v>
      </c>
      <c r="D252" s="2">
        <v>82080977</v>
      </c>
      <c r="E252">
        <f t="shared" si="3"/>
        <v>49.197194619162488</v>
      </c>
    </row>
    <row r="253" spans="1:5" x14ac:dyDescent="0.25">
      <c r="A253" t="s">
        <v>36</v>
      </c>
      <c r="B253" s="1" t="s">
        <v>15</v>
      </c>
      <c r="C253" s="2">
        <v>41480766</v>
      </c>
      <c r="D253" s="2">
        <v>83619452</v>
      </c>
      <c r="E253">
        <f t="shared" si="3"/>
        <v>49.606598713418975</v>
      </c>
    </row>
    <row r="254" spans="1:5" x14ac:dyDescent="0.25">
      <c r="A254" t="s">
        <v>36</v>
      </c>
      <c r="B254" s="1" t="s">
        <v>16</v>
      </c>
      <c r="C254" s="2">
        <v>41731085</v>
      </c>
      <c r="D254" s="2">
        <v>89647568</v>
      </c>
      <c r="E254">
        <f t="shared" si="3"/>
        <v>46.550158505136466</v>
      </c>
    </row>
    <row r="255" spans="1:5" x14ac:dyDescent="0.25">
      <c r="A255" t="s">
        <v>36</v>
      </c>
      <c r="B255" s="1" t="s">
        <v>17</v>
      </c>
      <c r="C255" s="2">
        <v>42597008</v>
      </c>
      <c r="D255" s="2">
        <v>95478871</v>
      </c>
      <c r="E255">
        <f t="shared" si="3"/>
        <v>44.614067545897143</v>
      </c>
    </row>
    <row r="256" spans="1:5" x14ac:dyDescent="0.25">
      <c r="A256" t="s">
        <v>36</v>
      </c>
      <c r="B256" s="1" t="s">
        <v>18</v>
      </c>
      <c r="C256" s="2">
        <v>43035586</v>
      </c>
      <c r="D256" s="2">
        <v>101002784</v>
      </c>
      <c r="E256">
        <f t="shared" si="3"/>
        <v>42.608316618282522</v>
      </c>
    </row>
    <row r="257" spans="1:5" x14ac:dyDescent="0.25">
      <c r="A257" t="s">
        <v>36</v>
      </c>
      <c r="B257" s="1" t="s">
        <v>19</v>
      </c>
      <c r="C257" s="2">
        <v>42749559</v>
      </c>
      <c r="D257" s="2">
        <v>100723330</v>
      </c>
      <c r="E257">
        <f t="shared" si="3"/>
        <v>42.442559236276246</v>
      </c>
    </row>
    <row r="258" spans="1:5" x14ac:dyDescent="0.25">
      <c r="A258" t="s">
        <v>36</v>
      </c>
      <c r="B258" s="1" t="s">
        <v>20</v>
      </c>
      <c r="C258" s="2">
        <v>42306747</v>
      </c>
      <c r="D258" s="10" t="s">
        <v>148</v>
      </c>
      <c r="E258">
        <f t="shared" si="3"/>
        <v>40.042718103882336</v>
      </c>
    </row>
    <row r="259" spans="1:5" x14ac:dyDescent="0.25">
      <c r="A259" t="s">
        <v>36</v>
      </c>
      <c r="B259" s="1" t="s">
        <v>21</v>
      </c>
      <c r="C259" s="2">
        <v>43540377</v>
      </c>
      <c r="D259" s="10" t="s">
        <v>149</v>
      </c>
      <c r="E259">
        <f t="shared" ref="E259:E322" si="4">(C259/D259)*100</f>
        <v>39.972797250556368</v>
      </c>
    </row>
    <row r="260" spans="1:5" x14ac:dyDescent="0.25">
      <c r="A260" t="s">
        <v>36</v>
      </c>
      <c r="B260" s="1" t="s">
        <v>22</v>
      </c>
      <c r="C260" s="2">
        <v>45975608</v>
      </c>
      <c r="D260" s="10" t="s">
        <v>150</v>
      </c>
      <c r="E260">
        <f t="shared" si="4"/>
        <v>46.686547002835418</v>
      </c>
    </row>
    <row r="261" spans="1:5" x14ac:dyDescent="0.25">
      <c r="A261" t="s">
        <v>36</v>
      </c>
      <c r="B261" s="1" t="s">
        <v>23</v>
      </c>
      <c r="C261" s="2">
        <v>46196657</v>
      </c>
      <c r="D261" s="8">
        <v>103031367</v>
      </c>
      <c r="E261">
        <f t="shared" si="4"/>
        <v>44.837468768127671</v>
      </c>
    </row>
    <row r="262" spans="1:5" x14ac:dyDescent="0.25">
      <c r="A262" t="s">
        <v>37</v>
      </c>
      <c r="B262" s="1" t="s">
        <v>4</v>
      </c>
      <c r="C262" s="2">
        <v>12819621</v>
      </c>
      <c r="D262" s="2">
        <v>22434585</v>
      </c>
      <c r="E262">
        <f t="shared" si="4"/>
        <v>57.142224828317531</v>
      </c>
    </row>
    <row r="263" spans="1:5" x14ac:dyDescent="0.25">
      <c r="A263" t="s">
        <v>37</v>
      </c>
      <c r="B263" s="1" t="s">
        <v>5</v>
      </c>
      <c r="C263" s="2">
        <v>12471799</v>
      </c>
      <c r="D263" s="2">
        <v>20573665</v>
      </c>
      <c r="E263">
        <f t="shared" si="4"/>
        <v>60.620210351437144</v>
      </c>
    </row>
    <row r="264" spans="1:5" x14ac:dyDescent="0.25">
      <c r="A264" t="s">
        <v>37</v>
      </c>
      <c r="B264" s="1" t="s">
        <v>6</v>
      </c>
      <c r="C264" s="2">
        <v>12165949</v>
      </c>
      <c r="D264" s="2">
        <v>21095742</v>
      </c>
      <c r="E264">
        <f t="shared" si="4"/>
        <v>57.670163960101519</v>
      </c>
    </row>
    <row r="265" spans="1:5" x14ac:dyDescent="0.25">
      <c r="A265" t="s">
        <v>37</v>
      </c>
      <c r="B265" s="1" t="s">
        <v>7</v>
      </c>
      <c r="C265" s="2">
        <v>11218751</v>
      </c>
      <c r="D265" s="2">
        <v>20486926</v>
      </c>
      <c r="E265">
        <f t="shared" si="4"/>
        <v>54.760538501481385</v>
      </c>
    </row>
    <row r="266" spans="1:5" x14ac:dyDescent="0.25">
      <c r="A266" t="s">
        <v>37</v>
      </c>
      <c r="B266" s="1" t="s">
        <v>8</v>
      </c>
      <c r="C266" s="2">
        <v>10600144</v>
      </c>
      <c r="D266" s="2">
        <v>18785634</v>
      </c>
      <c r="E266">
        <f t="shared" si="4"/>
        <v>56.426863208343136</v>
      </c>
    </row>
    <row r="267" spans="1:5" x14ac:dyDescent="0.25">
      <c r="A267" t="s">
        <v>37</v>
      </c>
      <c r="B267" s="1" t="s">
        <v>9</v>
      </c>
      <c r="C267" s="2">
        <v>12812083</v>
      </c>
      <c r="D267" s="2">
        <v>21218758</v>
      </c>
      <c r="E267">
        <f t="shared" si="4"/>
        <v>60.38092804489311</v>
      </c>
    </row>
    <row r="268" spans="1:5" x14ac:dyDescent="0.25">
      <c r="A268" t="s">
        <v>37</v>
      </c>
      <c r="B268" s="1" t="s">
        <v>10</v>
      </c>
      <c r="C268" s="2">
        <v>13004698</v>
      </c>
      <c r="D268" s="2">
        <v>21621173</v>
      </c>
      <c r="E268">
        <f t="shared" si="4"/>
        <v>60.14797624532212</v>
      </c>
    </row>
    <row r="269" spans="1:5" x14ac:dyDescent="0.25">
      <c r="A269" t="s">
        <v>37</v>
      </c>
      <c r="B269" s="1" t="s">
        <v>11</v>
      </c>
      <c r="C269" s="2">
        <v>14050161</v>
      </c>
      <c r="D269" s="2">
        <v>23021785</v>
      </c>
      <c r="E269">
        <f t="shared" si="4"/>
        <v>61.029850639296647</v>
      </c>
    </row>
    <row r="270" spans="1:5" x14ac:dyDescent="0.25">
      <c r="A270" t="s">
        <v>37</v>
      </c>
      <c r="B270" s="1" t="s">
        <v>12</v>
      </c>
      <c r="C270" s="2">
        <v>14229938</v>
      </c>
      <c r="D270" s="2">
        <v>21324429</v>
      </c>
      <c r="E270">
        <f t="shared" si="4"/>
        <v>66.730687138211294</v>
      </c>
    </row>
    <row r="271" spans="1:5" x14ac:dyDescent="0.25">
      <c r="A271" t="s">
        <v>37</v>
      </c>
      <c r="B271" s="1" t="s">
        <v>13</v>
      </c>
      <c r="C271" s="2">
        <v>13145270</v>
      </c>
      <c r="D271" s="2">
        <v>21394130</v>
      </c>
      <c r="E271">
        <f t="shared" si="4"/>
        <v>61.443349180359284</v>
      </c>
    </row>
    <row r="272" spans="1:5" x14ac:dyDescent="0.25">
      <c r="A272" t="s">
        <v>37</v>
      </c>
      <c r="B272" s="1" t="s">
        <v>14</v>
      </c>
      <c r="C272" s="2">
        <v>12662417</v>
      </c>
      <c r="D272" s="2">
        <v>20971901</v>
      </c>
      <c r="E272">
        <f t="shared" si="4"/>
        <v>60.378012465345897</v>
      </c>
    </row>
    <row r="273" spans="1:5" x14ac:dyDescent="0.25">
      <c r="A273" t="s">
        <v>37</v>
      </c>
      <c r="B273" s="1" t="s">
        <v>15</v>
      </c>
      <c r="C273" s="2">
        <v>11924410</v>
      </c>
      <c r="D273" s="9">
        <v>18297700</v>
      </c>
      <c r="E273">
        <f t="shared" si="4"/>
        <v>65.168901009416487</v>
      </c>
    </row>
    <row r="274" spans="1:5" x14ac:dyDescent="0.25">
      <c r="A274" t="s">
        <v>37</v>
      </c>
      <c r="B274" s="1" t="s">
        <v>16</v>
      </c>
      <c r="C274" s="2">
        <v>11340031</v>
      </c>
      <c r="D274" s="9">
        <v>18438704</v>
      </c>
      <c r="E274">
        <f t="shared" si="4"/>
        <v>61.501236746357016</v>
      </c>
    </row>
    <row r="275" spans="1:5" x14ac:dyDescent="0.25">
      <c r="A275" t="s">
        <v>37</v>
      </c>
      <c r="B275" s="1" t="s">
        <v>17</v>
      </c>
      <c r="C275" s="2">
        <v>11447581</v>
      </c>
      <c r="D275" s="9">
        <v>17025906</v>
      </c>
      <c r="E275">
        <f t="shared" si="4"/>
        <v>67.236251627373008</v>
      </c>
    </row>
    <row r="276" spans="1:5" x14ac:dyDescent="0.25">
      <c r="A276" t="s">
        <v>37</v>
      </c>
      <c r="B276" s="1" t="s">
        <v>18</v>
      </c>
      <c r="C276" s="2">
        <v>10839067</v>
      </c>
      <c r="D276" s="9">
        <v>16851777</v>
      </c>
      <c r="E276">
        <f t="shared" si="4"/>
        <v>64.320023935754662</v>
      </c>
    </row>
    <row r="277" spans="1:5" x14ac:dyDescent="0.25">
      <c r="A277" t="s">
        <v>37</v>
      </c>
      <c r="B277" s="1" t="s">
        <v>19</v>
      </c>
      <c r="C277" s="2">
        <v>9758760</v>
      </c>
      <c r="D277" s="9">
        <v>17701527</v>
      </c>
      <c r="E277">
        <f t="shared" si="4"/>
        <v>55.129481202384397</v>
      </c>
    </row>
    <row r="278" spans="1:5" x14ac:dyDescent="0.25">
      <c r="A278" t="s">
        <v>37</v>
      </c>
      <c r="B278" s="1" t="s">
        <v>20</v>
      </c>
      <c r="C278" s="2">
        <v>10097479</v>
      </c>
      <c r="D278" s="10" t="s">
        <v>172</v>
      </c>
      <c r="E278">
        <f t="shared" si="4"/>
        <v>57.74634105611829</v>
      </c>
    </row>
    <row r="279" spans="1:5" x14ac:dyDescent="0.25">
      <c r="A279" t="s">
        <v>37</v>
      </c>
      <c r="B279" s="1" t="s">
        <v>21</v>
      </c>
      <c r="C279" s="2">
        <v>9803603</v>
      </c>
      <c r="D279" s="10" t="s">
        <v>173</v>
      </c>
      <c r="E279">
        <f t="shared" si="4"/>
        <v>62.069282735828978</v>
      </c>
    </row>
    <row r="280" spans="1:5" x14ac:dyDescent="0.25">
      <c r="A280" t="s">
        <v>37</v>
      </c>
      <c r="B280" s="1" t="s">
        <v>22</v>
      </c>
      <c r="C280" s="2">
        <v>9461431</v>
      </c>
      <c r="D280" s="10" t="s">
        <v>174</v>
      </c>
      <c r="E280">
        <f t="shared" si="4"/>
        <v>59.253031232834644</v>
      </c>
    </row>
    <row r="281" spans="1:5" x14ac:dyDescent="0.25">
      <c r="A281" t="s">
        <v>37</v>
      </c>
      <c r="B281" s="1" t="s">
        <v>23</v>
      </c>
      <c r="C281" s="2">
        <v>9662250</v>
      </c>
      <c r="D281" s="7">
        <v>16717087</v>
      </c>
      <c r="E281">
        <f t="shared" si="4"/>
        <v>57.798646379001319</v>
      </c>
    </row>
    <row r="282" spans="1:5" x14ac:dyDescent="0.25">
      <c r="A282" t="s">
        <v>38</v>
      </c>
      <c r="B282" s="1" t="s">
        <v>4</v>
      </c>
      <c r="C282" s="2">
        <v>19788629</v>
      </c>
      <c r="D282" s="9">
        <v>28185185</v>
      </c>
      <c r="E282">
        <f t="shared" si="4"/>
        <v>70.209328056565894</v>
      </c>
    </row>
    <row r="283" spans="1:5" x14ac:dyDescent="0.25">
      <c r="A283" t="s">
        <v>38</v>
      </c>
      <c r="B283" s="1" t="s">
        <v>5</v>
      </c>
      <c r="C283" s="2">
        <v>21132629</v>
      </c>
      <c r="D283" s="9">
        <v>27961844</v>
      </c>
      <c r="E283">
        <f t="shared" si="4"/>
        <v>75.576664400244852</v>
      </c>
    </row>
    <row r="284" spans="1:5" x14ac:dyDescent="0.25">
      <c r="A284" t="s">
        <v>38</v>
      </c>
      <c r="B284" s="1" t="s">
        <v>6</v>
      </c>
      <c r="C284" s="2">
        <v>22131913</v>
      </c>
      <c r="D284" s="9">
        <v>28879204</v>
      </c>
      <c r="E284">
        <f t="shared" si="4"/>
        <v>76.636160054827002</v>
      </c>
    </row>
    <row r="285" spans="1:5" x14ac:dyDescent="0.25">
      <c r="A285" t="s">
        <v>38</v>
      </c>
      <c r="B285" s="1" t="s">
        <v>7</v>
      </c>
      <c r="C285" s="2">
        <v>22528964</v>
      </c>
      <c r="D285" s="9">
        <v>29631693</v>
      </c>
      <c r="E285">
        <f t="shared" si="4"/>
        <v>76.029958868701826</v>
      </c>
    </row>
    <row r="286" spans="1:5" x14ac:dyDescent="0.25">
      <c r="A286" t="s">
        <v>38</v>
      </c>
      <c r="B286" s="1" t="s">
        <v>8</v>
      </c>
      <c r="C286" s="2">
        <v>23531841</v>
      </c>
      <c r="D286" s="9">
        <v>31682518</v>
      </c>
      <c r="E286">
        <f t="shared" si="4"/>
        <v>74.273897674420951</v>
      </c>
    </row>
    <row r="287" spans="1:5" x14ac:dyDescent="0.25">
      <c r="A287" t="s">
        <v>38</v>
      </c>
      <c r="B287" s="1" t="s">
        <v>9</v>
      </c>
      <c r="C287" s="2">
        <v>25293112</v>
      </c>
      <c r="D287" s="9">
        <v>37114722</v>
      </c>
      <c r="E287">
        <f t="shared" si="4"/>
        <v>68.14846141108103</v>
      </c>
    </row>
    <row r="288" spans="1:5" x14ac:dyDescent="0.25">
      <c r="A288" t="s">
        <v>38</v>
      </c>
      <c r="B288" s="1" t="s">
        <v>10</v>
      </c>
      <c r="C288" s="2">
        <v>26304720</v>
      </c>
      <c r="D288" s="9">
        <v>39065823</v>
      </c>
      <c r="E288">
        <f t="shared" si="4"/>
        <v>67.334355147208854</v>
      </c>
    </row>
    <row r="289" spans="1:5" x14ac:dyDescent="0.25">
      <c r="A289" t="s">
        <v>38</v>
      </c>
      <c r="B289" s="1" t="s">
        <v>11</v>
      </c>
      <c r="C289" s="2">
        <v>26674450</v>
      </c>
      <c r="D289" s="9">
        <v>36936262</v>
      </c>
      <c r="E289">
        <f t="shared" si="4"/>
        <v>72.217513510165148</v>
      </c>
    </row>
    <row r="290" spans="1:5" x14ac:dyDescent="0.25">
      <c r="A290" t="s">
        <v>38</v>
      </c>
      <c r="B290" s="1" t="s">
        <v>12</v>
      </c>
      <c r="C290" s="2">
        <v>29323079</v>
      </c>
      <c r="D290" s="9">
        <v>38260154</v>
      </c>
      <c r="E290">
        <f t="shared" si="4"/>
        <v>76.64129893465666</v>
      </c>
    </row>
    <row r="291" spans="1:5" x14ac:dyDescent="0.25">
      <c r="A291" t="s">
        <v>38</v>
      </c>
      <c r="B291" s="1" t="s">
        <v>13</v>
      </c>
      <c r="C291" s="2">
        <v>27730986</v>
      </c>
      <c r="D291" s="9">
        <v>36118896</v>
      </c>
      <c r="E291">
        <f t="shared" si="4"/>
        <v>76.776947999739534</v>
      </c>
    </row>
    <row r="292" spans="1:5" x14ac:dyDescent="0.25">
      <c r="A292" t="s">
        <v>38</v>
      </c>
      <c r="B292" s="1" t="s">
        <v>14</v>
      </c>
      <c r="C292" s="2">
        <v>29812037</v>
      </c>
      <c r="D292" s="9">
        <v>39411352</v>
      </c>
      <c r="E292">
        <f t="shared" si="4"/>
        <v>75.643274049568248</v>
      </c>
    </row>
    <row r="293" spans="1:5" x14ac:dyDescent="0.25">
      <c r="A293" t="s">
        <v>38</v>
      </c>
      <c r="B293" s="1" t="s">
        <v>15</v>
      </c>
      <c r="C293" s="2">
        <v>30011903</v>
      </c>
      <c r="D293" s="9">
        <v>38053939</v>
      </c>
      <c r="E293">
        <f t="shared" si="4"/>
        <v>78.866744911742245</v>
      </c>
    </row>
    <row r="294" spans="1:5" x14ac:dyDescent="0.25">
      <c r="A294" t="s">
        <v>38</v>
      </c>
      <c r="B294" s="1" t="s">
        <v>16</v>
      </c>
      <c r="C294" s="2">
        <v>30878357</v>
      </c>
      <c r="D294" s="9">
        <v>40053044</v>
      </c>
      <c r="E294">
        <f t="shared" si="4"/>
        <v>77.093658599331434</v>
      </c>
    </row>
    <row r="295" spans="1:5" x14ac:dyDescent="0.25">
      <c r="A295" t="s">
        <v>38</v>
      </c>
      <c r="B295" s="1" t="s">
        <v>17</v>
      </c>
      <c r="C295" s="2">
        <v>31438847</v>
      </c>
      <c r="D295" s="9">
        <v>40666380</v>
      </c>
      <c r="E295">
        <f t="shared" si="4"/>
        <v>77.30918513032141</v>
      </c>
    </row>
    <row r="296" spans="1:5" x14ac:dyDescent="0.25">
      <c r="A296" t="s">
        <v>38</v>
      </c>
      <c r="B296" s="1" t="s">
        <v>18</v>
      </c>
      <c r="C296" s="2">
        <v>32456359</v>
      </c>
      <c r="D296" s="9">
        <v>41266849</v>
      </c>
      <c r="E296">
        <f t="shared" si="4"/>
        <v>78.649957015133381</v>
      </c>
    </row>
    <row r="297" spans="1:5" x14ac:dyDescent="0.25">
      <c r="A297" t="s">
        <v>38</v>
      </c>
      <c r="B297" s="1" t="s">
        <v>19</v>
      </c>
      <c r="C297" s="2">
        <v>33941970</v>
      </c>
      <c r="D297" s="9">
        <v>43801571</v>
      </c>
      <c r="E297">
        <f t="shared" si="4"/>
        <v>77.490302802152925</v>
      </c>
    </row>
    <row r="298" spans="1:5" x14ac:dyDescent="0.25">
      <c r="A298" t="s">
        <v>38</v>
      </c>
      <c r="B298" s="1" t="s">
        <v>20</v>
      </c>
      <c r="C298" s="2">
        <v>35545567</v>
      </c>
      <c r="D298" s="10" t="s">
        <v>175</v>
      </c>
      <c r="E298">
        <f t="shared" si="4"/>
        <v>77.347181315221007</v>
      </c>
    </row>
    <row r="299" spans="1:5" x14ac:dyDescent="0.25">
      <c r="A299" t="s">
        <v>38</v>
      </c>
      <c r="B299" s="1" t="s">
        <v>21</v>
      </c>
      <c r="C299" s="2">
        <v>37873366</v>
      </c>
      <c r="D299" s="9">
        <v>47780374</v>
      </c>
      <c r="E299">
        <f t="shared" si="4"/>
        <v>79.265528561999119</v>
      </c>
    </row>
    <row r="300" spans="1:5" x14ac:dyDescent="0.25">
      <c r="A300" t="s">
        <v>38</v>
      </c>
      <c r="B300" s="1" t="s">
        <v>22</v>
      </c>
      <c r="C300" s="2">
        <v>39085868</v>
      </c>
      <c r="D300" s="7">
        <v>48994215</v>
      </c>
      <c r="E300">
        <f t="shared" si="4"/>
        <v>79.776496061830969</v>
      </c>
    </row>
    <row r="301" spans="1:5" x14ac:dyDescent="0.25">
      <c r="A301" t="s">
        <v>38</v>
      </c>
      <c r="B301" s="1" t="s">
        <v>23</v>
      </c>
      <c r="C301" s="2">
        <v>40290444</v>
      </c>
      <c r="D301" s="8">
        <v>51499424</v>
      </c>
      <c r="E301">
        <f t="shared" si="4"/>
        <v>78.23474685852797</v>
      </c>
    </row>
    <row r="302" spans="1:5" x14ac:dyDescent="0.25">
      <c r="A302" t="s">
        <v>39</v>
      </c>
      <c r="B302" s="1" t="s">
        <v>4</v>
      </c>
      <c r="C302" s="2">
        <v>36429309</v>
      </c>
      <c r="D302" s="2">
        <v>84142259</v>
      </c>
      <c r="E302">
        <f t="shared" si="4"/>
        <v>43.29490250552935</v>
      </c>
    </row>
    <row r="303" spans="1:5" x14ac:dyDescent="0.25">
      <c r="A303" t="s">
        <v>39</v>
      </c>
      <c r="B303" s="1" t="s">
        <v>5</v>
      </c>
      <c r="C303" s="2">
        <v>38559273</v>
      </c>
      <c r="D303" s="2">
        <v>82963039</v>
      </c>
      <c r="E303">
        <f t="shared" si="4"/>
        <v>46.477652536330069</v>
      </c>
    </row>
    <row r="304" spans="1:5" x14ac:dyDescent="0.25">
      <c r="A304" t="s">
        <v>39</v>
      </c>
      <c r="B304" s="1" t="s">
        <v>6</v>
      </c>
      <c r="C304" s="2">
        <v>40188041</v>
      </c>
      <c r="D304" s="2">
        <v>77362176</v>
      </c>
      <c r="E304">
        <f t="shared" si="4"/>
        <v>51.947919613843332</v>
      </c>
    </row>
    <row r="305" spans="1:5" x14ac:dyDescent="0.25">
      <c r="A305" t="s">
        <v>39</v>
      </c>
      <c r="B305" s="1" t="s">
        <v>7</v>
      </c>
      <c r="C305" s="2">
        <v>42252702</v>
      </c>
      <c r="D305" s="2">
        <v>83761946</v>
      </c>
      <c r="E305">
        <f t="shared" si="4"/>
        <v>50.443792220395643</v>
      </c>
    </row>
    <row r="306" spans="1:5" x14ac:dyDescent="0.25">
      <c r="A306" t="s">
        <v>39</v>
      </c>
      <c r="B306" s="1" t="s">
        <v>8</v>
      </c>
      <c r="C306" s="2">
        <v>43572733</v>
      </c>
      <c r="D306" s="2">
        <v>83972460</v>
      </c>
      <c r="E306">
        <f t="shared" si="4"/>
        <v>51.889313472536116</v>
      </c>
    </row>
    <row r="307" spans="1:5" x14ac:dyDescent="0.25">
      <c r="A307" t="s">
        <v>39</v>
      </c>
      <c r="B307" s="1" t="s">
        <v>9</v>
      </c>
      <c r="C307" s="2">
        <v>46152775</v>
      </c>
      <c r="D307" s="2">
        <v>84277675</v>
      </c>
      <c r="E307">
        <f t="shared" si="4"/>
        <v>54.762753006653305</v>
      </c>
    </row>
    <row r="308" spans="1:5" x14ac:dyDescent="0.25">
      <c r="A308" t="s">
        <v>39</v>
      </c>
      <c r="B308" s="1" t="s">
        <v>10</v>
      </c>
      <c r="C308" s="2">
        <v>48237405</v>
      </c>
      <c r="D308" s="2">
        <v>87808884</v>
      </c>
      <c r="E308">
        <f t="shared" si="4"/>
        <v>54.934538286581571</v>
      </c>
    </row>
    <row r="309" spans="1:5" x14ac:dyDescent="0.25">
      <c r="A309" t="s">
        <v>39</v>
      </c>
      <c r="B309" s="1" t="s">
        <v>11</v>
      </c>
      <c r="C309" s="2">
        <v>53015303</v>
      </c>
      <c r="D309" s="2">
        <v>100803831</v>
      </c>
      <c r="E309">
        <f t="shared" si="4"/>
        <v>52.592547797116964</v>
      </c>
    </row>
    <row r="310" spans="1:5" x14ac:dyDescent="0.25">
      <c r="A310" t="s">
        <v>39</v>
      </c>
      <c r="B310" s="1" t="s">
        <v>12</v>
      </c>
      <c r="C310" s="2">
        <v>53661930</v>
      </c>
      <c r="D310" s="2">
        <v>99260211</v>
      </c>
      <c r="E310">
        <f t="shared" si="4"/>
        <v>54.061873795533231</v>
      </c>
    </row>
    <row r="311" spans="1:5" x14ac:dyDescent="0.25">
      <c r="A311" t="s">
        <v>39</v>
      </c>
      <c r="B311" s="1" t="s">
        <v>13</v>
      </c>
      <c r="C311" s="2">
        <v>49972071</v>
      </c>
      <c r="D311" s="2">
        <v>99236119</v>
      </c>
      <c r="E311">
        <f t="shared" si="4"/>
        <v>50.356736542669509</v>
      </c>
    </row>
    <row r="312" spans="1:5" x14ac:dyDescent="0.25">
      <c r="A312" t="s">
        <v>39</v>
      </c>
      <c r="B312" s="1" t="s">
        <v>14</v>
      </c>
      <c r="C312" s="2">
        <v>50510325</v>
      </c>
      <c r="D312" s="2">
        <v>103824073</v>
      </c>
      <c r="E312">
        <f t="shared" si="4"/>
        <v>48.649916672022684</v>
      </c>
    </row>
    <row r="313" spans="1:5" x14ac:dyDescent="0.25">
      <c r="A313" t="s">
        <v>39</v>
      </c>
      <c r="B313" s="1" t="s">
        <v>15</v>
      </c>
      <c r="C313" s="2">
        <v>48486524</v>
      </c>
      <c r="D313" s="2">
        <v>112202653</v>
      </c>
      <c r="E313">
        <f t="shared" si="4"/>
        <v>43.213348974912385</v>
      </c>
    </row>
    <row r="314" spans="1:5" x14ac:dyDescent="0.25">
      <c r="A314" t="s">
        <v>39</v>
      </c>
      <c r="B314" s="1" t="s">
        <v>16</v>
      </c>
      <c r="C314" s="2">
        <v>49266249</v>
      </c>
      <c r="D314" s="2">
        <v>111592194</v>
      </c>
      <c r="E314">
        <f t="shared" si="4"/>
        <v>44.14847242809833</v>
      </c>
    </row>
    <row r="315" spans="1:5" x14ac:dyDescent="0.25">
      <c r="A315" t="s">
        <v>39</v>
      </c>
      <c r="B315" s="1" t="s">
        <v>17</v>
      </c>
      <c r="C315" s="2">
        <v>52456906</v>
      </c>
      <c r="D315" s="2">
        <v>115865775</v>
      </c>
      <c r="E315">
        <f t="shared" si="4"/>
        <v>45.2738576167121</v>
      </c>
    </row>
    <row r="316" spans="1:5" x14ac:dyDescent="0.25">
      <c r="A316" t="s">
        <v>39</v>
      </c>
      <c r="B316" s="1" t="s">
        <v>18</v>
      </c>
      <c r="C316" s="2">
        <v>53941987</v>
      </c>
      <c r="D316" s="2">
        <v>119765037</v>
      </c>
      <c r="E316">
        <f t="shared" si="4"/>
        <v>45.039844975792057</v>
      </c>
    </row>
    <row r="317" spans="1:5" x14ac:dyDescent="0.25">
      <c r="A317" t="s">
        <v>39</v>
      </c>
      <c r="B317" s="1" t="s">
        <v>19</v>
      </c>
      <c r="C317" s="2">
        <v>60677415</v>
      </c>
      <c r="D317" s="2">
        <v>132879390</v>
      </c>
      <c r="E317">
        <f t="shared" si="4"/>
        <v>45.663526149540573</v>
      </c>
    </row>
    <row r="318" spans="1:5" x14ac:dyDescent="0.25">
      <c r="A318" t="s">
        <v>39</v>
      </c>
      <c r="B318" s="1" t="s">
        <v>20</v>
      </c>
      <c r="C318" s="2">
        <v>62523254</v>
      </c>
      <c r="D318" s="2">
        <v>113196061</v>
      </c>
      <c r="E318">
        <f t="shared" si="4"/>
        <v>55.23447852129766</v>
      </c>
    </row>
    <row r="319" spans="1:5" x14ac:dyDescent="0.25">
      <c r="A319" t="s">
        <v>39</v>
      </c>
      <c r="B319" s="1" t="s">
        <v>21</v>
      </c>
      <c r="C319" s="2">
        <v>64380942</v>
      </c>
      <c r="D319" s="2">
        <v>123549904</v>
      </c>
      <c r="E319">
        <f t="shared" si="4"/>
        <v>52.109261048070096</v>
      </c>
    </row>
    <row r="320" spans="1:5" x14ac:dyDescent="0.25">
      <c r="A320" t="s">
        <v>39</v>
      </c>
      <c r="B320" s="1" t="s">
        <v>22</v>
      </c>
      <c r="C320" s="2">
        <v>68283485</v>
      </c>
      <c r="D320" s="2">
        <v>126173172</v>
      </c>
      <c r="E320">
        <f t="shared" si="4"/>
        <v>54.11886213021576</v>
      </c>
    </row>
    <row r="321" spans="1:5" x14ac:dyDescent="0.25">
      <c r="A321" t="s">
        <v>39</v>
      </c>
      <c r="B321" s="1" t="s">
        <v>23</v>
      </c>
      <c r="C321" s="2">
        <v>70289357</v>
      </c>
      <c r="D321" s="8">
        <v>141750449</v>
      </c>
      <c r="E321">
        <f t="shared" si="4"/>
        <v>49.586690903532869</v>
      </c>
    </row>
    <row r="322" spans="1:5" x14ac:dyDescent="0.25">
      <c r="A322" t="s">
        <v>40</v>
      </c>
      <c r="B322" s="1" t="s">
        <v>4</v>
      </c>
      <c r="C322" s="2">
        <v>1661123</v>
      </c>
      <c r="D322" s="14">
        <v>2400706</v>
      </c>
      <c r="E322">
        <f t="shared" si="4"/>
        <v>69.193104028564932</v>
      </c>
    </row>
    <row r="323" spans="1:5" x14ac:dyDescent="0.25">
      <c r="A323" t="s">
        <v>40</v>
      </c>
      <c r="B323" s="1" t="s">
        <v>5</v>
      </c>
      <c r="C323" s="2">
        <v>1605857</v>
      </c>
      <c r="D323" s="14">
        <v>2408175</v>
      </c>
      <c r="E323">
        <f t="shared" ref="E323:E386" si="5">(C323/D323)*100</f>
        <v>66.683567431768878</v>
      </c>
    </row>
    <row r="324" spans="1:5" x14ac:dyDescent="0.25">
      <c r="A324" t="s">
        <v>40</v>
      </c>
      <c r="B324" s="1" t="s">
        <v>6</v>
      </c>
      <c r="C324" s="2">
        <v>1761793</v>
      </c>
      <c r="D324" s="14">
        <v>2446722</v>
      </c>
      <c r="E324">
        <f t="shared" si="5"/>
        <v>72.006259803933588</v>
      </c>
    </row>
    <row r="325" spans="1:5" x14ac:dyDescent="0.25">
      <c r="A325" t="s">
        <v>40</v>
      </c>
      <c r="B325" s="1" t="s">
        <v>7</v>
      </c>
      <c r="C325" s="2">
        <v>1561125</v>
      </c>
      <c r="D325" s="14">
        <v>2264173</v>
      </c>
      <c r="E325">
        <f t="shared" si="5"/>
        <v>68.949015821670869</v>
      </c>
    </row>
    <row r="326" spans="1:5" x14ac:dyDescent="0.25">
      <c r="A326" t="s">
        <v>40</v>
      </c>
      <c r="B326" s="1" t="s">
        <v>8</v>
      </c>
      <c r="C326" s="2">
        <v>1515744</v>
      </c>
      <c r="D326" s="14">
        <v>2287153</v>
      </c>
      <c r="E326">
        <f t="shared" si="5"/>
        <v>66.272085863954004</v>
      </c>
    </row>
    <row r="327" spans="1:5" x14ac:dyDescent="0.25">
      <c r="A327" t="s">
        <v>40</v>
      </c>
      <c r="B327" s="1" t="s">
        <v>9</v>
      </c>
      <c r="C327" s="2">
        <v>1979987</v>
      </c>
      <c r="D327" s="15">
        <v>2768699</v>
      </c>
      <c r="E327">
        <f t="shared" si="5"/>
        <v>71.513263088548086</v>
      </c>
    </row>
    <row r="328" spans="1:5" x14ac:dyDescent="0.25">
      <c r="A328" t="s">
        <v>40</v>
      </c>
      <c r="B328" s="1" t="s">
        <v>10</v>
      </c>
      <c r="C328" s="2">
        <v>1730435</v>
      </c>
      <c r="D328" s="14">
        <v>2512842</v>
      </c>
      <c r="E328">
        <f t="shared" si="5"/>
        <v>68.863661145428168</v>
      </c>
    </row>
    <row r="329" spans="1:5" x14ac:dyDescent="0.25">
      <c r="A329" t="s">
        <v>40</v>
      </c>
      <c r="B329" s="1" t="s">
        <v>11</v>
      </c>
      <c r="C329" s="2">
        <v>1660864</v>
      </c>
      <c r="D329" s="14">
        <v>2527173</v>
      </c>
      <c r="E329">
        <f t="shared" si="5"/>
        <v>65.720233636557523</v>
      </c>
    </row>
    <row r="330" spans="1:5" x14ac:dyDescent="0.25">
      <c r="A330" t="s">
        <v>40</v>
      </c>
      <c r="B330" s="1" t="s">
        <v>12</v>
      </c>
      <c r="C330" s="2">
        <v>1568173</v>
      </c>
      <c r="D330" s="14">
        <v>2321800</v>
      </c>
      <c r="E330">
        <f t="shared" si="5"/>
        <v>67.541261090533212</v>
      </c>
    </row>
    <row r="331" spans="1:5" x14ac:dyDescent="0.25">
      <c r="A331" t="s">
        <v>40</v>
      </c>
      <c r="B331" s="1" t="s">
        <v>13</v>
      </c>
      <c r="C331" s="2">
        <v>1487373</v>
      </c>
      <c r="D331" s="14">
        <v>2203513</v>
      </c>
      <c r="E331">
        <f t="shared" si="5"/>
        <v>67.500078284085461</v>
      </c>
    </row>
    <row r="332" spans="1:5" x14ac:dyDescent="0.25">
      <c r="A332" t="s">
        <v>40</v>
      </c>
      <c r="B332" s="1" t="s">
        <v>14</v>
      </c>
      <c r="C332" s="2">
        <v>1371613</v>
      </c>
      <c r="D332" s="14">
        <v>2128998</v>
      </c>
      <c r="E332">
        <f t="shared" si="5"/>
        <v>64.42528363107904</v>
      </c>
    </row>
    <row r="333" spans="1:5" x14ac:dyDescent="0.25">
      <c r="A333" t="s">
        <v>40</v>
      </c>
      <c r="B333" s="1" t="s">
        <v>15</v>
      </c>
      <c r="C333" s="2">
        <v>1275827</v>
      </c>
      <c r="D333" s="14">
        <v>2586663</v>
      </c>
      <c r="E333">
        <f t="shared" si="5"/>
        <v>49.32327867990535</v>
      </c>
    </row>
    <row r="334" spans="1:5" x14ac:dyDescent="0.25">
      <c r="A334" t="s">
        <v>40</v>
      </c>
      <c r="B334" s="1" t="s">
        <v>16</v>
      </c>
      <c r="C334" s="2">
        <v>1010412</v>
      </c>
      <c r="D334" s="15">
        <v>3981142</v>
      </c>
      <c r="E334">
        <f t="shared" si="5"/>
        <v>25.379953792153103</v>
      </c>
    </row>
    <row r="335" spans="1:5" x14ac:dyDescent="0.25">
      <c r="A335" t="s">
        <v>40</v>
      </c>
      <c r="B335" s="1" t="s">
        <v>17</v>
      </c>
      <c r="C335" s="2">
        <v>889285</v>
      </c>
      <c r="D335" s="14">
        <v>4222206</v>
      </c>
      <c r="E335">
        <f t="shared" si="5"/>
        <v>21.062094080677259</v>
      </c>
    </row>
    <row r="336" spans="1:5" x14ac:dyDescent="0.25">
      <c r="A336" t="s">
        <v>40</v>
      </c>
      <c r="B336" s="1" t="s">
        <v>18</v>
      </c>
      <c r="C336" s="2">
        <v>2065267</v>
      </c>
      <c r="D336" s="14">
        <v>6898588</v>
      </c>
      <c r="E336">
        <f t="shared" si="5"/>
        <v>29.937532144259087</v>
      </c>
    </row>
    <row r="337" spans="1:5" x14ac:dyDescent="0.25">
      <c r="A337" t="s">
        <v>40</v>
      </c>
      <c r="B337" s="1" t="s">
        <v>19</v>
      </c>
      <c r="C337" s="2">
        <v>2198243</v>
      </c>
      <c r="D337" s="14">
        <v>4649357</v>
      </c>
      <c r="E337">
        <f t="shared" si="5"/>
        <v>47.280580949150604</v>
      </c>
    </row>
    <row r="338" spans="1:5" x14ac:dyDescent="0.25">
      <c r="A338" t="s">
        <v>40</v>
      </c>
      <c r="B338" s="1" t="s">
        <v>20</v>
      </c>
      <c r="C338" s="2">
        <v>4814254</v>
      </c>
      <c r="D338" s="14">
        <v>9416588</v>
      </c>
      <c r="E338">
        <f t="shared" si="5"/>
        <v>51.1252483383578</v>
      </c>
    </row>
    <row r="339" spans="1:5" x14ac:dyDescent="0.25">
      <c r="A339" t="s">
        <v>40</v>
      </c>
      <c r="B339" s="1" t="s">
        <v>21</v>
      </c>
      <c r="C339" s="2">
        <v>6713749</v>
      </c>
      <c r="D339" s="14">
        <v>9772945</v>
      </c>
      <c r="E339">
        <f t="shared" si="5"/>
        <v>68.697296464883408</v>
      </c>
    </row>
    <row r="340" spans="1:5" x14ac:dyDescent="0.25">
      <c r="A340" t="s">
        <v>40</v>
      </c>
      <c r="B340" s="1" t="s">
        <v>22</v>
      </c>
      <c r="C340" s="2">
        <v>7158814</v>
      </c>
      <c r="D340" s="14">
        <v>10598944</v>
      </c>
      <c r="E340">
        <f t="shared" si="5"/>
        <v>67.542709915251933</v>
      </c>
    </row>
    <row r="341" spans="1:5" x14ac:dyDescent="0.25">
      <c r="A341" t="s">
        <v>40</v>
      </c>
      <c r="B341" s="1" t="s">
        <v>23</v>
      </c>
      <c r="C341" s="2">
        <v>7205558</v>
      </c>
      <c r="D341" s="8">
        <v>11058956</v>
      </c>
      <c r="E341">
        <f t="shared" si="5"/>
        <v>65.155861005324553</v>
      </c>
    </row>
    <row r="342" spans="1:5" x14ac:dyDescent="0.25">
      <c r="A342" t="s">
        <v>41</v>
      </c>
      <c r="B342" s="1" t="s">
        <v>4</v>
      </c>
      <c r="C342" s="2">
        <v>12506448</v>
      </c>
      <c r="D342" s="2">
        <v>17787021</v>
      </c>
      <c r="E342">
        <f t="shared" si="5"/>
        <v>70.312212483473203</v>
      </c>
    </row>
    <row r="343" spans="1:5" x14ac:dyDescent="0.25">
      <c r="A343" t="s">
        <v>41</v>
      </c>
      <c r="B343" s="1" t="s">
        <v>5</v>
      </c>
      <c r="C343" s="2">
        <v>13163247</v>
      </c>
      <c r="D343" s="2">
        <v>18772417</v>
      </c>
      <c r="E343">
        <f t="shared" si="5"/>
        <v>70.1201502182697</v>
      </c>
    </row>
    <row r="344" spans="1:5" x14ac:dyDescent="0.25">
      <c r="A344" t="s">
        <v>41</v>
      </c>
      <c r="B344" s="1" t="s">
        <v>6</v>
      </c>
      <c r="C344" s="2">
        <v>13661814</v>
      </c>
      <c r="D344" s="2">
        <v>20905827</v>
      </c>
      <c r="E344">
        <f t="shared" si="5"/>
        <v>65.34931146230187</v>
      </c>
    </row>
    <row r="345" spans="1:5" x14ac:dyDescent="0.25">
      <c r="A345" t="s">
        <v>41</v>
      </c>
      <c r="B345" s="1" t="s">
        <v>7</v>
      </c>
      <c r="C345" s="2">
        <v>15670832</v>
      </c>
      <c r="D345" s="2">
        <v>23313671</v>
      </c>
      <c r="E345">
        <f t="shared" si="5"/>
        <v>67.217350712378149</v>
      </c>
    </row>
    <row r="346" spans="1:5" x14ac:dyDescent="0.25">
      <c r="A346" t="s">
        <v>41</v>
      </c>
      <c r="B346" s="1" t="s">
        <v>8</v>
      </c>
      <c r="C346" s="2">
        <v>16309071</v>
      </c>
      <c r="D346" s="7">
        <v>22976903</v>
      </c>
      <c r="E346">
        <f t="shared" si="5"/>
        <v>70.980283983441979</v>
      </c>
    </row>
    <row r="347" spans="1:5" x14ac:dyDescent="0.25">
      <c r="A347" t="s">
        <v>41</v>
      </c>
      <c r="B347" s="1" t="s">
        <v>9</v>
      </c>
      <c r="C347" s="2">
        <v>17580708</v>
      </c>
      <c r="D347" s="2">
        <v>24818174</v>
      </c>
      <c r="E347">
        <f t="shared" si="5"/>
        <v>70.838039897697541</v>
      </c>
    </row>
    <row r="348" spans="1:5" x14ac:dyDescent="0.25">
      <c r="A348" t="s">
        <v>41</v>
      </c>
      <c r="B348" s="1" t="s">
        <v>10</v>
      </c>
      <c r="C348" s="2">
        <v>18390023</v>
      </c>
      <c r="D348" s="2">
        <v>24924164</v>
      </c>
      <c r="E348">
        <f t="shared" si="5"/>
        <v>73.783911067187645</v>
      </c>
    </row>
    <row r="349" spans="1:5" x14ac:dyDescent="0.25">
      <c r="A349" t="s">
        <v>41</v>
      </c>
      <c r="B349" s="1" t="s">
        <v>11</v>
      </c>
      <c r="C349" s="2">
        <v>19366245</v>
      </c>
      <c r="D349" s="2">
        <v>27067923</v>
      </c>
      <c r="E349">
        <f t="shared" si="5"/>
        <v>71.546845319458015</v>
      </c>
    </row>
    <row r="350" spans="1:5" x14ac:dyDescent="0.25">
      <c r="A350" t="s">
        <v>41</v>
      </c>
      <c r="B350" s="1" t="s">
        <v>12</v>
      </c>
      <c r="C350" s="2">
        <v>18914203</v>
      </c>
      <c r="D350" s="2">
        <v>26601258</v>
      </c>
      <c r="E350">
        <f t="shared" si="5"/>
        <v>71.102663640945096</v>
      </c>
    </row>
    <row r="351" spans="1:5" x14ac:dyDescent="0.25">
      <c r="A351" t="s">
        <v>41</v>
      </c>
      <c r="B351" s="1" t="s">
        <v>13</v>
      </c>
      <c r="C351" s="2">
        <v>19193337</v>
      </c>
      <c r="D351" s="7">
        <v>26183539</v>
      </c>
      <c r="E351">
        <f t="shared" si="5"/>
        <v>73.303066480050688</v>
      </c>
    </row>
    <row r="352" spans="1:5" x14ac:dyDescent="0.25">
      <c r="A352" t="s">
        <v>41</v>
      </c>
      <c r="B352" s="1" t="s">
        <v>14</v>
      </c>
      <c r="C352" s="2">
        <v>19923613</v>
      </c>
      <c r="D352" s="2">
        <v>27935096</v>
      </c>
      <c r="E352">
        <f t="shared" si="5"/>
        <v>71.321082984644121</v>
      </c>
    </row>
    <row r="353" spans="1:5" x14ac:dyDescent="0.25">
      <c r="A353" t="s">
        <v>41</v>
      </c>
      <c r="B353" s="1" t="s">
        <v>15</v>
      </c>
      <c r="C353" s="2">
        <v>19491934</v>
      </c>
      <c r="D353" s="2">
        <v>28015492</v>
      </c>
      <c r="E353">
        <f t="shared" si="5"/>
        <v>69.575554839443825</v>
      </c>
    </row>
    <row r="354" spans="1:5" x14ac:dyDescent="0.25">
      <c r="A354" t="s">
        <v>41</v>
      </c>
      <c r="B354" s="1" t="s">
        <v>16</v>
      </c>
      <c r="C354" s="2">
        <v>18488594</v>
      </c>
      <c r="D354" s="2">
        <v>24908842</v>
      </c>
      <c r="E354">
        <f t="shared" si="5"/>
        <v>74.225024190205218</v>
      </c>
    </row>
    <row r="355" spans="1:5" x14ac:dyDescent="0.25">
      <c r="A355" t="s">
        <v>41</v>
      </c>
      <c r="B355" s="1" t="s">
        <v>17</v>
      </c>
      <c r="C355" s="2">
        <v>18369481</v>
      </c>
      <c r="D355" s="2">
        <v>25403477</v>
      </c>
      <c r="E355">
        <f t="shared" si="5"/>
        <v>72.310892717559881</v>
      </c>
    </row>
    <row r="356" spans="1:5" x14ac:dyDescent="0.25">
      <c r="A356" t="s">
        <v>41</v>
      </c>
      <c r="B356" s="1" t="s">
        <v>18</v>
      </c>
      <c r="C356" s="2">
        <v>14320814</v>
      </c>
      <c r="D356" s="2">
        <v>20534582</v>
      </c>
      <c r="E356">
        <f t="shared" si="5"/>
        <v>69.739983019863757</v>
      </c>
    </row>
    <row r="357" spans="1:5" x14ac:dyDescent="0.25">
      <c r="A357" t="s">
        <v>41</v>
      </c>
      <c r="B357" s="1" t="s">
        <v>19</v>
      </c>
      <c r="C357" s="2">
        <v>11608327</v>
      </c>
      <c r="D357" s="2">
        <v>16866523</v>
      </c>
      <c r="E357">
        <f t="shared" si="5"/>
        <v>68.824659356288194</v>
      </c>
    </row>
    <row r="358" spans="1:5" x14ac:dyDescent="0.25">
      <c r="A358" t="s">
        <v>41</v>
      </c>
      <c r="B358" s="1" t="s">
        <v>20</v>
      </c>
      <c r="C358" s="2">
        <v>9527115</v>
      </c>
      <c r="D358" s="2">
        <v>13193287</v>
      </c>
      <c r="E358">
        <f t="shared" si="5"/>
        <v>72.211837732325534</v>
      </c>
    </row>
    <row r="359" spans="1:5" x14ac:dyDescent="0.25">
      <c r="A359" t="s">
        <v>41</v>
      </c>
      <c r="B359" s="1" t="s">
        <v>21</v>
      </c>
      <c r="C359" s="2">
        <v>9267396</v>
      </c>
      <c r="D359" s="2">
        <v>14500676</v>
      </c>
      <c r="E359">
        <f t="shared" si="5"/>
        <v>63.910096329302171</v>
      </c>
    </row>
    <row r="360" spans="1:5" x14ac:dyDescent="0.25">
      <c r="A360" t="s">
        <v>41</v>
      </c>
      <c r="B360" s="1" t="s">
        <v>22</v>
      </c>
      <c r="C360" s="2">
        <v>8374410</v>
      </c>
      <c r="D360" s="2">
        <v>12985038</v>
      </c>
      <c r="E360">
        <f t="shared" si="5"/>
        <v>64.492764672694832</v>
      </c>
    </row>
    <row r="361" spans="1:5" x14ac:dyDescent="0.25">
      <c r="A361" t="s">
        <v>41</v>
      </c>
      <c r="B361" s="1" t="s">
        <v>23</v>
      </c>
      <c r="C361" s="2">
        <v>7766644</v>
      </c>
      <c r="D361" s="8">
        <v>13898775</v>
      </c>
      <c r="E361">
        <f t="shared" si="5"/>
        <v>55.880061372315183</v>
      </c>
    </row>
    <row r="362" spans="1:5" x14ac:dyDescent="0.25">
      <c r="A362" t="s">
        <v>42</v>
      </c>
      <c r="B362" s="1" t="s">
        <v>4</v>
      </c>
      <c r="C362" s="2">
        <v>10438566</v>
      </c>
      <c r="D362" s="2">
        <v>15987385</v>
      </c>
      <c r="E362">
        <f t="shared" si="5"/>
        <v>65.292516568531994</v>
      </c>
    </row>
    <row r="363" spans="1:5" x14ac:dyDescent="0.25">
      <c r="A363" t="s">
        <v>42</v>
      </c>
      <c r="B363" s="1" t="s">
        <v>5</v>
      </c>
      <c r="C363" s="2">
        <v>10874554</v>
      </c>
      <c r="D363" s="2">
        <v>15609436</v>
      </c>
      <c r="E363">
        <f t="shared" si="5"/>
        <v>69.666540161989204</v>
      </c>
    </row>
    <row r="364" spans="1:5" x14ac:dyDescent="0.25">
      <c r="A364" t="s">
        <v>42</v>
      </c>
      <c r="B364" s="1" t="s">
        <v>6</v>
      </c>
      <c r="C364" s="2">
        <v>11051604</v>
      </c>
      <c r="D364" s="2">
        <v>15592687</v>
      </c>
      <c r="E364">
        <f t="shared" si="5"/>
        <v>70.876841175610082</v>
      </c>
    </row>
    <row r="365" spans="1:5" x14ac:dyDescent="0.25">
      <c r="A365" t="s">
        <v>42</v>
      </c>
      <c r="B365" s="1" t="s">
        <v>7</v>
      </c>
      <c r="C365" s="2">
        <v>11550654</v>
      </c>
      <c r="D365" s="2">
        <v>15992475</v>
      </c>
      <c r="E365">
        <f t="shared" si="5"/>
        <v>72.225556081844744</v>
      </c>
    </row>
    <row r="366" spans="1:5" x14ac:dyDescent="0.25">
      <c r="A366" t="s">
        <v>42</v>
      </c>
      <c r="B366" s="1" t="s">
        <v>8</v>
      </c>
      <c r="C366" s="2">
        <v>11324576</v>
      </c>
      <c r="D366" s="2">
        <v>15559675</v>
      </c>
      <c r="E366">
        <f t="shared" si="5"/>
        <v>72.781571594522376</v>
      </c>
    </row>
    <row r="367" spans="1:5" x14ac:dyDescent="0.25">
      <c r="A367" t="s">
        <v>42</v>
      </c>
      <c r="B367" s="1" t="s">
        <v>9</v>
      </c>
      <c r="C367" s="2">
        <v>12149656</v>
      </c>
      <c r="D367" s="2">
        <v>16182137</v>
      </c>
      <c r="E367">
        <f t="shared" si="5"/>
        <v>75.080664562412252</v>
      </c>
    </row>
    <row r="368" spans="1:5" x14ac:dyDescent="0.25">
      <c r="A368" t="s">
        <v>42</v>
      </c>
      <c r="B368" s="1" t="s">
        <v>10</v>
      </c>
      <c r="C368" s="2">
        <v>13069123</v>
      </c>
      <c r="D368" s="2">
        <v>18098687</v>
      </c>
      <c r="E368">
        <f t="shared" si="5"/>
        <v>72.210337689137333</v>
      </c>
    </row>
    <row r="369" spans="1:5" x14ac:dyDescent="0.25">
      <c r="A369" t="s">
        <v>42</v>
      </c>
      <c r="B369" s="1" t="s">
        <v>11</v>
      </c>
      <c r="C369" s="2">
        <v>13858412</v>
      </c>
      <c r="D369" s="2">
        <v>18893684</v>
      </c>
      <c r="E369">
        <f t="shared" si="5"/>
        <v>73.34944312607324</v>
      </c>
    </row>
    <row r="370" spans="1:5" x14ac:dyDescent="0.25">
      <c r="A370" t="s">
        <v>42</v>
      </c>
      <c r="B370" s="1" t="s">
        <v>12</v>
      </c>
      <c r="C370" s="2">
        <v>14872241</v>
      </c>
      <c r="D370" s="2">
        <v>20096332</v>
      </c>
      <c r="E370">
        <f t="shared" si="5"/>
        <v>74.004753703312616</v>
      </c>
    </row>
    <row r="371" spans="1:5" x14ac:dyDescent="0.25">
      <c r="A371" t="s">
        <v>42</v>
      </c>
      <c r="B371" s="1" t="s">
        <v>13</v>
      </c>
      <c r="C371" s="2">
        <v>14207870</v>
      </c>
      <c r="D371" s="2">
        <v>19080739</v>
      </c>
      <c r="E371">
        <f t="shared" si="5"/>
        <v>74.461843432793657</v>
      </c>
    </row>
    <row r="372" spans="1:5" x14ac:dyDescent="0.25">
      <c r="A372" t="s">
        <v>42</v>
      </c>
      <c r="B372" s="1" t="s">
        <v>14</v>
      </c>
      <c r="C372" s="2">
        <v>15012254</v>
      </c>
      <c r="D372" s="2">
        <v>25203507</v>
      </c>
      <c r="E372">
        <f t="shared" si="5"/>
        <v>59.564147164122836</v>
      </c>
    </row>
    <row r="373" spans="1:5" x14ac:dyDescent="0.25">
      <c r="A373" t="s">
        <v>42</v>
      </c>
      <c r="B373" s="1" t="s">
        <v>15</v>
      </c>
      <c r="C373" s="2">
        <v>14729081</v>
      </c>
      <c r="D373" s="2">
        <v>25235573</v>
      </c>
      <c r="E373">
        <f t="shared" si="5"/>
        <v>58.366342622773018</v>
      </c>
    </row>
    <row r="374" spans="1:5" x14ac:dyDescent="0.25">
      <c r="A374" t="s">
        <v>42</v>
      </c>
      <c r="B374" s="1" t="s">
        <v>16</v>
      </c>
      <c r="C374" s="2">
        <v>14268757</v>
      </c>
      <c r="D374" s="2">
        <v>25185291</v>
      </c>
      <c r="E374">
        <f t="shared" si="5"/>
        <v>56.655120641647535</v>
      </c>
    </row>
    <row r="375" spans="1:5" x14ac:dyDescent="0.25">
      <c r="A375" t="s">
        <v>42</v>
      </c>
      <c r="B375" s="1" t="s">
        <v>17</v>
      </c>
      <c r="C375" s="2">
        <v>14344283</v>
      </c>
      <c r="D375" s="2">
        <v>25864195</v>
      </c>
      <c r="E375">
        <f t="shared" si="5"/>
        <v>55.460001751456019</v>
      </c>
    </row>
    <row r="376" spans="1:5" x14ac:dyDescent="0.25">
      <c r="A376" t="s">
        <v>42</v>
      </c>
      <c r="B376" s="1" t="s">
        <v>18</v>
      </c>
      <c r="C376" s="2">
        <v>13944876</v>
      </c>
      <c r="D376" s="2">
        <v>26114159</v>
      </c>
      <c r="E376">
        <f t="shared" si="5"/>
        <v>53.39967486603723</v>
      </c>
    </row>
    <row r="377" spans="1:5" x14ac:dyDescent="0.25">
      <c r="A377" t="s">
        <v>42</v>
      </c>
      <c r="B377" s="1" t="s">
        <v>19</v>
      </c>
      <c r="C377" s="2">
        <v>13772663</v>
      </c>
      <c r="D377" s="2">
        <v>26194548</v>
      </c>
      <c r="E377">
        <f t="shared" si="5"/>
        <v>52.578357145158606</v>
      </c>
    </row>
    <row r="378" spans="1:5" x14ac:dyDescent="0.25">
      <c r="A378" t="s">
        <v>42</v>
      </c>
      <c r="B378" s="1" t="s">
        <v>20</v>
      </c>
      <c r="C378" s="2">
        <v>12885415</v>
      </c>
      <c r="D378" s="2">
        <v>26696706</v>
      </c>
      <c r="E378">
        <f t="shared" si="5"/>
        <v>48.265935879879713</v>
      </c>
    </row>
    <row r="379" spans="1:5" x14ac:dyDescent="0.25">
      <c r="A379" t="s">
        <v>42</v>
      </c>
      <c r="B379" s="1" t="s">
        <v>21</v>
      </c>
      <c r="C379" s="2">
        <v>14139078</v>
      </c>
      <c r="D379" s="2">
        <v>25538254</v>
      </c>
      <c r="E379">
        <f t="shared" si="5"/>
        <v>55.364309556949351</v>
      </c>
    </row>
    <row r="380" spans="1:5" x14ac:dyDescent="0.25">
      <c r="A380" t="s">
        <v>42</v>
      </c>
      <c r="B380" s="1" t="s">
        <v>22</v>
      </c>
      <c r="C380" s="2">
        <v>15079881</v>
      </c>
      <c r="D380" s="2">
        <v>24297260</v>
      </c>
      <c r="E380">
        <f t="shared" si="5"/>
        <v>62.06412163346814</v>
      </c>
    </row>
    <row r="381" spans="1:5" x14ac:dyDescent="0.25">
      <c r="A381" t="s">
        <v>42</v>
      </c>
      <c r="B381" s="1" t="s">
        <v>23</v>
      </c>
      <c r="C381" s="2">
        <v>16687285</v>
      </c>
      <c r="D381" s="8">
        <v>25022953</v>
      </c>
      <c r="E381">
        <f t="shared" si="5"/>
        <v>66.687912493781212</v>
      </c>
    </row>
    <row r="382" spans="1:5" x14ac:dyDescent="0.25">
      <c r="A382" t="s">
        <v>43</v>
      </c>
      <c r="B382" s="1" t="s">
        <v>4</v>
      </c>
      <c r="C382" s="2">
        <v>2795605</v>
      </c>
      <c r="D382" s="2">
        <v>4001326</v>
      </c>
      <c r="E382">
        <f t="shared" si="5"/>
        <v>69.866964101400384</v>
      </c>
    </row>
    <row r="383" spans="1:5" x14ac:dyDescent="0.25">
      <c r="A383" t="s">
        <v>43</v>
      </c>
      <c r="B383" s="1" t="s">
        <v>5</v>
      </c>
      <c r="C383" s="2">
        <v>2952087</v>
      </c>
      <c r="D383" s="2">
        <v>4205730</v>
      </c>
      <c r="E383">
        <f t="shared" si="5"/>
        <v>70.19202373904173</v>
      </c>
    </row>
    <row r="384" spans="1:5" x14ac:dyDescent="0.25">
      <c r="A384" t="s">
        <v>43</v>
      </c>
      <c r="B384" s="1" t="s">
        <v>6</v>
      </c>
      <c r="C384" s="2">
        <v>2855800</v>
      </c>
      <c r="D384" s="2">
        <v>3960060</v>
      </c>
      <c r="E384">
        <f t="shared" si="5"/>
        <v>72.115068963601558</v>
      </c>
    </row>
    <row r="385" spans="1:5" x14ac:dyDescent="0.25">
      <c r="A385" t="s">
        <v>43</v>
      </c>
      <c r="B385" s="1" t="s">
        <v>7</v>
      </c>
      <c r="C385" s="2">
        <v>2982477</v>
      </c>
      <c r="D385" s="2">
        <v>4151151</v>
      </c>
      <c r="E385">
        <f t="shared" si="5"/>
        <v>71.846988943548425</v>
      </c>
    </row>
    <row r="386" spans="1:5" x14ac:dyDescent="0.25">
      <c r="A386" t="s">
        <v>43</v>
      </c>
      <c r="B386" s="1" t="s">
        <v>8</v>
      </c>
      <c r="C386" s="2">
        <v>3058799</v>
      </c>
      <c r="D386" s="2">
        <v>4744593</v>
      </c>
      <c r="E386">
        <f t="shared" si="5"/>
        <v>64.46915467775635</v>
      </c>
    </row>
    <row r="387" spans="1:5" x14ac:dyDescent="0.25">
      <c r="A387" t="s">
        <v>43</v>
      </c>
      <c r="B387" s="1" t="s">
        <v>9</v>
      </c>
      <c r="C387" s="2">
        <v>3268904</v>
      </c>
      <c r="D387" s="2">
        <v>4796302</v>
      </c>
      <c r="E387">
        <f t="shared" ref="E387:E450" si="6">(C387/D387)*100</f>
        <v>68.154674163553508</v>
      </c>
    </row>
    <row r="388" spans="1:5" x14ac:dyDescent="0.25">
      <c r="A388" t="s">
        <v>43</v>
      </c>
      <c r="B388" s="1" t="s">
        <v>10</v>
      </c>
      <c r="C388" s="2">
        <v>3955309</v>
      </c>
      <c r="D388" s="2">
        <v>7519690</v>
      </c>
      <c r="E388">
        <f t="shared" si="6"/>
        <v>52.59936247371899</v>
      </c>
    </row>
    <row r="389" spans="1:5" x14ac:dyDescent="0.25">
      <c r="A389" t="s">
        <v>43</v>
      </c>
      <c r="B389" s="1" t="s">
        <v>11</v>
      </c>
      <c r="C389" s="2">
        <v>4156767</v>
      </c>
      <c r="D389" s="2">
        <v>6421844</v>
      </c>
      <c r="E389">
        <f t="shared" si="6"/>
        <v>64.728557716444058</v>
      </c>
    </row>
    <row r="390" spans="1:5" x14ac:dyDescent="0.25">
      <c r="A390" t="s">
        <v>43</v>
      </c>
      <c r="B390" s="1" t="s">
        <v>12</v>
      </c>
      <c r="C390" s="2">
        <v>4295556</v>
      </c>
      <c r="D390" s="2">
        <v>6650706</v>
      </c>
      <c r="E390">
        <f t="shared" si="6"/>
        <v>64.587970059118533</v>
      </c>
    </row>
    <row r="391" spans="1:5" x14ac:dyDescent="0.25">
      <c r="A391" t="s">
        <v>43</v>
      </c>
      <c r="B391" s="1" t="s">
        <v>13</v>
      </c>
      <c r="C391" s="2">
        <v>4664906</v>
      </c>
      <c r="D391" s="2">
        <v>6988894</v>
      </c>
      <c r="E391">
        <f t="shared" si="6"/>
        <v>66.747413825420736</v>
      </c>
    </row>
    <row r="392" spans="1:5" x14ac:dyDescent="0.25">
      <c r="A392" t="s">
        <v>43</v>
      </c>
      <c r="B392" s="1" t="s">
        <v>14</v>
      </c>
      <c r="C392" s="2">
        <v>4955278</v>
      </c>
      <c r="D392" s="2">
        <v>8257403</v>
      </c>
      <c r="E392">
        <f t="shared" si="6"/>
        <v>60.010126670576689</v>
      </c>
    </row>
    <row r="393" spans="1:5" x14ac:dyDescent="0.25">
      <c r="A393" t="s">
        <v>43</v>
      </c>
      <c r="B393" s="1" t="s">
        <v>15</v>
      </c>
      <c r="C393" s="2">
        <v>5105932</v>
      </c>
      <c r="D393" s="2">
        <v>9854035</v>
      </c>
      <c r="E393">
        <f t="shared" si="6"/>
        <v>51.815647092789909</v>
      </c>
    </row>
    <row r="394" spans="1:5" x14ac:dyDescent="0.25">
      <c r="A394" t="s">
        <v>43</v>
      </c>
      <c r="B394" s="1" t="s">
        <v>16</v>
      </c>
      <c r="C394" s="2">
        <v>5132691</v>
      </c>
      <c r="D394" s="2">
        <v>10954831</v>
      </c>
      <c r="E394">
        <f t="shared" si="6"/>
        <v>46.853219369609626</v>
      </c>
    </row>
    <row r="395" spans="1:5" x14ac:dyDescent="0.25">
      <c r="A395" t="s">
        <v>43</v>
      </c>
      <c r="B395" s="1" t="s">
        <v>17</v>
      </c>
      <c r="C395" s="2">
        <v>5354506</v>
      </c>
      <c r="D395" s="2">
        <v>11632495</v>
      </c>
      <c r="E395">
        <f t="shared" si="6"/>
        <v>46.030589310375802</v>
      </c>
    </row>
    <row r="396" spans="1:5" x14ac:dyDescent="0.25">
      <c r="A396" t="s">
        <v>43</v>
      </c>
      <c r="B396" s="1" t="s">
        <v>18</v>
      </c>
      <c r="C396" s="2">
        <v>5649139</v>
      </c>
      <c r="D396" s="2">
        <v>12726871</v>
      </c>
      <c r="E396">
        <f t="shared" si="6"/>
        <v>44.387493202374721</v>
      </c>
    </row>
    <row r="397" spans="1:5" x14ac:dyDescent="0.25">
      <c r="A397" t="s">
        <v>43</v>
      </c>
      <c r="B397" s="1" t="s">
        <v>19</v>
      </c>
      <c r="C397" s="2">
        <v>6076409</v>
      </c>
      <c r="D397" s="2">
        <v>14286910</v>
      </c>
      <c r="E397">
        <f t="shared" si="6"/>
        <v>42.531303129928027</v>
      </c>
    </row>
    <row r="398" spans="1:5" x14ac:dyDescent="0.25">
      <c r="A398" t="s">
        <v>43</v>
      </c>
      <c r="B398" s="1" t="s">
        <v>20</v>
      </c>
      <c r="C398" s="2">
        <v>6412669</v>
      </c>
      <c r="D398" s="2">
        <v>14691788</v>
      </c>
      <c r="E398">
        <f t="shared" si="6"/>
        <v>43.647982124435778</v>
      </c>
    </row>
    <row r="399" spans="1:5" x14ac:dyDescent="0.25">
      <c r="A399" t="s">
        <v>43</v>
      </c>
      <c r="B399" s="1" t="s">
        <v>21</v>
      </c>
      <c r="C399" s="2">
        <v>6850618</v>
      </c>
      <c r="D399" s="2">
        <v>15704747</v>
      </c>
      <c r="E399">
        <f t="shared" si="6"/>
        <v>43.62132035619549</v>
      </c>
    </row>
    <row r="400" spans="1:5" x14ac:dyDescent="0.25">
      <c r="A400" t="s">
        <v>43</v>
      </c>
      <c r="B400" s="1" t="s">
        <v>22</v>
      </c>
      <c r="C400" s="2">
        <v>7226652</v>
      </c>
      <c r="D400" s="2">
        <v>16630906</v>
      </c>
      <c r="E400">
        <f t="shared" si="6"/>
        <v>43.453146809921236</v>
      </c>
    </row>
    <row r="401" spans="1:5" x14ac:dyDescent="0.25">
      <c r="A401" t="s">
        <v>43</v>
      </c>
      <c r="B401" s="1" t="s">
        <v>23</v>
      </c>
      <c r="C401" s="2">
        <v>8064115</v>
      </c>
      <c r="D401" s="8">
        <v>18304587</v>
      </c>
      <c r="E401">
        <f t="shared" si="6"/>
        <v>44.055159507286348</v>
      </c>
    </row>
    <row r="402" spans="1:5" x14ac:dyDescent="0.25">
      <c r="A402" t="s">
        <v>44</v>
      </c>
      <c r="B402" s="1" t="s">
        <v>4</v>
      </c>
      <c r="C402" s="2">
        <v>59051838</v>
      </c>
      <c r="D402" s="2">
        <v>87038389</v>
      </c>
      <c r="E402">
        <f t="shared" si="6"/>
        <v>67.845738734893175</v>
      </c>
    </row>
    <row r="403" spans="1:5" x14ac:dyDescent="0.25">
      <c r="A403" t="s">
        <v>44</v>
      </c>
      <c r="B403" s="1" t="s">
        <v>5</v>
      </c>
      <c r="C403" s="2">
        <v>60894998</v>
      </c>
      <c r="D403" s="2">
        <v>90422307</v>
      </c>
      <c r="E403">
        <f t="shared" si="6"/>
        <v>67.345105450583119</v>
      </c>
    </row>
    <row r="404" spans="1:5" x14ac:dyDescent="0.25">
      <c r="A404" t="s">
        <v>44</v>
      </c>
      <c r="B404" s="1" t="s">
        <v>6</v>
      </c>
      <c r="C404" s="2">
        <v>60858028</v>
      </c>
      <c r="D404" s="2">
        <v>88010091</v>
      </c>
      <c r="E404">
        <f t="shared" si="6"/>
        <v>69.148920661836371</v>
      </c>
    </row>
    <row r="405" spans="1:5" x14ac:dyDescent="0.25">
      <c r="A405" t="s">
        <v>44</v>
      </c>
      <c r="B405" s="1" t="s">
        <v>7</v>
      </c>
      <c r="C405" s="2">
        <v>60859618</v>
      </c>
      <c r="D405" s="2">
        <v>91129570</v>
      </c>
      <c r="E405">
        <f t="shared" si="6"/>
        <v>66.783611510511903</v>
      </c>
    </row>
    <row r="406" spans="1:5" x14ac:dyDescent="0.25">
      <c r="A406" t="s">
        <v>44</v>
      </c>
      <c r="B406" s="1" t="s">
        <v>8</v>
      </c>
      <c r="C406" s="2">
        <v>132337254</v>
      </c>
      <c r="D406" s="2">
        <v>180862270</v>
      </c>
      <c r="E406">
        <f t="shared" si="6"/>
        <v>73.17018303485851</v>
      </c>
    </row>
    <row r="407" spans="1:5" x14ac:dyDescent="0.25">
      <c r="A407" t="s">
        <v>44</v>
      </c>
      <c r="B407" s="1" t="s">
        <v>9</v>
      </c>
      <c r="C407" s="2">
        <v>134811292</v>
      </c>
      <c r="D407" s="2">
        <v>174361099</v>
      </c>
      <c r="E407">
        <f t="shared" si="6"/>
        <v>77.317298854602882</v>
      </c>
    </row>
    <row r="408" spans="1:5" x14ac:dyDescent="0.25">
      <c r="A408" t="s">
        <v>44</v>
      </c>
      <c r="B408" s="1" t="s">
        <v>10</v>
      </c>
      <c r="C408" s="2">
        <v>131686962</v>
      </c>
      <c r="D408" s="2">
        <v>168918673</v>
      </c>
      <c r="E408">
        <f t="shared" si="6"/>
        <v>77.958794999532117</v>
      </c>
    </row>
    <row r="409" spans="1:5" x14ac:dyDescent="0.25">
      <c r="A409" t="s">
        <v>44</v>
      </c>
      <c r="B409" s="1" t="s">
        <v>11</v>
      </c>
      <c r="C409" s="2">
        <v>132760609</v>
      </c>
      <c r="D409" s="2">
        <v>167492734</v>
      </c>
      <c r="E409">
        <f t="shared" si="6"/>
        <v>79.26350345442448</v>
      </c>
    </row>
    <row r="410" spans="1:5" x14ac:dyDescent="0.25">
      <c r="A410" t="s">
        <v>44</v>
      </c>
      <c r="B410" s="1" t="s">
        <v>12</v>
      </c>
      <c r="C410" s="2">
        <v>147845204</v>
      </c>
      <c r="D410" s="2">
        <v>184954549</v>
      </c>
      <c r="E410">
        <f t="shared" si="6"/>
        <v>79.935965240844126</v>
      </c>
    </row>
    <row r="411" spans="1:5" x14ac:dyDescent="0.25">
      <c r="A411" t="s">
        <v>44</v>
      </c>
      <c r="B411" s="1" t="s">
        <v>13</v>
      </c>
      <c r="C411" s="2">
        <v>141733902</v>
      </c>
      <c r="D411" s="2">
        <v>171167512</v>
      </c>
      <c r="E411">
        <f t="shared" si="6"/>
        <v>82.804207611547227</v>
      </c>
    </row>
    <row r="412" spans="1:5" x14ac:dyDescent="0.25">
      <c r="A412" t="s">
        <v>44</v>
      </c>
      <c r="B412" s="1" t="s">
        <v>14</v>
      </c>
      <c r="C412" s="2">
        <v>139708268</v>
      </c>
      <c r="D412" s="2">
        <v>172873156</v>
      </c>
      <c r="E412">
        <f t="shared" si="6"/>
        <v>80.815478373056365</v>
      </c>
    </row>
    <row r="413" spans="1:5" x14ac:dyDescent="0.25">
      <c r="A413" t="s">
        <v>44</v>
      </c>
      <c r="B413" s="1" t="s">
        <v>15</v>
      </c>
      <c r="C413" s="2">
        <v>126689753</v>
      </c>
      <c r="D413" s="2">
        <v>168178044</v>
      </c>
      <c r="E413">
        <f t="shared" si="6"/>
        <v>75.330732827407601</v>
      </c>
    </row>
    <row r="414" spans="1:5" x14ac:dyDescent="0.25">
      <c r="A414" t="s">
        <v>44</v>
      </c>
      <c r="B414" s="1" t="s">
        <v>16</v>
      </c>
      <c r="C414" s="2">
        <v>122982923</v>
      </c>
      <c r="D414" s="2">
        <v>158693638</v>
      </c>
      <c r="E414">
        <f t="shared" si="6"/>
        <v>77.497072062838456</v>
      </c>
    </row>
    <row r="415" spans="1:5" x14ac:dyDescent="0.25">
      <c r="A415" t="s">
        <v>44</v>
      </c>
      <c r="B415" s="1" t="s">
        <v>17</v>
      </c>
      <c r="C415" s="2">
        <v>125517052</v>
      </c>
      <c r="D415" s="2">
        <v>159757227</v>
      </c>
      <c r="E415">
        <f t="shared" si="6"/>
        <v>78.567370226074345</v>
      </c>
    </row>
    <row r="416" spans="1:5" x14ac:dyDescent="0.25">
      <c r="A416" t="s">
        <v>44</v>
      </c>
      <c r="B416" s="1" t="s">
        <v>18</v>
      </c>
      <c r="C416" s="2">
        <v>127443775</v>
      </c>
      <c r="D416" s="2">
        <v>166453972</v>
      </c>
      <c r="E416">
        <f t="shared" si="6"/>
        <v>76.563973492924518</v>
      </c>
    </row>
    <row r="417" spans="1:5" x14ac:dyDescent="0.25">
      <c r="A417" t="s">
        <v>44</v>
      </c>
      <c r="B417" s="1" t="s">
        <v>19</v>
      </c>
      <c r="C417" s="2">
        <v>125155305</v>
      </c>
      <c r="D417" s="2">
        <v>174601315</v>
      </c>
      <c r="E417">
        <f t="shared" si="6"/>
        <v>71.680619931184367</v>
      </c>
    </row>
    <row r="418" spans="1:5" x14ac:dyDescent="0.25">
      <c r="A418" t="s">
        <v>44</v>
      </c>
      <c r="B418" s="1" t="s">
        <v>20</v>
      </c>
      <c r="C418" s="2">
        <v>131718866</v>
      </c>
      <c r="D418" s="2">
        <v>174447329</v>
      </c>
      <c r="E418">
        <f t="shared" si="6"/>
        <v>75.506381642564449</v>
      </c>
    </row>
    <row r="419" spans="1:5" x14ac:dyDescent="0.25">
      <c r="A419" t="s">
        <v>44</v>
      </c>
      <c r="B419" s="1" t="s">
        <v>21</v>
      </c>
      <c r="C419" s="2">
        <v>138109397</v>
      </c>
      <c r="D419" s="2">
        <v>176694824</v>
      </c>
      <c r="E419">
        <f t="shared" si="6"/>
        <v>78.162672722094001</v>
      </c>
    </row>
    <row r="420" spans="1:5" x14ac:dyDescent="0.25">
      <c r="A420" t="s">
        <v>44</v>
      </c>
      <c r="B420" s="1" t="s">
        <v>22</v>
      </c>
      <c r="C420" s="2">
        <v>144077164</v>
      </c>
      <c r="D420" s="2">
        <v>180585841</v>
      </c>
      <c r="E420">
        <f t="shared" si="6"/>
        <v>79.783200721699984</v>
      </c>
    </row>
    <row r="421" spans="1:5" x14ac:dyDescent="0.25">
      <c r="A421" t="s">
        <v>44</v>
      </c>
      <c r="B421" s="1" t="s">
        <v>23</v>
      </c>
      <c r="C421" s="2">
        <v>134596053</v>
      </c>
      <c r="D421" s="7">
        <v>189241556</v>
      </c>
      <c r="E421">
        <f t="shared" si="6"/>
        <v>71.123941191859572</v>
      </c>
    </row>
    <row r="422" spans="1:5" x14ac:dyDescent="0.25">
      <c r="A422" t="s">
        <v>45</v>
      </c>
      <c r="B422" s="1" t="s">
        <v>4</v>
      </c>
      <c r="C422" s="2">
        <v>5603841</v>
      </c>
      <c r="D422" s="2">
        <v>10508569</v>
      </c>
      <c r="E422">
        <f t="shared" si="6"/>
        <v>53.326394868797081</v>
      </c>
    </row>
    <row r="423" spans="1:5" x14ac:dyDescent="0.25">
      <c r="A423" t="s">
        <v>45</v>
      </c>
      <c r="B423" s="1" t="s">
        <v>5</v>
      </c>
      <c r="C423" s="2">
        <v>5979114</v>
      </c>
      <c r="D423" s="2">
        <v>10042003</v>
      </c>
      <c r="E423">
        <f t="shared" si="6"/>
        <v>59.541049728824028</v>
      </c>
    </row>
    <row r="424" spans="1:5" x14ac:dyDescent="0.25">
      <c r="A424" t="s">
        <v>45</v>
      </c>
      <c r="B424" s="1" t="s">
        <v>6</v>
      </c>
      <c r="C424" s="2">
        <v>6197667</v>
      </c>
      <c r="D424" s="2">
        <v>10407053</v>
      </c>
      <c r="E424">
        <f t="shared" si="6"/>
        <v>59.552564976847911</v>
      </c>
    </row>
    <row r="425" spans="1:5" x14ac:dyDescent="0.25">
      <c r="A425" t="s">
        <v>45</v>
      </c>
      <c r="B425" s="1" t="s">
        <v>7</v>
      </c>
      <c r="C425" s="2">
        <v>6548959</v>
      </c>
      <c r="D425" s="2">
        <v>11793981</v>
      </c>
      <c r="E425">
        <f t="shared" si="6"/>
        <v>55.527976516156841</v>
      </c>
    </row>
    <row r="426" spans="1:5" x14ac:dyDescent="0.25">
      <c r="A426" t="s">
        <v>45</v>
      </c>
      <c r="B426" s="1" t="s">
        <v>8</v>
      </c>
      <c r="C426" s="2">
        <v>6683759</v>
      </c>
      <c r="D426" s="2">
        <v>11989767</v>
      </c>
      <c r="E426">
        <f t="shared" si="6"/>
        <v>55.745528666236801</v>
      </c>
    </row>
    <row r="427" spans="1:5" x14ac:dyDescent="0.25">
      <c r="A427" t="s">
        <v>45</v>
      </c>
      <c r="B427" s="1" t="s">
        <v>9</v>
      </c>
      <c r="C427" s="2">
        <v>6807405</v>
      </c>
      <c r="D427" s="2">
        <v>12084529</v>
      </c>
      <c r="E427">
        <f t="shared" si="6"/>
        <v>56.331570721539912</v>
      </c>
    </row>
    <row r="428" spans="1:5" x14ac:dyDescent="0.25">
      <c r="A428" t="s">
        <v>45</v>
      </c>
      <c r="B428" s="1" t="s">
        <v>10</v>
      </c>
      <c r="C428" s="2">
        <v>6815433</v>
      </c>
      <c r="D428" s="2">
        <v>12079029</v>
      </c>
      <c r="E428">
        <f t="shared" si="6"/>
        <v>56.423682731451343</v>
      </c>
    </row>
    <row r="429" spans="1:5" x14ac:dyDescent="0.25">
      <c r="A429" t="s">
        <v>45</v>
      </c>
      <c r="B429" s="1" t="s">
        <v>11</v>
      </c>
      <c r="C429" s="2">
        <v>7140003</v>
      </c>
      <c r="D429" s="2">
        <v>13147503</v>
      </c>
      <c r="E429">
        <f t="shared" si="6"/>
        <v>54.306912879198435</v>
      </c>
    </row>
    <row r="430" spans="1:5" x14ac:dyDescent="0.25">
      <c r="A430" t="s">
        <v>45</v>
      </c>
      <c r="B430" s="1" t="s">
        <v>12</v>
      </c>
      <c r="C430" s="2">
        <v>6735983</v>
      </c>
      <c r="D430" s="2">
        <v>12811325</v>
      </c>
      <c r="E430">
        <f t="shared" si="6"/>
        <v>52.578347672859763</v>
      </c>
    </row>
    <row r="431" spans="1:5" x14ac:dyDescent="0.25">
      <c r="A431" t="s">
        <v>45</v>
      </c>
      <c r="B431" s="1" t="s">
        <v>13</v>
      </c>
      <c r="C431" s="2">
        <v>6347363</v>
      </c>
      <c r="D431" s="2">
        <v>12675712</v>
      </c>
      <c r="E431">
        <f t="shared" si="6"/>
        <v>50.075001704046286</v>
      </c>
    </row>
    <row r="432" spans="1:5" x14ac:dyDescent="0.25">
      <c r="A432" t="s">
        <v>45</v>
      </c>
      <c r="B432" s="1" t="s">
        <v>14</v>
      </c>
      <c r="C432" s="2">
        <v>6813793</v>
      </c>
      <c r="D432" s="2">
        <v>12274400</v>
      </c>
      <c r="E432">
        <f t="shared" si="6"/>
        <v>55.512228703643352</v>
      </c>
    </row>
    <row r="433" spans="1:5" x14ac:dyDescent="0.25">
      <c r="A433" t="s">
        <v>45</v>
      </c>
      <c r="B433" s="1" t="s">
        <v>15</v>
      </c>
      <c r="C433" s="2">
        <v>7428576</v>
      </c>
      <c r="D433" s="2">
        <v>13737934</v>
      </c>
      <c r="E433">
        <f t="shared" si="6"/>
        <v>54.073458207034619</v>
      </c>
    </row>
    <row r="434" spans="1:5" x14ac:dyDescent="0.25">
      <c r="A434" t="s">
        <v>45</v>
      </c>
      <c r="B434" s="1" t="s">
        <v>16</v>
      </c>
      <c r="C434" s="2">
        <v>7703757</v>
      </c>
      <c r="D434" s="2">
        <v>14466968</v>
      </c>
      <c r="E434">
        <f t="shared" si="6"/>
        <v>53.250667313289149</v>
      </c>
    </row>
    <row r="435" spans="1:5" x14ac:dyDescent="0.25">
      <c r="A435" t="s">
        <v>45</v>
      </c>
      <c r="B435" s="1" t="s">
        <v>17</v>
      </c>
      <c r="C435" s="2">
        <v>8733158</v>
      </c>
      <c r="D435" s="2">
        <v>15668143</v>
      </c>
      <c r="E435">
        <f t="shared" si="6"/>
        <v>55.738309255921394</v>
      </c>
    </row>
    <row r="436" spans="1:5" x14ac:dyDescent="0.25">
      <c r="A436" t="s">
        <v>45</v>
      </c>
      <c r="B436" s="1" t="s">
        <v>18</v>
      </c>
      <c r="C436" s="2">
        <v>9121953</v>
      </c>
      <c r="D436" s="2">
        <v>16356627</v>
      </c>
      <c r="E436">
        <f t="shared" si="6"/>
        <v>55.769157051756459</v>
      </c>
    </row>
    <row r="437" spans="1:5" x14ac:dyDescent="0.25">
      <c r="A437" t="s">
        <v>45</v>
      </c>
      <c r="B437" s="1" t="s">
        <v>19</v>
      </c>
      <c r="C437" s="2">
        <v>9812089</v>
      </c>
      <c r="D437" s="2">
        <v>20742643</v>
      </c>
      <c r="E437">
        <f t="shared" si="6"/>
        <v>47.303947717752266</v>
      </c>
    </row>
    <row r="438" spans="1:5" x14ac:dyDescent="0.25">
      <c r="A438" t="s">
        <v>45</v>
      </c>
      <c r="B438" s="1" t="s">
        <v>20</v>
      </c>
      <c r="C438" s="2">
        <v>10287872</v>
      </c>
      <c r="D438" s="2">
        <v>20543807</v>
      </c>
      <c r="E438">
        <f t="shared" si="6"/>
        <v>50.077729020721428</v>
      </c>
    </row>
    <row r="439" spans="1:5" x14ac:dyDescent="0.25">
      <c r="A439" t="s">
        <v>45</v>
      </c>
      <c r="B439" s="1" t="s">
        <v>21</v>
      </c>
      <c r="C439" s="2">
        <v>11123180</v>
      </c>
      <c r="D439" s="2">
        <v>21433136</v>
      </c>
      <c r="E439">
        <f t="shared" si="6"/>
        <v>51.897118555119512</v>
      </c>
    </row>
    <row r="440" spans="1:5" x14ac:dyDescent="0.25">
      <c r="A440" t="s">
        <v>45</v>
      </c>
      <c r="B440" s="1" t="s">
        <v>22</v>
      </c>
      <c r="C440" s="2">
        <v>12009465</v>
      </c>
      <c r="D440" s="2">
        <v>21257655</v>
      </c>
      <c r="E440">
        <f t="shared" si="6"/>
        <v>56.494777998796195</v>
      </c>
    </row>
    <row r="441" spans="1:5" x14ac:dyDescent="0.25">
      <c r="A441" t="s">
        <v>45</v>
      </c>
      <c r="B441" s="1" t="s">
        <v>23</v>
      </c>
      <c r="C441" s="2">
        <v>12409218</v>
      </c>
      <c r="D441" s="2">
        <v>22116366</v>
      </c>
      <c r="E441">
        <f t="shared" si="6"/>
        <v>56.10875674602238</v>
      </c>
    </row>
    <row r="442" spans="1:5" x14ac:dyDescent="0.25">
      <c r="A442" t="s">
        <v>46</v>
      </c>
      <c r="B442" s="1" t="s">
        <v>4</v>
      </c>
      <c r="C442" s="2">
        <v>1314061</v>
      </c>
      <c r="D442" s="2">
        <v>2471729</v>
      </c>
      <c r="E442">
        <f t="shared" si="6"/>
        <v>53.163635657468923</v>
      </c>
    </row>
    <row r="443" spans="1:5" x14ac:dyDescent="0.25">
      <c r="A443" t="s">
        <v>46</v>
      </c>
      <c r="B443" s="1" t="s">
        <v>5</v>
      </c>
      <c r="C443" s="2">
        <v>1352306</v>
      </c>
      <c r="D443" s="2">
        <v>2460269</v>
      </c>
      <c r="E443">
        <f t="shared" si="6"/>
        <v>54.965778132391222</v>
      </c>
    </row>
    <row r="444" spans="1:5" x14ac:dyDescent="0.25">
      <c r="A444" t="s">
        <v>46</v>
      </c>
      <c r="B444" s="1" t="s">
        <v>6</v>
      </c>
      <c r="C444" s="2">
        <v>1240994</v>
      </c>
      <c r="D444" s="2">
        <v>2352896</v>
      </c>
      <c r="E444">
        <f t="shared" si="6"/>
        <v>52.743257670547273</v>
      </c>
    </row>
    <row r="445" spans="1:5" x14ac:dyDescent="0.25">
      <c r="A445" t="s">
        <v>46</v>
      </c>
      <c r="B445" s="1" t="s">
        <v>7</v>
      </c>
      <c r="C445" s="2">
        <v>1246702</v>
      </c>
      <c r="D445" s="2">
        <v>2534266</v>
      </c>
      <c r="E445">
        <f t="shared" si="6"/>
        <v>49.193809963121474</v>
      </c>
    </row>
    <row r="446" spans="1:5" x14ac:dyDescent="0.25">
      <c r="A446" t="s">
        <v>46</v>
      </c>
      <c r="B446" s="1" t="s">
        <v>8</v>
      </c>
      <c r="C446" s="2">
        <v>1302437</v>
      </c>
      <c r="D446" s="2">
        <v>2351547</v>
      </c>
      <c r="E446">
        <f t="shared" si="6"/>
        <v>55.386390320924903</v>
      </c>
    </row>
    <row r="447" spans="1:5" x14ac:dyDescent="0.25">
      <c r="A447" t="s">
        <v>46</v>
      </c>
      <c r="B447" s="1" t="s">
        <v>9</v>
      </c>
      <c r="C447" s="2">
        <v>1439109</v>
      </c>
      <c r="D447" s="2">
        <v>2420296</v>
      </c>
      <c r="E447">
        <f t="shared" si="6"/>
        <v>59.460041251152752</v>
      </c>
    </row>
    <row r="448" spans="1:5" x14ac:dyDescent="0.25">
      <c r="A448" t="s">
        <v>46</v>
      </c>
      <c r="B448" s="1" t="s">
        <v>10</v>
      </c>
      <c r="C448" s="2">
        <v>3311188</v>
      </c>
      <c r="D448" s="2">
        <v>4522928</v>
      </c>
      <c r="E448">
        <f t="shared" si="6"/>
        <v>73.208947832023853</v>
      </c>
    </row>
    <row r="449" spans="1:5" x14ac:dyDescent="0.25">
      <c r="A449" t="s">
        <v>46</v>
      </c>
      <c r="B449" s="1" t="s">
        <v>11</v>
      </c>
      <c r="C449" s="2">
        <v>3276730</v>
      </c>
      <c r="D449" s="2">
        <v>5108848</v>
      </c>
      <c r="E449">
        <f t="shared" si="6"/>
        <v>64.138334121508407</v>
      </c>
    </row>
    <row r="450" spans="1:5" x14ac:dyDescent="0.25">
      <c r="A450" t="s">
        <v>46</v>
      </c>
      <c r="B450" s="1" t="s">
        <v>12</v>
      </c>
      <c r="C450" s="2">
        <v>3455690</v>
      </c>
      <c r="D450" s="2">
        <v>4838999</v>
      </c>
      <c r="E450">
        <f t="shared" si="6"/>
        <v>71.413323292689256</v>
      </c>
    </row>
    <row r="451" spans="1:5" x14ac:dyDescent="0.25">
      <c r="A451" t="s">
        <v>46</v>
      </c>
      <c r="B451" s="1" t="s">
        <v>13</v>
      </c>
      <c r="C451" s="2">
        <v>3785747</v>
      </c>
      <c r="D451" s="2">
        <v>5020968</v>
      </c>
      <c r="E451">
        <f t="shared" ref="E451:E481" si="7">(C451/D451)*100</f>
        <v>75.398747811179035</v>
      </c>
    </row>
    <row r="452" spans="1:5" x14ac:dyDescent="0.25">
      <c r="A452" t="s">
        <v>46</v>
      </c>
      <c r="B452" s="1" t="s">
        <v>14</v>
      </c>
      <c r="C452" s="2">
        <v>4074205</v>
      </c>
      <c r="D452" s="2">
        <v>5316027</v>
      </c>
      <c r="E452">
        <f t="shared" si="7"/>
        <v>76.640035876416732</v>
      </c>
    </row>
    <row r="453" spans="1:5" x14ac:dyDescent="0.25">
      <c r="A453" t="s">
        <v>46</v>
      </c>
      <c r="B453" s="1" t="s">
        <v>15</v>
      </c>
      <c r="C453" s="2">
        <v>4299853</v>
      </c>
      <c r="D453" s="2">
        <v>6275182</v>
      </c>
      <c r="E453">
        <f t="shared" si="7"/>
        <v>68.521566386441052</v>
      </c>
    </row>
    <row r="454" spans="1:5" x14ac:dyDescent="0.25">
      <c r="A454" t="s">
        <v>46</v>
      </c>
      <c r="B454" s="1" t="s">
        <v>16</v>
      </c>
      <c r="C454" s="2">
        <v>4400480</v>
      </c>
      <c r="D454" s="2">
        <v>6466745</v>
      </c>
      <c r="E454">
        <f t="shared" si="7"/>
        <v>68.047835503023549</v>
      </c>
    </row>
    <row r="455" spans="1:5" x14ac:dyDescent="0.25">
      <c r="A455" t="s">
        <v>46</v>
      </c>
      <c r="B455" s="1" t="s">
        <v>17</v>
      </c>
      <c r="C455" s="2">
        <v>4986858</v>
      </c>
      <c r="D455" s="2">
        <v>6802935</v>
      </c>
      <c r="E455">
        <f t="shared" si="7"/>
        <v>73.304507539760408</v>
      </c>
    </row>
    <row r="456" spans="1:5" x14ac:dyDescent="0.25">
      <c r="A456" t="s">
        <v>46</v>
      </c>
      <c r="B456" s="1" t="s">
        <v>18</v>
      </c>
      <c r="C456" s="2">
        <v>5056863</v>
      </c>
      <c r="D456" s="2">
        <v>6752158</v>
      </c>
      <c r="E456">
        <f t="shared" si="7"/>
        <v>74.892545464724009</v>
      </c>
    </row>
    <row r="457" spans="1:5" x14ac:dyDescent="0.25">
      <c r="A457" t="s">
        <v>46</v>
      </c>
      <c r="B457" s="1" t="s">
        <v>19</v>
      </c>
      <c r="C457" s="2">
        <v>5519188</v>
      </c>
      <c r="D457" s="2">
        <v>7721345</v>
      </c>
      <c r="E457">
        <f t="shared" si="7"/>
        <v>71.479619159615325</v>
      </c>
    </row>
    <row r="458" spans="1:5" x14ac:dyDescent="0.25">
      <c r="A458" t="s">
        <v>46</v>
      </c>
      <c r="B458" s="1" t="s">
        <v>20</v>
      </c>
      <c r="C458" s="2">
        <v>5429210</v>
      </c>
      <c r="D458" s="2">
        <v>7081912</v>
      </c>
      <c r="E458">
        <f t="shared" si="7"/>
        <v>76.663053706400191</v>
      </c>
    </row>
    <row r="459" spans="1:5" x14ac:dyDescent="0.25">
      <c r="A459" t="s">
        <v>46</v>
      </c>
      <c r="B459" s="1" t="s">
        <v>21</v>
      </c>
      <c r="C459" s="2">
        <v>6712205</v>
      </c>
      <c r="D459" s="2">
        <v>8510614</v>
      </c>
      <c r="E459">
        <f t="shared" si="7"/>
        <v>78.868633919949843</v>
      </c>
    </row>
    <row r="460" spans="1:5" x14ac:dyDescent="0.25">
      <c r="A460" t="s">
        <v>46</v>
      </c>
      <c r="B460" s="1" t="s">
        <v>22</v>
      </c>
      <c r="C460" s="2">
        <v>7465262</v>
      </c>
      <c r="D460" s="2">
        <v>9449631</v>
      </c>
      <c r="E460">
        <f t="shared" si="7"/>
        <v>79.000566265497568</v>
      </c>
    </row>
    <row r="461" spans="1:5" x14ac:dyDescent="0.25">
      <c r="A461" t="s">
        <v>46</v>
      </c>
      <c r="B461" s="1" t="s">
        <v>23</v>
      </c>
      <c r="C461" s="2">
        <v>8064123</v>
      </c>
      <c r="D461" s="8">
        <v>10183411</v>
      </c>
      <c r="E461">
        <f t="shared" si="7"/>
        <v>79.188819934695758</v>
      </c>
    </row>
    <row r="462" spans="1:5" x14ac:dyDescent="0.25">
      <c r="A462" t="s">
        <v>47</v>
      </c>
      <c r="B462" s="1" t="s">
        <v>4</v>
      </c>
      <c r="C462" s="2">
        <v>470655</v>
      </c>
      <c r="D462" s="2">
        <v>750122</v>
      </c>
      <c r="E462">
        <f t="shared" si="7"/>
        <v>62.743793676228663</v>
      </c>
    </row>
    <row r="463" spans="1:5" x14ac:dyDescent="0.25">
      <c r="A463" t="s">
        <v>47</v>
      </c>
      <c r="B463" s="1" t="s">
        <v>5</v>
      </c>
      <c r="C463" s="2">
        <v>462405</v>
      </c>
      <c r="D463" s="2">
        <v>758789</v>
      </c>
      <c r="E463">
        <f t="shared" si="7"/>
        <v>60.939866023360914</v>
      </c>
    </row>
    <row r="464" spans="1:5" x14ac:dyDescent="0.25">
      <c r="A464" t="s">
        <v>47</v>
      </c>
      <c r="B464" s="1" t="s">
        <v>6</v>
      </c>
      <c r="C464" s="2">
        <v>428049</v>
      </c>
      <c r="D464" s="2">
        <v>733303</v>
      </c>
      <c r="E464">
        <f t="shared" si="7"/>
        <v>58.372732690306741</v>
      </c>
    </row>
    <row r="465" spans="1:5" x14ac:dyDescent="0.25">
      <c r="A465" t="s">
        <v>47</v>
      </c>
      <c r="B465" s="1" t="s">
        <v>7</v>
      </c>
      <c r="C465" s="2">
        <v>392855</v>
      </c>
      <c r="D465" s="2">
        <v>664673</v>
      </c>
      <c r="E465">
        <f t="shared" si="7"/>
        <v>59.105003513005641</v>
      </c>
    </row>
    <row r="466" spans="1:5" x14ac:dyDescent="0.25">
      <c r="A466" t="s">
        <v>47</v>
      </c>
      <c r="B466" s="1" t="s">
        <v>8</v>
      </c>
      <c r="C466" s="2">
        <v>365320</v>
      </c>
      <c r="D466" s="2">
        <v>678937</v>
      </c>
      <c r="E466">
        <f t="shared" si="7"/>
        <v>53.807643419050663</v>
      </c>
    </row>
    <row r="467" spans="1:5" x14ac:dyDescent="0.25">
      <c r="A467" t="s">
        <v>47</v>
      </c>
      <c r="B467" s="1" t="s">
        <v>9</v>
      </c>
      <c r="C467" s="2">
        <v>375055</v>
      </c>
      <c r="D467" s="2">
        <v>694121</v>
      </c>
      <c r="E467">
        <f t="shared" si="7"/>
        <v>54.033086450345117</v>
      </c>
    </row>
    <row r="468" spans="1:5" x14ac:dyDescent="0.25">
      <c r="A468" t="s">
        <v>47</v>
      </c>
      <c r="B468" s="1" t="s">
        <v>10</v>
      </c>
      <c r="C468" s="2">
        <v>363171</v>
      </c>
      <c r="D468" s="2">
        <v>718949</v>
      </c>
      <c r="E468">
        <f t="shared" si="7"/>
        <v>50.514153298773621</v>
      </c>
    </row>
    <row r="469" spans="1:5" x14ac:dyDescent="0.25">
      <c r="A469" t="s">
        <v>47</v>
      </c>
      <c r="B469" s="1" t="s">
        <v>11</v>
      </c>
      <c r="C469" s="2">
        <v>284795</v>
      </c>
      <c r="D469" s="2">
        <v>1321057</v>
      </c>
      <c r="E469">
        <f t="shared" si="7"/>
        <v>21.558115963202194</v>
      </c>
    </row>
    <row r="470" spans="1:5" x14ac:dyDescent="0.25">
      <c r="A470" t="s">
        <v>47</v>
      </c>
      <c r="B470" s="1" t="s">
        <v>12</v>
      </c>
      <c r="C470" s="2">
        <v>309912</v>
      </c>
      <c r="D470" s="2">
        <v>1212735</v>
      </c>
      <c r="E470">
        <f t="shared" si="7"/>
        <v>25.554799688307835</v>
      </c>
    </row>
    <row r="471" spans="1:5" x14ac:dyDescent="0.25">
      <c r="A471" t="s">
        <v>47</v>
      </c>
      <c r="B471" s="1" t="s">
        <v>13</v>
      </c>
      <c r="C471" s="2">
        <v>273020</v>
      </c>
      <c r="D471" s="2">
        <v>1706564</v>
      </c>
      <c r="E471">
        <f t="shared" si="7"/>
        <v>15.998228018404232</v>
      </c>
    </row>
    <row r="472" spans="1:5" x14ac:dyDescent="0.25">
      <c r="A472" t="s">
        <v>47</v>
      </c>
      <c r="B472" s="1" t="s">
        <v>14</v>
      </c>
      <c r="C472" s="2">
        <v>618898</v>
      </c>
      <c r="D472" s="2">
        <v>1727087</v>
      </c>
      <c r="E472">
        <f t="shared" si="7"/>
        <v>35.834790025053749</v>
      </c>
    </row>
    <row r="473" spans="1:5" x14ac:dyDescent="0.25">
      <c r="A473" t="s">
        <v>47</v>
      </c>
      <c r="B473" s="1" t="s">
        <v>15</v>
      </c>
      <c r="C473" s="2">
        <v>907956</v>
      </c>
      <c r="D473" s="2">
        <v>2179873</v>
      </c>
      <c r="E473">
        <f t="shared" si="7"/>
        <v>41.651784301195526</v>
      </c>
    </row>
    <row r="474" spans="1:5" x14ac:dyDescent="0.25">
      <c r="A474" t="s">
        <v>47</v>
      </c>
      <c r="B474" s="1" t="s">
        <v>16</v>
      </c>
      <c r="C474" s="2">
        <v>1292028</v>
      </c>
      <c r="D474" s="2">
        <v>9243671</v>
      </c>
      <c r="E474">
        <f t="shared" si="7"/>
        <v>13.977433857176441</v>
      </c>
    </row>
    <row r="475" spans="1:5" x14ac:dyDescent="0.25">
      <c r="A475" t="s">
        <v>47</v>
      </c>
      <c r="B475" s="1" t="s">
        <v>17</v>
      </c>
      <c r="C475" s="2">
        <v>2171114</v>
      </c>
      <c r="D475" s="2">
        <v>10093317</v>
      </c>
      <c r="E475">
        <f t="shared" si="7"/>
        <v>21.510411294919201</v>
      </c>
    </row>
    <row r="476" spans="1:5" x14ac:dyDescent="0.25">
      <c r="A476" t="s">
        <v>47</v>
      </c>
      <c r="B476" s="1" t="s">
        <v>18</v>
      </c>
      <c r="C476" s="2">
        <v>3727237</v>
      </c>
      <c r="D476" s="2">
        <v>10978255</v>
      </c>
      <c r="E476">
        <f t="shared" si="7"/>
        <v>33.951087855037073</v>
      </c>
    </row>
    <row r="477" spans="1:5" x14ac:dyDescent="0.25">
      <c r="A477" t="s">
        <v>47</v>
      </c>
      <c r="B477" s="1" t="s">
        <v>19</v>
      </c>
      <c r="C477" s="2">
        <v>3321101</v>
      </c>
      <c r="D477" s="2">
        <v>12312422</v>
      </c>
      <c r="E477">
        <f t="shared" si="7"/>
        <v>26.973580015369841</v>
      </c>
    </row>
    <row r="478" spans="1:5" x14ac:dyDescent="0.25">
      <c r="A478" t="s">
        <v>47</v>
      </c>
      <c r="B478" s="1" t="s">
        <v>20</v>
      </c>
      <c r="C478" s="2">
        <v>6144616</v>
      </c>
      <c r="D478" s="2">
        <v>12825240</v>
      </c>
      <c r="E478">
        <f t="shared" si="7"/>
        <v>47.910339299693419</v>
      </c>
    </row>
    <row r="479" spans="1:5" x14ac:dyDescent="0.25">
      <c r="A479" t="s">
        <v>47</v>
      </c>
      <c r="B479" s="1" t="s">
        <v>21</v>
      </c>
      <c r="C479" s="2">
        <v>7257028</v>
      </c>
      <c r="D479" s="2">
        <v>14611943</v>
      </c>
      <c r="E479">
        <f t="shared" si="7"/>
        <v>49.665044546094933</v>
      </c>
    </row>
    <row r="480" spans="1:5" x14ac:dyDescent="0.25">
      <c r="A480" t="s">
        <v>47</v>
      </c>
      <c r="B480" s="1" t="s">
        <v>22</v>
      </c>
      <c r="C480" s="2">
        <v>8156070</v>
      </c>
      <c r="D480" s="2">
        <v>15823104</v>
      </c>
      <c r="E480">
        <f t="shared" si="7"/>
        <v>51.545322586516527</v>
      </c>
    </row>
    <row r="481" spans="1:5" x14ac:dyDescent="0.25">
      <c r="A481" t="s">
        <v>47</v>
      </c>
      <c r="B481" s="1" t="s">
        <v>23</v>
      </c>
      <c r="C481" s="2">
        <v>9427987</v>
      </c>
      <c r="D481" s="8">
        <v>16965295</v>
      </c>
      <c r="E481">
        <f t="shared" si="7"/>
        <v>55.572196062608995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1EB6-E163-4BCB-9755-F8B61DF2069D}">
  <dimension ref="A1:C1002"/>
  <sheetViews>
    <sheetView topLeftCell="A559" workbookViewId="0">
      <selection activeCell="C2" sqref="C2"/>
    </sheetView>
  </sheetViews>
  <sheetFormatPr defaultRowHeight="15" x14ac:dyDescent="0.25"/>
  <cols>
    <col min="1" max="1" width="41.5703125" customWidth="1"/>
    <col min="3" max="3" width="19.85546875" style="16" customWidth="1"/>
  </cols>
  <sheetData>
    <row r="1" spans="1:3" x14ac:dyDescent="0.25">
      <c r="A1" s="4" t="s">
        <v>0</v>
      </c>
      <c r="B1" s="4" t="s">
        <v>1</v>
      </c>
      <c r="C1" s="4" t="s">
        <v>100</v>
      </c>
    </row>
    <row r="2" spans="1:3" x14ac:dyDescent="0.25">
      <c r="A2" t="s">
        <v>59</v>
      </c>
      <c r="B2" s="1" t="s">
        <v>60</v>
      </c>
      <c r="C2" s="2">
        <v>954176142</v>
      </c>
    </row>
    <row r="3" spans="1:3" x14ac:dyDescent="0.25">
      <c r="A3" t="s">
        <v>59</v>
      </c>
      <c r="B3" s="1" t="s">
        <v>61</v>
      </c>
      <c r="C3" s="2">
        <v>983518187</v>
      </c>
    </row>
    <row r="4" spans="1:3" x14ac:dyDescent="0.25">
      <c r="A4" t="s">
        <v>59</v>
      </c>
      <c r="B4" s="1" t="s">
        <v>62</v>
      </c>
      <c r="C4" s="2">
        <v>993100820</v>
      </c>
    </row>
    <row r="5" spans="1:3" x14ac:dyDescent="0.25">
      <c r="A5" t="s">
        <v>59</v>
      </c>
      <c r="B5" s="1" t="s">
        <v>3</v>
      </c>
      <c r="C5" s="2">
        <v>1076438066</v>
      </c>
    </row>
    <row r="6" spans="1:3" x14ac:dyDescent="0.25">
      <c r="A6" t="s">
        <v>59</v>
      </c>
      <c r="B6" s="1" t="s">
        <v>4</v>
      </c>
      <c r="C6" s="2">
        <v>1064732202</v>
      </c>
    </row>
    <row r="7" spans="1:3" x14ac:dyDescent="0.25">
      <c r="A7" t="s">
        <v>59</v>
      </c>
      <c r="B7" s="1" t="s">
        <v>5</v>
      </c>
      <c r="C7" s="2">
        <v>1097368442</v>
      </c>
    </row>
    <row r="8" spans="1:3" x14ac:dyDescent="0.25">
      <c r="A8" t="s">
        <v>59</v>
      </c>
      <c r="B8" s="1" t="s">
        <v>6</v>
      </c>
      <c r="C8" s="2">
        <v>1125400727</v>
      </c>
    </row>
    <row r="9" spans="1:3" x14ac:dyDescent="0.25">
      <c r="A9" t="s">
        <v>59</v>
      </c>
      <c r="B9" s="1" t="s">
        <v>7</v>
      </c>
      <c r="C9" s="2">
        <v>1234200039</v>
      </c>
    </row>
    <row r="10" spans="1:3" x14ac:dyDescent="0.25">
      <c r="A10" t="s">
        <v>59</v>
      </c>
      <c r="B10" s="1" t="s">
        <v>8</v>
      </c>
      <c r="C10" s="2">
        <v>1216323558</v>
      </c>
    </row>
    <row r="11" spans="1:3" x14ac:dyDescent="0.25">
      <c r="A11" t="s">
        <v>59</v>
      </c>
      <c r="B11" s="1" t="s">
        <v>9</v>
      </c>
      <c r="C11" s="2">
        <v>1224398243</v>
      </c>
    </row>
    <row r="12" spans="1:3" x14ac:dyDescent="0.25">
      <c r="A12" t="s">
        <v>59</v>
      </c>
      <c r="B12" s="1" t="s">
        <v>10</v>
      </c>
      <c r="C12" s="2">
        <v>1238657773</v>
      </c>
    </row>
    <row r="13" spans="1:3" x14ac:dyDescent="0.25">
      <c r="A13" t="s">
        <v>59</v>
      </c>
      <c r="B13" s="1" t="s">
        <v>11</v>
      </c>
      <c r="C13" s="2">
        <v>1343077860</v>
      </c>
    </row>
    <row r="14" spans="1:3" x14ac:dyDescent="0.25">
      <c r="A14" t="s">
        <v>59</v>
      </c>
      <c r="B14" s="1" t="s">
        <v>12</v>
      </c>
      <c r="C14" s="2">
        <v>1287093817</v>
      </c>
    </row>
    <row r="15" spans="1:3" x14ac:dyDescent="0.25">
      <c r="A15" t="s">
        <v>59</v>
      </c>
      <c r="B15" s="1" t="s">
        <v>13</v>
      </c>
      <c r="C15" s="2">
        <v>1309320867</v>
      </c>
    </row>
    <row r="16" spans="1:3" x14ac:dyDescent="0.25">
      <c r="A16" t="s">
        <v>59</v>
      </c>
      <c r="B16" s="1" t="s">
        <v>14</v>
      </c>
      <c r="C16" s="2">
        <v>1359555560</v>
      </c>
    </row>
    <row r="17" spans="1:3" x14ac:dyDescent="0.25">
      <c r="A17" t="s">
        <v>59</v>
      </c>
      <c r="B17" s="1" t="s">
        <v>15</v>
      </c>
      <c r="C17" s="2">
        <v>1421785007</v>
      </c>
    </row>
    <row r="18" spans="1:3" x14ac:dyDescent="0.25">
      <c r="A18" t="s">
        <v>59</v>
      </c>
      <c r="B18" s="1" t="s">
        <v>16</v>
      </c>
      <c r="C18" s="2">
        <v>1374381233</v>
      </c>
    </row>
    <row r="19" spans="1:3" x14ac:dyDescent="0.25">
      <c r="A19" t="s">
        <v>59</v>
      </c>
      <c r="B19" s="1" t="s">
        <v>17</v>
      </c>
      <c r="C19" s="2">
        <v>1411625034</v>
      </c>
    </row>
    <row r="20" spans="1:3" x14ac:dyDescent="0.25">
      <c r="A20" t="s">
        <v>59</v>
      </c>
      <c r="B20" s="1" t="s">
        <v>18</v>
      </c>
      <c r="C20" s="2">
        <v>1538515953</v>
      </c>
    </row>
    <row r="21" spans="1:3" x14ac:dyDescent="0.25">
      <c r="A21" t="s">
        <v>59</v>
      </c>
      <c r="B21" s="1" t="s">
        <v>19</v>
      </c>
      <c r="C21" s="2">
        <v>1572761035</v>
      </c>
    </row>
    <row r="22" spans="1:3" x14ac:dyDescent="0.25">
      <c r="A22" t="s">
        <v>59</v>
      </c>
      <c r="B22" s="1" t="s">
        <v>20</v>
      </c>
      <c r="C22" s="7">
        <v>1540856138</v>
      </c>
    </row>
    <row r="23" spans="1:3" x14ac:dyDescent="0.25">
      <c r="A23" t="s">
        <v>59</v>
      </c>
      <c r="B23" s="1" t="s">
        <v>21</v>
      </c>
      <c r="C23" s="7">
        <v>1542793400</v>
      </c>
    </row>
    <row r="24" spans="1:3" x14ac:dyDescent="0.25">
      <c r="A24" t="s">
        <v>59</v>
      </c>
      <c r="B24" s="1" t="s">
        <v>22</v>
      </c>
      <c r="C24" s="7">
        <v>1575760325</v>
      </c>
    </row>
    <row r="25" spans="1:3" x14ac:dyDescent="0.25">
      <c r="A25" t="s">
        <v>59</v>
      </c>
      <c r="B25" s="1" t="s">
        <v>23</v>
      </c>
      <c r="C25" s="8">
        <v>1750994673</v>
      </c>
    </row>
    <row r="26" spans="1:3" x14ac:dyDescent="0.25">
      <c r="A26" t="s">
        <v>63</v>
      </c>
      <c r="B26" s="1" t="s">
        <v>60</v>
      </c>
      <c r="C26" s="2">
        <v>910371452</v>
      </c>
    </row>
    <row r="27" spans="1:3" x14ac:dyDescent="0.25">
      <c r="A27" t="s">
        <v>63</v>
      </c>
      <c r="B27" s="1" t="s">
        <v>61</v>
      </c>
      <c r="C27" s="2">
        <v>936277275</v>
      </c>
    </row>
    <row r="28" spans="1:3" x14ac:dyDescent="0.25">
      <c r="A28" t="s">
        <v>63</v>
      </c>
      <c r="B28" s="1" t="s">
        <v>62</v>
      </c>
      <c r="C28" s="2">
        <v>940665212</v>
      </c>
    </row>
    <row r="29" spans="1:3" x14ac:dyDescent="0.25">
      <c r="A29" t="s">
        <v>63</v>
      </c>
      <c r="B29" s="1" t="s">
        <v>3</v>
      </c>
      <c r="C29" s="2">
        <v>978377431</v>
      </c>
    </row>
    <row r="30" spans="1:3" x14ac:dyDescent="0.25">
      <c r="A30" t="s">
        <v>63</v>
      </c>
      <c r="B30" s="1" t="s">
        <v>4</v>
      </c>
      <c r="C30" s="2">
        <v>945619317</v>
      </c>
    </row>
    <row r="31" spans="1:3" x14ac:dyDescent="0.25">
      <c r="A31" t="s">
        <v>63</v>
      </c>
      <c r="B31" s="1" t="s">
        <v>5</v>
      </c>
      <c r="C31" s="2">
        <v>1003464780</v>
      </c>
    </row>
    <row r="32" spans="1:3" x14ac:dyDescent="0.25">
      <c r="A32" t="s">
        <v>63</v>
      </c>
      <c r="B32" s="1" t="s">
        <v>6</v>
      </c>
      <c r="C32" s="2">
        <v>1017323850</v>
      </c>
    </row>
    <row r="33" spans="1:3" x14ac:dyDescent="0.25">
      <c r="A33" t="s">
        <v>63</v>
      </c>
      <c r="B33" s="1" t="s">
        <v>7</v>
      </c>
      <c r="C33" s="2">
        <v>1037077806</v>
      </c>
    </row>
    <row r="34" spans="1:3" x14ac:dyDescent="0.25">
      <c r="A34" t="s">
        <v>63</v>
      </c>
      <c r="B34" s="1" t="s">
        <v>8</v>
      </c>
      <c r="C34" s="2">
        <v>1035916523</v>
      </c>
    </row>
    <row r="35" spans="1:3" x14ac:dyDescent="0.25">
      <c r="A35" t="s">
        <v>63</v>
      </c>
      <c r="B35" s="1" t="s">
        <v>9</v>
      </c>
      <c r="C35" s="2">
        <v>1058351022</v>
      </c>
    </row>
    <row r="36" spans="1:3" x14ac:dyDescent="0.25">
      <c r="A36" t="s">
        <v>63</v>
      </c>
      <c r="B36" s="1" t="s">
        <v>10</v>
      </c>
      <c r="C36" s="2">
        <v>1097658366</v>
      </c>
    </row>
    <row r="37" spans="1:3" x14ac:dyDescent="0.25">
      <c r="A37" t="s">
        <v>63</v>
      </c>
      <c r="B37" s="1" t="s">
        <v>11</v>
      </c>
      <c r="C37" s="7">
        <v>1128683875</v>
      </c>
    </row>
    <row r="38" spans="1:3" x14ac:dyDescent="0.25">
      <c r="A38" t="s">
        <v>63</v>
      </c>
      <c r="B38" s="1" t="s">
        <v>12</v>
      </c>
      <c r="C38" s="9">
        <v>1130707835</v>
      </c>
    </row>
    <row r="39" spans="1:3" x14ac:dyDescent="0.25">
      <c r="A39" t="s">
        <v>63</v>
      </c>
      <c r="B39" s="1" t="s">
        <v>13</v>
      </c>
      <c r="C39" s="9">
        <v>1168344738</v>
      </c>
    </row>
    <row r="40" spans="1:3" x14ac:dyDescent="0.25">
      <c r="A40" t="s">
        <v>63</v>
      </c>
      <c r="B40" s="1" t="s">
        <v>14</v>
      </c>
      <c r="C40" s="9">
        <v>1205616993</v>
      </c>
    </row>
    <row r="41" spans="1:3" x14ac:dyDescent="0.25">
      <c r="A41" t="s">
        <v>63</v>
      </c>
      <c r="B41" s="1" t="s">
        <v>15</v>
      </c>
      <c r="C41" s="9">
        <v>1209045441</v>
      </c>
    </row>
    <row r="42" spans="1:3" x14ac:dyDescent="0.25">
      <c r="A42" t="s">
        <v>63</v>
      </c>
      <c r="B42" s="1" t="s">
        <v>16</v>
      </c>
      <c r="C42" s="9">
        <v>1253404334</v>
      </c>
    </row>
    <row r="43" spans="1:3" x14ac:dyDescent="0.25">
      <c r="A43" t="s">
        <v>63</v>
      </c>
      <c r="B43" s="1" t="s">
        <v>17</v>
      </c>
      <c r="C43" s="9">
        <v>1237027618</v>
      </c>
    </row>
    <row r="44" spans="1:3" x14ac:dyDescent="0.25">
      <c r="A44" t="s">
        <v>63</v>
      </c>
      <c r="B44" s="1" t="s">
        <v>18</v>
      </c>
      <c r="C44" s="9">
        <v>1283320346</v>
      </c>
    </row>
    <row r="45" spans="1:3" x14ac:dyDescent="0.25">
      <c r="A45" t="s">
        <v>63</v>
      </c>
      <c r="B45" s="1" t="s">
        <v>19</v>
      </c>
      <c r="C45" s="9">
        <v>1355555571</v>
      </c>
    </row>
    <row r="46" spans="1:3" x14ac:dyDescent="0.25">
      <c r="A46" t="s">
        <v>63</v>
      </c>
      <c r="B46" s="1" t="s">
        <v>20</v>
      </c>
      <c r="C46" s="7">
        <v>1352850895</v>
      </c>
    </row>
    <row r="47" spans="1:3" x14ac:dyDescent="0.25">
      <c r="A47" t="s">
        <v>63</v>
      </c>
      <c r="B47" s="1" t="s">
        <v>21</v>
      </c>
      <c r="C47" s="7">
        <v>1393396403</v>
      </c>
    </row>
    <row r="48" spans="1:3" x14ac:dyDescent="0.25">
      <c r="A48" t="s">
        <v>63</v>
      </c>
      <c r="B48" s="1" t="s">
        <v>22</v>
      </c>
      <c r="C48" s="7">
        <v>1443000499</v>
      </c>
    </row>
    <row r="49" spans="1:3" x14ac:dyDescent="0.25">
      <c r="A49" t="s">
        <v>63</v>
      </c>
      <c r="B49" s="1" t="s">
        <v>23</v>
      </c>
      <c r="C49" s="7">
        <v>1570332063</v>
      </c>
    </row>
    <row r="50" spans="1:3" x14ac:dyDescent="0.25">
      <c r="A50" t="s">
        <v>64</v>
      </c>
      <c r="B50" s="1" t="s">
        <v>60</v>
      </c>
      <c r="C50" s="9">
        <v>577525839</v>
      </c>
    </row>
    <row r="51" spans="1:3" x14ac:dyDescent="0.25">
      <c r="A51" t="s">
        <v>64</v>
      </c>
      <c r="B51" s="1" t="s">
        <v>61</v>
      </c>
      <c r="C51" s="9">
        <v>588802049</v>
      </c>
    </row>
    <row r="52" spans="1:3" x14ac:dyDescent="0.25">
      <c r="A52" t="s">
        <v>64</v>
      </c>
      <c r="B52" s="1" t="s">
        <v>62</v>
      </c>
      <c r="C52" s="7">
        <v>622941560</v>
      </c>
    </row>
    <row r="53" spans="1:3" x14ac:dyDescent="0.25">
      <c r="A53" t="s">
        <v>64</v>
      </c>
      <c r="B53" s="1" t="s">
        <v>3</v>
      </c>
      <c r="C53" s="9">
        <v>661658373</v>
      </c>
    </row>
    <row r="54" spans="1:3" x14ac:dyDescent="0.25">
      <c r="A54" t="s">
        <v>64</v>
      </c>
      <c r="B54" s="1" t="s">
        <v>4</v>
      </c>
      <c r="C54" s="9">
        <v>648574305</v>
      </c>
    </row>
    <row r="55" spans="1:3" x14ac:dyDescent="0.25">
      <c r="A55" t="s">
        <v>64</v>
      </c>
      <c r="B55" s="1" t="s">
        <v>5</v>
      </c>
      <c r="C55" s="9">
        <v>684155458</v>
      </c>
    </row>
    <row r="56" spans="1:3" x14ac:dyDescent="0.25">
      <c r="A56" t="s">
        <v>64</v>
      </c>
      <c r="B56" s="1" t="s">
        <v>6</v>
      </c>
      <c r="C56" s="9">
        <v>712213488</v>
      </c>
    </row>
    <row r="57" spans="1:3" x14ac:dyDescent="0.25">
      <c r="A57" t="s">
        <v>64</v>
      </c>
      <c r="B57" s="1" t="s">
        <v>7</v>
      </c>
      <c r="C57" s="9">
        <v>754575210</v>
      </c>
    </row>
    <row r="58" spans="1:3" x14ac:dyDescent="0.25">
      <c r="A58" t="s">
        <v>64</v>
      </c>
      <c r="B58" s="1" t="s">
        <v>8</v>
      </c>
      <c r="C58" s="9">
        <v>744421643</v>
      </c>
    </row>
    <row r="59" spans="1:3" x14ac:dyDescent="0.25">
      <c r="A59" t="s">
        <v>64</v>
      </c>
      <c r="B59" s="1" t="s">
        <v>9</v>
      </c>
      <c r="C59" s="9">
        <v>786007093</v>
      </c>
    </row>
    <row r="60" spans="1:3" x14ac:dyDescent="0.25">
      <c r="A60" t="s">
        <v>64</v>
      </c>
      <c r="B60" s="1" t="s">
        <v>10</v>
      </c>
      <c r="C60" s="9">
        <v>756755688</v>
      </c>
    </row>
    <row r="61" spans="1:3" x14ac:dyDescent="0.25">
      <c r="A61" t="s">
        <v>64</v>
      </c>
      <c r="B61" s="1" t="s">
        <v>11</v>
      </c>
      <c r="C61" s="9">
        <v>780237387</v>
      </c>
    </row>
    <row r="62" spans="1:3" x14ac:dyDescent="0.25">
      <c r="A62" t="s">
        <v>64</v>
      </c>
      <c r="B62" s="1" t="s">
        <v>12</v>
      </c>
      <c r="C62" s="9">
        <v>803279408</v>
      </c>
    </row>
    <row r="63" spans="1:3" x14ac:dyDescent="0.25">
      <c r="A63" t="s">
        <v>64</v>
      </c>
      <c r="B63" s="1" t="s">
        <v>13</v>
      </c>
      <c r="C63" s="9">
        <v>813301436</v>
      </c>
    </row>
    <row r="64" spans="1:3" x14ac:dyDescent="0.25">
      <c r="A64" t="s">
        <v>64</v>
      </c>
      <c r="B64" s="1" t="s">
        <v>14</v>
      </c>
      <c r="C64" s="9">
        <v>847579548</v>
      </c>
    </row>
    <row r="65" spans="1:3" x14ac:dyDescent="0.25">
      <c r="A65" t="s">
        <v>64</v>
      </c>
      <c r="B65" s="1" t="s">
        <v>15</v>
      </c>
      <c r="C65" s="9">
        <v>818227668</v>
      </c>
    </row>
    <row r="66" spans="1:3" x14ac:dyDescent="0.25">
      <c r="A66" t="s">
        <v>64</v>
      </c>
      <c r="B66" s="1" t="s">
        <v>16</v>
      </c>
      <c r="C66" s="9">
        <v>840240592</v>
      </c>
    </row>
    <row r="67" spans="1:3" x14ac:dyDescent="0.25">
      <c r="A67" t="s">
        <v>64</v>
      </c>
      <c r="B67" s="1" t="s">
        <v>17</v>
      </c>
      <c r="C67" s="9">
        <v>852497109</v>
      </c>
    </row>
    <row r="68" spans="1:3" x14ac:dyDescent="0.25">
      <c r="A68" t="s">
        <v>64</v>
      </c>
      <c r="B68" s="1" t="s">
        <v>18</v>
      </c>
      <c r="C68" s="9">
        <v>894893400</v>
      </c>
    </row>
    <row r="69" spans="1:3" x14ac:dyDescent="0.25">
      <c r="A69" t="s">
        <v>64</v>
      </c>
      <c r="B69" s="1" t="s">
        <v>19</v>
      </c>
      <c r="C69" s="9">
        <v>941211128</v>
      </c>
    </row>
    <row r="70" spans="1:3" x14ac:dyDescent="0.25">
      <c r="A70" t="s">
        <v>64</v>
      </c>
      <c r="B70" s="1" t="s">
        <v>20</v>
      </c>
      <c r="C70" s="7">
        <v>908458601</v>
      </c>
    </row>
    <row r="71" spans="1:3" x14ac:dyDescent="0.25">
      <c r="A71" t="s">
        <v>64</v>
      </c>
      <c r="B71" s="1" t="s">
        <v>21</v>
      </c>
      <c r="C71" s="7">
        <v>912767267</v>
      </c>
    </row>
    <row r="72" spans="1:3" x14ac:dyDescent="0.25">
      <c r="A72" t="s">
        <v>64</v>
      </c>
      <c r="B72" s="1" t="s">
        <v>22</v>
      </c>
      <c r="C72" s="7">
        <v>909638667</v>
      </c>
    </row>
    <row r="73" spans="1:3" x14ac:dyDescent="0.25">
      <c r="A73" t="s">
        <v>64</v>
      </c>
      <c r="B73" s="1" t="s">
        <v>23</v>
      </c>
      <c r="C73" s="7">
        <v>997556847</v>
      </c>
    </row>
    <row r="74" spans="1:3" x14ac:dyDescent="0.25">
      <c r="A74" t="s">
        <v>65</v>
      </c>
      <c r="B74" s="1" t="s">
        <v>60</v>
      </c>
      <c r="C74" s="2">
        <v>214311665</v>
      </c>
    </row>
    <row r="75" spans="1:3" x14ac:dyDescent="0.25">
      <c r="A75" t="s">
        <v>65</v>
      </c>
      <c r="B75" s="1" t="s">
        <v>61</v>
      </c>
      <c r="C75" s="2">
        <v>224066811</v>
      </c>
    </row>
    <row r="76" spans="1:3" x14ac:dyDescent="0.25">
      <c r="A76" t="s">
        <v>65</v>
      </c>
      <c r="B76" s="1" t="s">
        <v>62</v>
      </c>
      <c r="C76" s="2">
        <v>231934715</v>
      </c>
    </row>
    <row r="77" spans="1:3" x14ac:dyDescent="0.25">
      <c r="A77" t="s">
        <v>65</v>
      </c>
      <c r="B77" s="1" t="s">
        <v>3</v>
      </c>
      <c r="C77" s="2">
        <v>261365267</v>
      </c>
    </row>
    <row r="78" spans="1:3" x14ac:dyDescent="0.25">
      <c r="A78" t="s">
        <v>65</v>
      </c>
      <c r="B78" s="1" t="s">
        <v>4</v>
      </c>
      <c r="C78" s="2">
        <v>258738696</v>
      </c>
    </row>
    <row r="79" spans="1:3" x14ac:dyDescent="0.25">
      <c r="A79" t="s">
        <v>65</v>
      </c>
      <c r="B79" s="1" t="s">
        <v>5</v>
      </c>
      <c r="C79" s="2">
        <v>268044394</v>
      </c>
    </row>
    <row r="80" spans="1:3" x14ac:dyDescent="0.25">
      <c r="A80" t="s">
        <v>65</v>
      </c>
      <c r="B80" s="1" t="s">
        <v>6</v>
      </c>
      <c r="C80" s="2">
        <v>272304662</v>
      </c>
    </row>
    <row r="81" spans="1:3" x14ac:dyDescent="0.25">
      <c r="A81" t="s">
        <v>65</v>
      </c>
      <c r="B81" s="1" t="s">
        <v>7</v>
      </c>
      <c r="C81" s="2">
        <v>306436194</v>
      </c>
    </row>
    <row r="82" spans="1:3" x14ac:dyDescent="0.25">
      <c r="A82" t="s">
        <v>65</v>
      </c>
      <c r="B82" s="1" t="s">
        <v>8</v>
      </c>
      <c r="C82" s="2">
        <v>301346488</v>
      </c>
    </row>
    <row r="83" spans="1:3" x14ac:dyDescent="0.25">
      <c r="A83" t="s">
        <v>65</v>
      </c>
      <c r="B83" s="1" t="s">
        <v>9</v>
      </c>
      <c r="C83" s="2">
        <v>312474892</v>
      </c>
    </row>
    <row r="84" spans="1:3" x14ac:dyDescent="0.25">
      <c r="A84" t="s">
        <v>65</v>
      </c>
      <c r="B84" s="1" t="s">
        <v>10</v>
      </c>
      <c r="C84" s="2">
        <v>316211345</v>
      </c>
    </row>
    <row r="85" spans="1:3" x14ac:dyDescent="0.25">
      <c r="A85" t="s">
        <v>65</v>
      </c>
      <c r="B85" s="1" t="s">
        <v>11</v>
      </c>
      <c r="C85" s="2">
        <v>311776828</v>
      </c>
    </row>
    <row r="86" spans="1:3" x14ac:dyDescent="0.25">
      <c r="A86" t="s">
        <v>65</v>
      </c>
      <c r="B86" s="1" t="s">
        <v>12</v>
      </c>
      <c r="C86" s="2">
        <v>308186680</v>
      </c>
    </row>
    <row r="87" spans="1:3" x14ac:dyDescent="0.25">
      <c r="A87" t="s">
        <v>65</v>
      </c>
      <c r="B87" s="1" t="s">
        <v>13</v>
      </c>
      <c r="C87" s="2">
        <v>314602871</v>
      </c>
    </row>
    <row r="88" spans="1:3" x14ac:dyDescent="0.25">
      <c r="A88" t="s">
        <v>65</v>
      </c>
      <c r="B88" s="1" t="s">
        <v>14</v>
      </c>
      <c r="C88" s="2">
        <v>356974307</v>
      </c>
    </row>
    <row r="89" spans="1:3" x14ac:dyDescent="0.25">
      <c r="A89" t="s">
        <v>65</v>
      </c>
      <c r="B89" s="1" t="s">
        <v>15</v>
      </c>
      <c r="C89" s="2">
        <v>361208406</v>
      </c>
    </row>
    <row r="90" spans="1:3" x14ac:dyDescent="0.25">
      <c r="A90" t="s">
        <v>65</v>
      </c>
      <c r="B90" s="1" t="s">
        <v>16</v>
      </c>
      <c r="C90" s="2">
        <v>375729831</v>
      </c>
    </row>
    <row r="91" spans="1:3" x14ac:dyDescent="0.25">
      <c r="A91" t="s">
        <v>65</v>
      </c>
      <c r="B91" s="1" t="s">
        <v>17</v>
      </c>
      <c r="C91" s="2">
        <v>380513594</v>
      </c>
    </row>
    <row r="92" spans="1:3" x14ac:dyDescent="0.25">
      <c r="A92" t="s">
        <v>65</v>
      </c>
      <c r="B92" s="1" t="s">
        <v>18</v>
      </c>
      <c r="C92" s="2">
        <v>368055555</v>
      </c>
    </row>
    <row r="93" spans="1:3" x14ac:dyDescent="0.25">
      <c r="A93" t="s">
        <v>65</v>
      </c>
      <c r="B93" s="1" t="s">
        <v>19</v>
      </c>
      <c r="C93" s="2">
        <v>371868311</v>
      </c>
    </row>
    <row r="94" spans="1:3" x14ac:dyDescent="0.25">
      <c r="A94" t="s">
        <v>65</v>
      </c>
      <c r="B94" s="1" t="s">
        <v>20</v>
      </c>
      <c r="C94" s="7">
        <v>367515728</v>
      </c>
    </row>
    <row r="95" spans="1:3" x14ac:dyDescent="0.25">
      <c r="A95" t="s">
        <v>65</v>
      </c>
      <c r="B95" s="1" t="s">
        <v>21</v>
      </c>
      <c r="C95" s="7">
        <v>381741249</v>
      </c>
    </row>
    <row r="96" spans="1:3" x14ac:dyDescent="0.25">
      <c r="A96" t="s">
        <v>65</v>
      </c>
      <c r="B96" s="1" t="s">
        <v>22</v>
      </c>
      <c r="C96" s="7">
        <v>389291838</v>
      </c>
    </row>
    <row r="97" spans="1:3" x14ac:dyDescent="0.25">
      <c r="A97" t="s">
        <v>65</v>
      </c>
      <c r="B97" s="1" t="s">
        <v>23</v>
      </c>
      <c r="C97" s="7">
        <v>402148312</v>
      </c>
    </row>
    <row r="98" spans="1:3" x14ac:dyDescent="0.25">
      <c r="A98" s="5" t="s">
        <v>66</v>
      </c>
      <c r="B98" s="1" t="s">
        <v>60</v>
      </c>
      <c r="C98" s="2">
        <v>146721012</v>
      </c>
    </row>
    <row r="99" spans="1:3" x14ac:dyDescent="0.25">
      <c r="A99" t="s">
        <v>66</v>
      </c>
      <c r="B99" s="1" t="s">
        <v>61</v>
      </c>
      <c r="C99" s="2">
        <v>150368680</v>
      </c>
    </row>
    <row r="100" spans="1:3" x14ac:dyDescent="0.25">
      <c r="A100" t="s">
        <v>66</v>
      </c>
      <c r="B100" s="1" t="s">
        <v>62</v>
      </c>
      <c r="C100" s="2">
        <v>148592742</v>
      </c>
    </row>
    <row r="101" spans="1:3" x14ac:dyDescent="0.25">
      <c r="A101" t="s">
        <v>66</v>
      </c>
      <c r="B101" s="1" t="s">
        <v>3</v>
      </c>
      <c r="C101" s="2">
        <v>153442082</v>
      </c>
    </row>
    <row r="102" spans="1:3" x14ac:dyDescent="0.25">
      <c r="A102" t="s">
        <v>66</v>
      </c>
      <c r="B102" s="1" t="s">
        <v>4</v>
      </c>
      <c r="C102" s="2">
        <v>153791192</v>
      </c>
    </row>
    <row r="103" spans="1:3" x14ac:dyDescent="0.25">
      <c r="A103" t="s">
        <v>66</v>
      </c>
      <c r="B103" s="1" t="s">
        <v>5</v>
      </c>
      <c r="C103" s="2">
        <v>156735873</v>
      </c>
    </row>
    <row r="104" spans="1:3" x14ac:dyDescent="0.25">
      <c r="A104" t="s">
        <v>66</v>
      </c>
      <c r="B104" s="1" t="s">
        <v>6</v>
      </c>
      <c r="C104" s="2">
        <v>152261989</v>
      </c>
    </row>
    <row r="105" spans="1:3" x14ac:dyDescent="0.25">
      <c r="A105" t="s">
        <v>66</v>
      </c>
      <c r="B105" s="1" t="s">
        <v>7</v>
      </c>
      <c r="C105" s="2">
        <v>159589094</v>
      </c>
    </row>
    <row r="106" spans="1:3" x14ac:dyDescent="0.25">
      <c r="A106" t="s">
        <v>66</v>
      </c>
      <c r="B106" s="1" t="s">
        <v>8</v>
      </c>
      <c r="C106" s="2">
        <v>161798243</v>
      </c>
    </row>
    <row r="107" spans="1:3" x14ac:dyDescent="0.25">
      <c r="A107" t="s">
        <v>66</v>
      </c>
      <c r="B107" s="1" t="s">
        <v>9</v>
      </c>
      <c r="C107" s="2">
        <v>170496970</v>
      </c>
    </row>
    <row r="108" spans="1:3" x14ac:dyDescent="0.25">
      <c r="A108" t="s">
        <v>66</v>
      </c>
      <c r="B108" s="1" t="s">
        <v>10</v>
      </c>
      <c r="C108" s="9">
        <v>168247629</v>
      </c>
    </row>
    <row r="109" spans="1:3" x14ac:dyDescent="0.25">
      <c r="A109" t="s">
        <v>66</v>
      </c>
      <c r="B109" s="1" t="s">
        <v>11</v>
      </c>
      <c r="C109" s="9">
        <v>169980944</v>
      </c>
    </row>
    <row r="110" spans="1:3" x14ac:dyDescent="0.25">
      <c r="A110" t="s">
        <v>66</v>
      </c>
      <c r="B110" s="1" t="s">
        <v>12</v>
      </c>
      <c r="C110" s="9">
        <v>178363942</v>
      </c>
    </row>
    <row r="111" spans="1:3" x14ac:dyDescent="0.25">
      <c r="A111" t="s">
        <v>66</v>
      </c>
      <c r="B111" s="1" t="s">
        <v>13</v>
      </c>
      <c r="C111" s="9">
        <v>172795629</v>
      </c>
    </row>
    <row r="112" spans="1:3" x14ac:dyDescent="0.25">
      <c r="A112" t="s">
        <v>66</v>
      </c>
      <c r="B112" s="1" t="s">
        <v>14</v>
      </c>
      <c r="C112" s="9">
        <v>175817715</v>
      </c>
    </row>
    <row r="113" spans="1:3" x14ac:dyDescent="0.25">
      <c r="A113" t="s">
        <v>66</v>
      </c>
      <c r="B113" s="1" t="s">
        <v>15</v>
      </c>
      <c r="C113" s="9">
        <v>181187809</v>
      </c>
    </row>
    <row r="114" spans="1:3" x14ac:dyDescent="0.25">
      <c r="A114" t="s">
        <v>66</v>
      </c>
      <c r="B114" s="1" t="s">
        <v>16</v>
      </c>
      <c r="C114" s="9">
        <v>177288921</v>
      </c>
    </row>
    <row r="115" spans="1:3" x14ac:dyDescent="0.25">
      <c r="A115" t="s">
        <v>66</v>
      </c>
      <c r="B115" s="1" t="s">
        <v>17</v>
      </c>
      <c r="C115" s="9">
        <v>178045762</v>
      </c>
    </row>
    <row r="116" spans="1:3" x14ac:dyDescent="0.25">
      <c r="A116" t="s">
        <v>66</v>
      </c>
      <c r="B116" s="1" t="s">
        <v>18</v>
      </c>
      <c r="C116" s="9">
        <v>173903301</v>
      </c>
    </row>
    <row r="117" spans="1:3" x14ac:dyDescent="0.25">
      <c r="A117" t="s">
        <v>66</v>
      </c>
      <c r="B117" s="1" t="s">
        <v>19</v>
      </c>
      <c r="C117" s="7">
        <v>178695480</v>
      </c>
    </row>
    <row r="118" spans="1:3" x14ac:dyDescent="0.25">
      <c r="A118" t="s">
        <v>66</v>
      </c>
      <c r="B118" s="1" t="s">
        <v>20</v>
      </c>
      <c r="C118" s="9">
        <v>181957679</v>
      </c>
    </row>
    <row r="119" spans="1:3" x14ac:dyDescent="0.25">
      <c r="A119" t="s">
        <v>66</v>
      </c>
      <c r="B119" s="1" t="s">
        <v>21</v>
      </c>
      <c r="C119" s="9">
        <v>179991333</v>
      </c>
    </row>
    <row r="120" spans="1:3" x14ac:dyDescent="0.25">
      <c r="A120" t="s">
        <v>66</v>
      </c>
      <c r="B120" s="1" t="s">
        <v>22</v>
      </c>
      <c r="C120" s="9">
        <v>175958714</v>
      </c>
    </row>
    <row r="121" spans="1:3" x14ac:dyDescent="0.25">
      <c r="A121" s="5" t="s">
        <v>66</v>
      </c>
      <c r="B121" s="1" t="s">
        <v>23</v>
      </c>
      <c r="C121" s="7">
        <v>197729688</v>
      </c>
    </row>
    <row r="122" spans="1:3" x14ac:dyDescent="0.25">
      <c r="A122" t="s">
        <v>67</v>
      </c>
      <c r="B122" s="1" t="s">
        <v>60</v>
      </c>
      <c r="C122" s="9">
        <v>164400790</v>
      </c>
    </row>
    <row r="123" spans="1:3" x14ac:dyDescent="0.25">
      <c r="A123" t="s">
        <v>67</v>
      </c>
      <c r="B123" s="1" t="s">
        <v>61</v>
      </c>
      <c r="C123" s="9">
        <v>144283950</v>
      </c>
    </row>
    <row r="124" spans="1:3" x14ac:dyDescent="0.25">
      <c r="A124" t="s">
        <v>67</v>
      </c>
      <c r="B124" s="1" t="s">
        <v>62</v>
      </c>
      <c r="C124" s="9">
        <v>150385318</v>
      </c>
    </row>
    <row r="125" spans="1:3" x14ac:dyDescent="0.25">
      <c r="A125" t="s">
        <v>67</v>
      </c>
      <c r="B125" s="1" t="s">
        <v>3</v>
      </c>
      <c r="C125" s="9">
        <v>147992131</v>
      </c>
    </row>
    <row r="126" spans="1:3" x14ac:dyDescent="0.25">
      <c r="A126" t="s">
        <v>67</v>
      </c>
      <c r="B126" s="1" t="s">
        <v>4</v>
      </c>
      <c r="C126" s="9">
        <v>151900294</v>
      </c>
    </row>
    <row r="127" spans="1:3" x14ac:dyDescent="0.25">
      <c r="A127" t="s">
        <v>67</v>
      </c>
      <c r="B127" s="1" t="s">
        <v>5</v>
      </c>
      <c r="C127" s="9">
        <v>159062532</v>
      </c>
    </row>
    <row r="128" spans="1:3" x14ac:dyDescent="0.25">
      <c r="A128" t="s">
        <v>67</v>
      </c>
      <c r="B128" s="1" t="s">
        <v>6</v>
      </c>
      <c r="C128" s="9">
        <v>155534538</v>
      </c>
    </row>
    <row r="129" spans="1:3" x14ac:dyDescent="0.25">
      <c r="A129" t="s">
        <v>67</v>
      </c>
      <c r="B129" s="1" t="s">
        <v>7</v>
      </c>
      <c r="C129" s="9">
        <v>152759234</v>
      </c>
    </row>
    <row r="130" spans="1:3" x14ac:dyDescent="0.25">
      <c r="A130" t="s">
        <v>67</v>
      </c>
      <c r="B130" s="1" t="s">
        <v>8</v>
      </c>
      <c r="C130" s="9">
        <v>160250986</v>
      </c>
    </row>
    <row r="131" spans="1:3" x14ac:dyDescent="0.25">
      <c r="A131" t="s">
        <v>67</v>
      </c>
      <c r="B131" s="1" t="s">
        <v>9</v>
      </c>
      <c r="C131" s="9">
        <v>147629882</v>
      </c>
    </row>
    <row r="132" spans="1:3" x14ac:dyDescent="0.25">
      <c r="A132" t="s">
        <v>67</v>
      </c>
      <c r="B132" s="1" t="s">
        <v>10</v>
      </c>
      <c r="C132" s="9">
        <v>154908997</v>
      </c>
    </row>
    <row r="133" spans="1:3" x14ac:dyDescent="0.25">
      <c r="A133" t="s">
        <v>67</v>
      </c>
      <c r="B133" s="1" t="s">
        <v>11</v>
      </c>
      <c r="C133" s="9">
        <v>161264340</v>
      </c>
    </row>
    <row r="134" spans="1:3" x14ac:dyDescent="0.25">
      <c r="A134" t="s">
        <v>67</v>
      </c>
      <c r="B134" s="1" t="s">
        <v>12</v>
      </c>
      <c r="C134" s="9">
        <v>167261064</v>
      </c>
    </row>
    <row r="135" spans="1:3" x14ac:dyDescent="0.25">
      <c r="A135" t="s">
        <v>67</v>
      </c>
      <c r="B135" s="1" t="s">
        <v>13</v>
      </c>
      <c r="C135" s="9">
        <v>157837069</v>
      </c>
    </row>
    <row r="136" spans="1:3" x14ac:dyDescent="0.25">
      <c r="A136" t="s">
        <v>67</v>
      </c>
      <c r="B136" s="1" t="s">
        <v>14</v>
      </c>
      <c r="C136" s="9">
        <v>166635675</v>
      </c>
    </row>
    <row r="137" spans="1:3" x14ac:dyDescent="0.25">
      <c r="A137" t="s">
        <v>67</v>
      </c>
      <c r="B137" s="1" t="s">
        <v>15</v>
      </c>
      <c r="C137" s="9">
        <v>197574403</v>
      </c>
    </row>
    <row r="138" spans="1:3" x14ac:dyDescent="0.25">
      <c r="A138" t="s">
        <v>67</v>
      </c>
      <c r="B138" s="1" t="s">
        <v>16</v>
      </c>
      <c r="C138" s="9">
        <v>203327872</v>
      </c>
    </row>
    <row r="139" spans="1:3" x14ac:dyDescent="0.25">
      <c r="A139" t="s">
        <v>67</v>
      </c>
      <c r="B139" s="1" t="s">
        <v>17</v>
      </c>
      <c r="C139" s="9">
        <v>212912825</v>
      </c>
    </row>
    <row r="140" spans="1:3" x14ac:dyDescent="0.25">
      <c r="A140" t="s">
        <v>67</v>
      </c>
      <c r="B140" s="1" t="s">
        <v>18</v>
      </c>
      <c r="C140" s="9">
        <v>218796253</v>
      </c>
    </row>
    <row r="141" spans="1:3" x14ac:dyDescent="0.25">
      <c r="A141" t="s">
        <v>67</v>
      </c>
      <c r="B141" s="1" t="s">
        <v>19</v>
      </c>
      <c r="C141" s="9">
        <v>234379042</v>
      </c>
    </row>
    <row r="142" spans="1:3" x14ac:dyDescent="0.25">
      <c r="A142" t="s">
        <v>67</v>
      </c>
      <c r="B142" s="1" t="s">
        <v>20</v>
      </c>
      <c r="C142" s="10" t="s">
        <v>101</v>
      </c>
    </row>
    <row r="143" spans="1:3" x14ac:dyDescent="0.25">
      <c r="A143" t="s">
        <v>67</v>
      </c>
      <c r="B143" s="1" t="s">
        <v>21</v>
      </c>
      <c r="C143" s="10" t="s">
        <v>102</v>
      </c>
    </row>
    <row r="144" spans="1:3" x14ac:dyDescent="0.25">
      <c r="A144" t="s">
        <v>67</v>
      </c>
      <c r="B144" s="1" t="s">
        <v>22</v>
      </c>
      <c r="C144" s="10" t="s">
        <v>103</v>
      </c>
    </row>
    <row r="145" spans="1:3" x14ac:dyDescent="0.25">
      <c r="A145" s="6" t="s">
        <v>67</v>
      </c>
      <c r="B145" s="1" t="s">
        <v>23</v>
      </c>
      <c r="C145" s="8">
        <v>255112471</v>
      </c>
    </row>
    <row r="146" spans="1:3" x14ac:dyDescent="0.25">
      <c r="A146" t="s">
        <v>68</v>
      </c>
      <c r="B146" s="1" t="s">
        <v>60</v>
      </c>
      <c r="C146" s="9">
        <v>674303286</v>
      </c>
    </row>
    <row r="147" spans="1:3" x14ac:dyDescent="0.25">
      <c r="A147" t="s">
        <v>68</v>
      </c>
      <c r="B147" s="1" t="s">
        <v>61</v>
      </c>
      <c r="C147" s="9">
        <v>723875801</v>
      </c>
    </row>
    <row r="148" spans="1:3" x14ac:dyDescent="0.25">
      <c r="A148" t="s">
        <v>68</v>
      </c>
      <c r="B148" s="1" t="s">
        <v>62</v>
      </c>
      <c r="C148" s="7">
        <v>725518013</v>
      </c>
    </row>
    <row r="149" spans="1:3" x14ac:dyDescent="0.25">
      <c r="A149" t="s">
        <v>68</v>
      </c>
      <c r="B149" s="1" t="s">
        <v>3</v>
      </c>
      <c r="C149" s="9">
        <v>734705608</v>
      </c>
    </row>
    <row r="150" spans="1:3" x14ac:dyDescent="0.25">
      <c r="A150" t="s">
        <v>68</v>
      </c>
      <c r="B150" s="1" t="s">
        <v>4</v>
      </c>
      <c r="C150" s="9">
        <v>745043491</v>
      </c>
    </row>
    <row r="151" spans="1:3" x14ac:dyDescent="0.25">
      <c r="A151" t="s">
        <v>68</v>
      </c>
      <c r="B151" s="1" t="s">
        <v>5</v>
      </c>
      <c r="C151" s="9">
        <v>776590042</v>
      </c>
    </row>
    <row r="152" spans="1:3" x14ac:dyDescent="0.25">
      <c r="A152" t="s">
        <v>68</v>
      </c>
      <c r="B152" s="1" t="s">
        <v>6</v>
      </c>
      <c r="C152" s="9">
        <v>783814134</v>
      </c>
    </row>
    <row r="153" spans="1:3" x14ac:dyDescent="0.25">
      <c r="A153" t="s">
        <v>68</v>
      </c>
      <c r="B153" s="1" t="s">
        <v>7</v>
      </c>
      <c r="C153" s="9">
        <v>808648119</v>
      </c>
    </row>
    <row r="154" spans="1:3" x14ac:dyDescent="0.25">
      <c r="A154" t="s">
        <v>68</v>
      </c>
      <c r="B154" s="1" t="s">
        <v>8</v>
      </c>
      <c r="C154" s="9">
        <v>814559087</v>
      </c>
    </row>
    <row r="155" spans="1:3" x14ac:dyDescent="0.25">
      <c r="A155" t="s">
        <v>68</v>
      </c>
      <c r="B155" s="1" t="s">
        <v>9</v>
      </c>
      <c r="C155" s="9">
        <v>853642798</v>
      </c>
    </row>
    <row r="156" spans="1:3" x14ac:dyDescent="0.25">
      <c r="A156" t="s">
        <v>68</v>
      </c>
      <c r="B156" s="1" t="s">
        <v>10</v>
      </c>
      <c r="C156" s="9">
        <v>875677023</v>
      </c>
    </row>
    <row r="157" spans="1:3" x14ac:dyDescent="0.25">
      <c r="A157" t="s">
        <v>68</v>
      </c>
      <c r="B157" s="1" t="s">
        <v>11</v>
      </c>
      <c r="C157" s="9">
        <v>899035962</v>
      </c>
    </row>
    <row r="158" spans="1:3" x14ac:dyDescent="0.25">
      <c r="A158" t="s">
        <v>68</v>
      </c>
      <c r="B158" s="1" t="s">
        <v>12</v>
      </c>
      <c r="C158" s="9">
        <v>953701928</v>
      </c>
    </row>
    <row r="159" spans="1:3" x14ac:dyDescent="0.25">
      <c r="A159" t="s">
        <v>68</v>
      </c>
      <c r="B159" s="1" t="s">
        <v>13</v>
      </c>
      <c r="C159" s="9">
        <v>957694444</v>
      </c>
    </row>
    <row r="160" spans="1:3" x14ac:dyDescent="0.25">
      <c r="A160" t="s">
        <v>68</v>
      </c>
      <c r="B160" s="1" t="s">
        <v>14</v>
      </c>
      <c r="C160" s="9">
        <v>985845932</v>
      </c>
    </row>
    <row r="161" spans="1:3" x14ac:dyDescent="0.25">
      <c r="A161" t="s">
        <v>68</v>
      </c>
      <c r="B161" s="1" t="s">
        <v>15</v>
      </c>
      <c r="C161" s="9">
        <v>1056362108</v>
      </c>
    </row>
    <row r="162" spans="1:3" x14ac:dyDescent="0.25">
      <c r="A162" t="s">
        <v>68</v>
      </c>
      <c r="B162" s="1" t="s">
        <v>16</v>
      </c>
      <c r="C162" s="9">
        <v>1071238142</v>
      </c>
    </row>
    <row r="163" spans="1:3" x14ac:dyDescent="0.25">
      <c r="A163" t="s">
        <v>68</v>
      </c>
      <c r="B163" s="1" t="s">
        <v>17</v>
      </c>
      <c r="C163" s="9">
        <v>1109512267</v>
      </c>
    </row>
    <row r="164" spans="1:3" x14ac:dyDescent="0.25">
      <c r="A164" t="s">
        <v>68</v>
      </c>
      <c r="B164" s="1" t="s">
        <v>18</v>
      </c>
      <c r="C164" s="9">
        <v>1148850342</v>
      </c>
    </row>
    <row r="165" spans="1:3" x14ac:dyDescent="0.25">
      <c r="A165" t="s">
        <v>68</v>
      </c>
      <c r="B165" s="1" t="s">
        <v>19</v>
      </c>
      <c r="C165" s="7">
        <v>1205491799</v>
      </c>
    </row>
    <row r="166" spans="1:3" x14ac:dyDescent="0.25">
      <c r="A166" t="s">
        <v>68</v>
      </c>
      <c r="B166" s="1" t="s">
        <v>20</v>
      </c>
      <c r="C166" s="10" t="s">
        <v>104</v>
      </c>
    </row>
    <row r="167" spans="1:3" x14ac:dyDescent="0.25">
      <c r="A167" t="s">
        <v>68</v>
      </c>
      <c r="B167" s="1" t="s">
        <v>21</v>
      </c>
      <c r="C167" s="10" t="s">
        <v>105</v>
      </c>
    </row>
    <row r="168" spans="1:3" x14ac:dyDescent="0.25">
      <c r="A168" t="s">
        <v>68</v>
      </c>
      <c r="B168" s="1" t="s">
        <v>22</v>
      </c>
      <c r="C168" s="10" t="s">
        <v>106</v>
      </c>
    </row>
    <row r="169" spans="1:3" x14ac:dyDescent="0.25">
      <c r="A169" t="s">
        <v>68</v>
      </c>
      <c r="B169" s="1" t="s">
        <v>23</v>
      </c>
      <c r="C169" s="7">
        <v>1283366355</v>
      </c>
    </row>
    <row r="170" spans="1:3" x14ac:dyDescent="0.25">
      <c r="A170" t="s">
        <v>69</v>
      </c>
      <c r="B170" s="1" t="s">
        <v>60</v>
      </c>
      <c r="C170" s="2">
        <v>153251450</v>
      </c>
    </row>
    <row r="171" spans="1:3" x14ac:dyDescent="0.25">
      <c r="A171" t="s">
        <v>69</v>
      </c>
      <c r="B171" s="1" t="s">
        <v>61</v>
      </c>
      <c r="C171" s="2">
        <v>159007354</v>
      </c>
    </row>
    <row r="172" spans="1:3" x14ac:dyDescent="0.25">
      <c r="A172" t="s">
        <v>69</v>
      </c>
      <c r="B172" s="1" t="s">
        <v>62</v>
      </c>
      <c r="C172" s="2">
        <v>156614156</v>
      </c>
    </row>
    <row r="173" spans="1:3" x14ac:dyDescent="0.25">
      <c r="A173" t="s">
        <v>69</v>
      </c>
      <c r="B173" s="1" t="s">
        <v>3</v>
      </c>
      <c r="C173" s="2">
        <v>159899681</v>
      </c>
    </row>
    <row r="174" spans="1:3" x14ac:dyDescent="0.25">
      <c r="A174" t="s">
        <v>69</v>
      </c>
      <c r="B174" s="1" t="s">
        <v>4</v>
      </c>
      <c r="C174" s="2">
        <v>160883617</v>
      </c>
    </row>
    <row r="175" spans="1:3" x14ac:dyDescent="0.25">
      <c r="A175" t="s">
        <v>69</v>
      </c>
      <c r="B175" s="1" t="s">
        <v>5</v>
      </c>
      <c r="C175" s="2">
        <v>155896565</v>
      </c>
    </row>
    <row r="176" spans="1:3" x14ac:dyDescent="0.25">
      <c r="A176" t="s">
        <v>69</v>
      </c>
      <c r="B176" s="1" t="s">
        <v>6</v>
      </c>
      <c r="C176" s="2">
        <v>157955044</v>
      </c>
    </row>
    <row r="177" spans="1:3" x14ac:dyDescent="0.25">
      <c r="A177" t="s">
        <v>69</v>
      </c>
      <c r="B177" s="1" t="s">
        <v>7</v>
      </c>
      <c r="C177" s="2">
        <v>163236041</v>
      </c>
    </row>
    <row r="178" spans="1:3" x14ac:dyDescent="0.25">
      <c r="A178" t="s">
        <v>69</v>
      </c>
      <c r="B178" s="1" t="s">
        <v>8</v>
      </c>
      <c r="C178" s="2">
        <v>173997784</v>
      </c>
    </row>
    <row r="179" spans="1:3" x14ac:dyDescent="0.25">
      <c r="A179" t="s">
        <v>69</v>
      </c>
      <c r="B179" s="1" t="s">
        <v>9</v>
      </c>
      <c r="C179" s="2">
        <v>169266124</v>
      </c>
    </row>
    <row r="180" spans="1:3" x14ac:dyDescent="0.25">
      <c r="A180" t="s">
        <v>69</v>
      </c>
      <c r="B180" s="1" t="s">
        <v>10</v>
      </c>
      <c r="C180" s="2">
        <v>163721487</v>
      </c>
    </row>
    <row r="181" spans="1:3" x14ac:dyDescent="0.25">
      <c r="A181" t="s">
        <v>69</v>
      </c>
      <c r="B181" s="1" t="s">
        <v>11</v>
      </c>
      <c r="C181" s="2">
        <v>154703225</v>
      </c>
    </row>
    <row r="182" spans="1:3" x14ac:dyDescent="0.25">
      <c r="A182" t="s">
        <v>69</v>
      </c>
      <c r="B182" s="1" t="s">
        <v>12</v>
      </c>
      <c r="C182" s="2">
        <v>167608969</v>
      </c>
    </row>
    <row r="183" spans="1:3" x14ac:dyDescent="0.25">
      <c r="A183" t="s">
        <v>69</v>
      </c>
      <c r="B183" s="1" t="s">
        <v>13</v>
      </c>
      <c r="C183" s="2">
        <v>151741055</v>
      </c>
    </row>
    <row r="184" spans="1:3" x14ac:dyDescent="0.25">
      <c r="A184" t="s">
        <v>69</v>
      </c>
      <c r="B184" s="1" t="s">
        <v>14</v>
      </c>
      <c r="C184" s="2">
        <v>166139379</v>
      </c>
    </row>
    <row r="185" spans="1:3" x14ac:dyDescent="0.25">
      <c r="A185" t="s">
        <v>69</v>
      </c>
      <c r="B185" s="1" t="s">
        <v>15</v>
      </c>
      <c r="C185" s="2">
        <v>162579069</v>
      </c>
    </row>
    <row r="186" spans="1:3" x14ac:dyDescent="0.25">
      <c r="A186" t="s">
        <v>69</v>
      </c>
      <c r="B186" s="1" t="s">
        <v>16</v>
      </c>
      <c r="C186" s="2">
        <v>164370126</v>
      </c>
    </row>
    <row r="187" spans="1:3" x14ac:dyDescent="0.25">
      <c r="A187" t="s">
        <v>69</v>
      </c>
      <c r="B187" s="1" t="s">
        <v>17</v>
      </c>
      <c r="C187" s="2">
        <v>152055984</v>
      </c>
    </row>
    <row r="188" spans="1:3" x14ac:dyDescent="0.25">
      <c r="A188" t="s">
        <v>69</v>
      </c>
      <c r="B188" s="1" t="s">
        <v>18</v>
      </c>
      <c r="C188" s="2">
        <v>144079298</v>
      </c>
    </row>
    <row r="189" spans="1:3" x14ac:dyDescent="0.25">
      <c r="A189" t="s">
        <v>69</v>
      </c>
      <c r="B189" s="1" t="s">
        <v>19</v>
      </c>
      <c r="C189" s="2">
        <v>157962140</v>
      </c>
    </row>
    <row r="190" spans="1:3" x14ac:dyDescent="0.25">
      <c r="A190" t="s">
        <v>69</v>
      </c>
      <c r="B190" s="1" t="s">
        <v>20</v>
      </c>
      <c r="C190" s="10" t="s">
        <v>107</v>
      </c>
    </row>
    <row r="191" spans="1:3" x14ac:dyDescent="0.25">
      <c r="A191" t="s">
        <v>69</v>
      </c>
      <c r="B191" s="1" t="s">
        <v>21</v>
      </c>
      <c r="C191" s="10" t="s">
        <v>108</v>
      </c>
    </row>
    <row r="192" spans="1:3" x14ac:dyDescent="0.25">
      <c r="A192" t="s">
        <v>69</v>
      </c>
      <c r="B192" s="1" t="s">
        <v>22</v>
      </c>
      <c r="C192" s="10" t="s">
        <v>109</v>
      </c>
    </row>
    <row r="193" spans="1:3" x14ac:dyDescent="0.25">
      <c r="A193" t="s">
        <v>69</v>
      </c>
      <c r="B193" s="1" t="s">
        <v>23</v>
      </c>
      <c r="C193" s="7">
        <v>148946390</v>
      </c>
    </row>
    <row r="194" spans="1:3" x14ac:dyDescent="0.25">
      <c r="A194" t="s">
        <v>70</v>
      </c>
      <c r="B194" s="1" t="s">
        <v>60</v>
      </c>
      <c r="C194" s="2">
        <v>190691526</v>
      </c>
    </row>
    <row r="195" spans="1:3" x14ac:dyDescent="0.25">
      <c r="A195" t="s">
        <v>70</v>
      </c>
      <c r="B195" s="1" t="s">
        <v>61</v>
      </c>
      <c r="C195" s="2">
        <v>193305789</v>
      </c>
    </row>
    <row r="196" spans="1:3" x14ac:dyDescent="0.25">
      <c r="A196" t="s">
        <v>70</v>
      </c>
      <c r="B196" s="1" t="s">
        <v>62</v>
      </c>
      <c r="C196" s="2">
        <v>195373679</v>
      </c>
    </row>
    <row r="197" spans="1:3" x14ac:dyDescent="0.25">
      <c r="A197" t="s">
        <v>70</v>
      </c>
      <c r="B197" s="1" t="s">
        <v>3</v>
      </c>
      <c r="C197" s="2">
        <v>196630282</v>
      </c>
    </row>
    <row r="198" spans="1:3" x14ac:dyDescent="0.25">
      <c r="A198" t="s">
        <v>70</v>
      </c>
      <c r="B198" s="1" t="s">
        <v>4</v>
      </c>
      <c r="C198" s="2">
        <v>197923174</v>
      </c>
    </row>
    <row r="199" spans="1:3" x14ac:dyDescent="0.25">
      <c r="A199" t="s">
        <v>70</v>
      </c>
      <c r="B199" s="1" t="s">
        <v>5</v>
      </c>
      <c r="C199" s="2">
        <v>189452263</v>
      </c>
    </row>
    <row r="200" spans="1:3" x14ac:dyDescent="0.25">
      <c r="A200" t="s">
        <v>70</v>
      </c>
      <c r="B200" s="1" t="s">
        <v>6</v>
      </c>
      <c r="C200" s="2">
        <v>186831938</v>
      </c>
    </row>
    <row r="201" spans="1:3" x14ac:dyDescent="0.25">
      <c r="A201" t="s">
        <v>70</v>
      </c>
      <c r="B201" s="1" t="s">
        <v>7</v>
      </c>
      <c r="C201" s="2">
        <v>188898490</v>
      </c>
    </row>
    <row r="202" spans="1:3" x14ac:dyDescent="0.25">
      <c r="A202" t="s">
        <v>70</v>
      </c>
      <c r="B202" s="1" t="s">
        <v>8</v>
      </c>
      <c r="C202" s="2">
        <v>192838094</v>
      </c>
    </row>
    <row r="203" spans="1:3" x14ac:dyDescent="0.25">
      <c r="A203" t="s">
        <v>70</v>
      </c>
      <c r="B203" s="1" t="s">
        <v>9</v>
      </c>
      <c r="C203" s="2">
        <v>193984292</v>
      </c>
    </row>
    <row r="204" spans="1:3" x14ac:dyDescent="0.25">
      <c r="A204" t="s">
        <v>70</v>
      </c>
      <c r="B204" s="1" t="s">
        <v>10</v>
      </c>
      <c r="C204" s="2">
        <v>192939358</v>
      </c>
    </row>
    <row r="205" spans="1:3" x14ac:dyDescent="0.25">
      <c r="A205" t="s">
        <v>70</v>
      </c>
      <c r="B205" s="1" t="s">
        <v>11</v>
      </c>
      <c r="C205" s="2">
        <v>190252348</v>
      </c>
    </row>
    <row r="206" spans="1:3" x14ac:dyDescent="0.25">
      <c r="A206" t="s">
        <v>70</v>
      </c>
      <c r="B206" s="1" t="s">
        <v>12</v>
      </c>
      <c r="C206" s="7">
        <v>185132358</v>
      </c>
    </row>
    <row r="207" spans="1:3" x14ac:dyDescent="0.25">
      <c r="A207" t="s">
        <v>70</v>
      </c>
      <c r="B207" s="1" t="s">
        <v>13</v>
      </c>
      <c r="C207" s="9">
        <v>192810389</v>
      </c>
    </row>
    <row r="208" spans="1:3" x14ac:dyDescent="0.25">
      <c r="A208" t="s">
        <v>70</v>
      </c>
      <c r="B208" s="1" t="s">
        <v>14</v>
      </c>
      <c r="C208" s="9">
        <v>198216614</v>
      </c>
    </row>
    <row r="209" spans="1:3" x14ac:dyDescent="0.25">
      <c r="A209" t="s">
        <v>70</v>
      </c>
      <c r="B209" s="1" t="s">
        <v>15</v>
      </c>
      <c r="C209" s="9">
        <v>201319549</v>
      </c>
    </row>
    <row r="210" spans="1:3" x14ac:dyDescent="0.25">
      <c r="A210" t="s">
        <v>70</v>
      </c>
      <c r="B210" s="1" t="s">
        <v>16</v>
      </c>
      <c r="C210" s="9">
        <v>190948316</v>
      </c>
    </row>
    <row r="211" spans="1:3" x14ac:dyDescent="0.25">
      <c r="A211" t="s">
        <v>70</v>
      </c>
      <c r="B211" s="1" t="s">
        <v>17</v>
      </c>
      <c r="C211" s="9">
        <v>189958177</v>
      </c>
    </row>
    <row r="212" spans="1:3" x14ac:dyDescent="0.25">
      <c r="A212" t="s">
        <v>70</v>
      </c>
      <c r="B212" s="1" t="s">
        <v>18</v>
      </c>
      <c r="C212" s="9">
        <v>184798507</v>
      </c>
    </row>
    <row r="213" spans="1:3" x14ac:dyDescent="0.25">
      <c r="A213" t="s">
        <v>70</v>
      </c>
      <c r="B213" s="1" t="s">
        <v>19</v>
      </c>
      <c r="C213" s="9">
        <v>190667695</v>
      </c>
    </row>
    <row r="214" spans="1:3" x14ac:dyDescent="0.25">
      <c r="A214" t="s">
        <v>70</v>
      </c>
      <c r="B214" s="1" t="s">
        <v>20</v>
      </c>
      <c r="C214" s="10" t="s">
        <v>110</v>
      </c>
    </row>
    <row r="215" spans="1:3" x14ac:dyDescent="0.25">
      <c r="A215" t="s">
        <v>70</v>
      </c>
      <c r="B215" s="1" t="s">
        <v>21</v>
      </c>
      <c r="C215" s="10" t="s">
        <v>111</v>
      </c>
    </row>
    <row r="216" spans="1:3" x14ac:dyDescent="0.25">
      <c r="A216" t="s">
        <v>70</v>
      </c>
      <c r="B216" s="1" t="s">
        <v>22</v>
      </c>
      <c r="C216" s="10" t="s">
        <v>112</v>
      </c>
    </row>
    <row r="217" spans="1:3" x14ac:dyDescent="0.25">
      <c r="A217" s="6" t="s">
        <v>70</v>
      </c>
      <c r="B217" s="1" t="s">
        <v>23</v>
      </c>
      <c r="C217" s="8">
        <v>193649452</v>
      </c>
    </row>
    <row r="218" spans="1:3" x14ac:dyDescent="0.25">
      <c r="A218" t="s">
        <v>71</v>
      </c>
      <c r="B218" s="1" t="s">
        <v>60</v>
      </c>
      <c r="C218" s="9">
        <v>232771169</v>
      </c>
    </row>
    <row r="219" spans="1:3" x14ac:dyDescent="0.25">
      <c r="A219" t="s">
        <v>71</v>
      </c>
      <c r="B219" s="1" t="s">
        <v>61</v>
      </c>
      <c r="C219" s="9">
        <v>238302102</v>
      </c>
    </row>
    <row r="220" spans="1:3" x14ac:dyDescent="0.25">
      <c r="A220" t="s">
        <v>71</v>
      </c>
      <c r="B220" s="1" t="s">
        <v>62</v>
      </c>
      <c r="C220" s="9">
        <v>249300982</v>
      </c>
    </row>
    <row r="221" spans="1:3" x14ac:dyDescent="0.25">
      <c r="A221" t="s">
        <v>71</v>
      </c>
      <c r="B221" s="1" t="s">
        <v>3</v>
      </c>
      <c r="C221" s="9">
        <v>264160781</v>
      </c>
    </row>
    <row r="222" spans="1:3" x14ac:dyDescent="0.25">
      <c r="A222" t="s">
        <v>71</v>
      </c>
      <c r="B222" s="1" t="s">
        <v>4</v>
      </c>
      <c r="C222" s="9">
        <v>255689959</v>
      </c>
    </row>
    <row r="223" spans="1:3" x14ac:dyDescent="0.25">
      <c r="A223" t="s">
        <v>71</v>
      </c>
      <c r="B223" s="1" t="s">
        <v>5</v>
      </c>
      <c r="C223" s="9">
        <v>258587594</v>
      </c>
    </row>
    <row r="224" spans="1:3" x14ac:dyDescent="0.25">
      <c r="A224" t="s">
        <v>71</v>
      </c>
      <c r="B224" s="1" t="s">
        <v>6</v>
      </c>
      <c r="C224" s="9">
        <v>259070857</v>
      </c>
    </row>
    <row r="225" spans="1:3" x14ac:dyDescent="0.25">
      <c r="A225" t="s">
        <v>71</v>
      </c>
      <c r="B225" s="1" t="s">
        <v>7</v>
      </c>
      <c r="C225" s="9">
        <v>265273866</v>
      </c>
    </row>
    <row r="226" spans="1:3" x14ac:dyDescent="0.25">
      <c r="A226" t="s">
        <v>71</v>
      </c>
      <c r="B226" s="1" t="s">
        <v>8</v>
      </c>
      <c r="C226" s="9">
        <v>261262096</v>
      </c>
    </row>
    <row r="227" spans="1:3" x14ac:dyDescent="0.25">
      <c r="A227" t="s">
        <v>71</v>
      </c>
      <c r="B227" s="1" t="s">
        <v>9</v>
      </c>
      <c r="C227" s="9">
        <v>270190664</v>
      </c>
    </row>
    <row r="228" spans="1:3" x14ac:dyDescent="0.25">
      <c r="A228" t="s">
        <v>71</v>
      </c>
      <c r="B228" s="1" t="s">
        <v>10</v>
      </c>
      <c r="C228" s="9">
        <v>260881792</v>
      </c>
    </row>
    <row r="229" spans="1:3" x14ac:dyDescent="0.25">
      <c r="A229" t="s">
        <v>71</v>
      </c>
      <c r="B229" s="1" t="s">
        <v>11</v>
      </c>
      <c r="C229" s="9">
        <v>272442016</v>
      </c>
    </row>
    <row r="230" spans="1:3" x14ac:dyDescent="0.25">
      <c r="A230" t="s">
        <v>71</v>
      </c>
      <c r="B230" s="1" t="s">
        <v>12</v>
      </c>
      <c r="C230" s="9">
        <v>271885773</v>
      </c>
    </row>
    <row r="231" spans="1:3" x14ac:dyDescent="0.25">
      <c r="A231" t="s">
        <v>71</v>
      </c>
      <c r="B231" s="1" t="s">
        <v>13</v>
      </c>
      <c r="C231" s="9">
        <v>272039821</v>
      </c>
    </row>
    <row r="232" spans="1:3" x14ac:dyDescent="0.25">
      <c r="A232" t="s">
        <v>71</v>
      </c>
      <c r="B232" s="1" t="s">
        <v>14</v>
      </c>
      <c r="C232" s="9">
        <v>279200462</v>
      </c>
    </row>
    <row r="233" spans="1:3" x14ac:dyDescent="0.25">
      <c r="A233" t="s">
        <v>71</v>
      </c>
      <c r="B233" s="1" t="s">
        <v>15</v>
      </c>
      <c r="C233" s="9">
        <v>278674061</v>
      </c>
    </row>
    <row r="234" spans="1:3" x14ac:dyDescent="0.25">
      <c r="A234" t="s">
        <v>71</v>
      </c>
      <c r="B234" s="1" t="s">
        <v>16</v>
      </c>
      <c r="C234" s="9">
        <v>270049711</v>
      </c>
    </row>
    <row r="235" spans="1:3" x14ac:dyDescent="0.25">
      <c r="A235" t="s">
        <v>71</v>
      </c>
      <c r="B235" s="1" t="s">
        <v>17</v>
      </c>
      <c r="C235" s="9">
        <v>286367574</v>
      </c>
    </row>
    <row r="236" spans="1:3" x14ac:dyDescent="0.25">
      <c r="A236" t="s">
        <v>71</v>
      </c>
      <c r="B236" s="1" t="s">
        <v>18</v>
      </c>
      <c r="C236" s="9">
        <v>292786766</v>
      </c>
    </row>
    <row r="237" spans="1:3" x14ac:dyDescent="0.25">
      <c r="A237" t="s">
        <v>71</v>
      </c>
      <c r="B237" s="1" t="s">
        <v>19</v>
      </c>
      <c r="C237" s="9">
        <v>307243611</v>
      </c>
    </row>
    <row r="238" spans="1:3" x14ac:dyDescent="0.25">
      <c r="A238" t="s">
        <v>71</v>
      </c>
      <c r="B238" s="1" t="s">
        <v>20</v>
      </c>
      <c r="C238" s="10" t="s">
        <v>113</v>
      </c>
    </row>
    <row r="239" spans="1:3" x14ac:dyDescent="0.25">
      <c r="A239" t="s">
        <v>71</v>
      </c>
      <c r="B239" s="1" t="s">
        <v>21</v>
      </c>
      <c r="C239" s="10" t="s">
        <v>114</v>
      </c>
    </row>
    <row r="240" spans="1:3" x14ac:dyDescent="0.25">
      <c r="A240" t="s">
        <v>71</v>
      </c>
      <c r="B240" s="1" t="s">
        <v>22</v>
      </c>
      <c r="C240" s="10" t="s">
        <v>115</v>
      </c>
    </row>
    <row r="241" spans="1:3" x14ac:dyDescent="0.25">
      <c r="A241" t="s">
        <v>71</v>
      </c>
      <c r="B241" s="1" t="s">
        <v>23</v>
      </c>
      <c r="C241" s="7">
        <v>301515827</v>
      </c>
    </row>
    <row r="242" spans="1:3" x14ac:dyDescent="0.25">
      <c r="A242" t="s">
        <v>72</v>
      </c>
      <c r="B242" s="1" t="s">
        <v>60</v>
      </c>
      <c r="C242" s="10" t="s">
        <v>116</v>
      </c>
    </row>
    <row r="243" spans="1:3" x14ac:dyDescent="0.25">
      <c r="A243" t="s">
        <v>72</v>
      </c>
      <c r="B243" s="1" t="s">
        <v>61</v>
      </c>
      <c r="C243" s="10" t="s">
        <v>117</v>
      </c>
    </row>
    <row r="244" spans="1:3" x14ac:dyDescent="0.25">
      <c r="A244" t="s">
        <v>72</v>
      </c>
      <c r="B244" s="1" t="s">
        <v>62</v>
      </c>
      <c r="C244" s="10" t="s">
        <v>118</v>
      </c>
    </row>
    <row r="245" spans="1:3" x14ac:dyDescent="0.25">
      <c r="A245" t="s">
        <v>72</v>
      </c>
      <c r="B245" s="1" t="s">
        <v>3</v>
      </c>
      <c r="C245" s="10" t="s">
        <v>119</v>
      </c>
    </row>
    <row r="246" spans="1:3" x14ac:dyDescent="0.25">
      <c r="A246" t="s">
        <v>72</v>
      </c>
      <c r="B246" s="1" t="s">
        <v>4</v>
      </c>
      <c r="C246" s="10" t="s">
        <v>120</v>
      </c>
    </row>
    <row r="247" spans="1:3" x14ac:dyDescent="0.25">
      <c r="A247" t="s">
        <v>72</v>
      </c>
      <c r="B247" s="1" t="s">
        <v>5</v>
      </c>
      <c r="C247" s="10" t="s">
        <v>121</v>
      </c>
    </row>
    <row r="248" spans="1:3" x14ac:dyDescent="0.25">
      <c r="A248" t="s">
        <v>72</v>
      </c>
      <c r="B248" s="1" t="s">
        <v>6</v>
      </c>
      <c r="C248" s="10" t="s">
        <v>122</v>
      </c>
    </row>
    <row r="249" spans="1:3" x14ac:dyDescent="0.25">
      <c r="A249" t="s">
        <v>72</v>
      </c>
      <c r="B249" s="1" t="s">
        <v>7</v>
      </c>
      <c r="C249" s="10" t="s">
        <v>123</v>
      </c>
    </row>
    <row r="250" spans="1:3" x14ac:dyDescent="0.25">
      <c r="A250" t="s">
        <v>72</v>
      </c>
      <c r="B250" s="1" t="s">
        <v>8</v>
      </c>
      <c r="C250" s="10" t="s">
        <v>124</v>
      </c>
    </row>
    <row r="251" spans="1:3" x14ac:dyDescent="0.25">
      <c r="A251" t="s">
        <v>72</v>
      </c>
      <c r="B251" s="1" t="s">
        <v>9</v>
      </c>
      <c r="C251" s="10" t="s">
        <v>125</v>
      </c>
    </row>
    <row r="252" spans="1:3" x14ac:dyDescent="0.25">
      <c r="A252" t="s">
        <v>72</v>
      </c>
      <c r="B252" s="1" t="s">
        <v>10</v>
      </c>
      <c r="C252" s="10" t="s">
        <v>126</v>
      </c>
    </row>
    <row r="253" spans="1:3" x14ac:dyDescent="0.25">
      <c r="A253" t="s">
        <v>72</v>
      </c>
      <c r="B253" s="1" t="s">
        <v>11</v>
      </c>
      <c r="C253" s="10" t="s">
        <v>127</v>
      </c>
    </row>
    <row r="254" spans="1:3" x14ac:dyDescent="0.25">
      <c r="A254" t="s">
        <v>72</v>
      </c>
      <c r="B254" s="1" t="s">
        <v>12</v>
      </c>
      <c r="C254" s="10" t="s">
        <v>128</v>
      </c>
    </row>
    <row r="255" spans="1:3" x14ac:dyDescent="0.25">
      <c r="A255" t="s">
        <v>72</v>
      </c>
      <c r="B255" s="1" t="s">
        <v>13</v>
      </c>
      <c r="C255" s="10" t="s">
        <v>129</v>
      </c>
    </row>
    <row r="256" spans="1:3" x14ac:dyDescent="0.25">
      <c r="A256" t="s">
        <v>72</v>
      </c>
      <c r="B256" s="1" t="s">
        <v>14</v>
      </c>
      <c r="C256" s="10" t="s">
        <v>130</v>
      </c>
    </row>
    <row r="257" spans="1:3" x14ac:dyDescent="0.25">
      <c r="A257" t="s">
        <v>72</v>
      </c>
      <c r="B257" s="1" t="s">
        <v>15</v>
      </c>
      <c r="C257" s="10" t="s">
        <v>131</v>
      </c>
    </row>
    <row r="258" spans="1:3" x14ac:dyDescent="0.25">
      <c r="A258" t="s">
        <v>72</v>
      </c>
      <c r="B258" s="1" t="s">
        <v>16</v>
      </c>
      <c r="C258" s="10" t="s">
        <v>132</v>
      </c>
    </row>
    <row r="259" spans="1:3" x14ac:dyDescent="0.25">
      <c r="A259" t="s">
        <v>72</v>
      </c>
      <c r="B259" s="1" t="s">
        <v>17</v>
      </c>
      <c r="C259" s="10" t="s">
        <v>133</v>
      </c>
    </row>
    <row r="260" spans="1:3" x14ac:dyDescent="0.25">
      <c r="A260" t="s">
        <v>72</v>
      </c>
      <c r="B260" s="1" t="s">
        <v>18</v>
      </c>
      <c r="C260" s="10" t="s">
        <v>134</v>
      </c>
    </row>
    <row r="261" spans="1:3" x14ac:dyDescent="0.25">
      <c r="A261" t="s">
        <v>72</v>
      </c>
      <c r="B261" s="1" t="s">
        <v>19</v>
      </c>
      <c r="C261" s="10" t="s">
        <v>135</v>
      </c>
    </row>
    <row r="262" spans="1:3" x14ac:dyDescent="0.25">
      <c r="A262" t="s">
        <v>72</v>
      </c>
      <c r="B262" s="1" t="s">
        <v>20</v>
      </c>
      <c r="C262" s="10" t="s">
        <v>136</v>
      </c>
    </row>
    <row r="263" spans="1:3" x14ac:dyDescent="0.25">
      <c r="A263" t="s">
        <v>72</v>
      </c>
      <c r="B263" s="1" t="s">
        <v>21</v>
      </c>
      <c r="C263" s="10" t="s">
        <v>137</v>
      </c>
    </row>
    <row r="264" spans="1:3" x14ac:dyDescent="0.25">
      <c r="A264" t="s">
        <v>72</v>
      </c>
      <c r="B264" s="1" t="s">
        <v>22</v>
      </c>
      <c r="C264" s="10" t="s">
        <v>138</v>
      </c>
    </row>
    <row r="265" spans="1:3" x14ac:dyDescent="0.25">
      <c r="A265" t="s">
        <v>72</v>
      </c>
      <c r="B265" s="1" t="s">
        <v>23</v>
      </c>
      <c r="C265" s="8">
        <v>170338680</v>
      </c>
    </row>
    <row r="266" spans="1:3" x14ac:dyDescent="0.25">
      <c r="A266" t="s">
        <v>73</v>
      </c>
      <c r="B266" s="1" t="s">
        <v>60</v>
      </c>
      <c r="C266" s="2">
        <v>143944345</v>
      </c>
    </row>
    <row r="267" spans="1:3" x14ac:dyDescent="0.25">
      <c r="A267" t="s">
        <v>73</v>
      </c>
      <c r="B267" s="1" t="s">
        <v>61</v>
      </c>
      <c r="C267" s="2">
        <v>143419303</v>
      </c>
    </row>
    <row r="268" spans="1:3" x14ac:dyDescent="0.25">
      <c r="A268" t="s">
        <v>73</v>
      </c>
      <c r="B268" s="1" t="s">
        <v>62</v>
      </c>
      <c r="C268" s="2">
        <v>149762521</v>
      </c>
    </row>
    <row r="269" spans="1:3" x14ac:dyDescent="0.25">
      <c r="A269" t="s">
        <v>73</v>
      </c>
      <c r="B269" s="1" t="s">
        <v>3</v>
      </c>
      <c r="C269" s="2">
        <v>153773957</v>
      </c>
    </row>
    <row r="270" spans="1:3" x14ac:dyDescent="0.25">
      <c r="A270" t="s">
        <v>73</v>
      </c>
      <c r="B270" s="1" t="s">
        <v>4</v>
      </c>
      <c r="C270" s="2">
        <v>161554444</v>
      </c>
    </row>
    <row r="271" spans="1:3" x14ac:dyDescent="0.25">
      <c r="A271" t="s">
        <v>73</v>
      </c>
      <c r="B271" s="1" t="s">
        <v>5</v>
      </c>
      <c r="C271" s="2">
        <v>170301607</v>
      </c>
    </row>
    <row r="272" spans="1:3" x14ac:dyDescent="0.25">
      <c r="A272" t="s">
        <v>73</v>
      </c>
      <c r="B272" s="1" t="s">
        <v>6</v>
      </c>
      <c r="C272" s="2">
        <v>163994740</v>
      </c>
    </row>
    <row r="273" spans="1:3" x14ac:dyDescent="0.25">
      <c r="A273" t="s">
        <v>73</v>
      </c>
      <c r="B273" s="1" t="s">
        <v>7</v>
      </c>
      <c r="C273" s="2">
        <v>173582894</v>
      </c>
    </row>
    <row r="274" spans="1:3" x14ac:dyDescent="0.25">
      <c r="A274" t="s">
        <v>73</v>
      </c>
      <c r="B274" s="1" t="s">
        <v>8</v>
      </c>
      <c r="C274" s="2">
        <v>177528984</v>
      </c>
    </row>
    <row r="275" spans="1:3" x14ac:dyDescent="0.25">
      <c r="A275" t="s">
        <v>73</v>
      </c>
      <c r="B275" s="1" t="s">
        <v>9</v>
      </c>
      <c r="C275" s="2">
        <v>178044586</v>
      </c>
    </row>
    <row r="276" spans="1:3" x14ac:dyDescent="0.25">
      <c r="A276" t="s">
        <v>73</v>
      </c>
      <c r="B276" s="1" t="s">
        <v>10</v>
      </c>
      <c r="C276" s="2">
        <v>175449266</v>
      </c>
    </row>
    <row r="277" spans="1:3" x14ac:dyDescent="0.25">
      <c r="A277" t="s">
        <v>73</v>
      </c>
      <c r="B277" s="1" t="s">
        <v>11</v>
      </c>
      <c r="C277" s="2">
        <v>180809253</v>
      </c>
    </row>
    <row r="278" spans="1:3" x14ac:dyDescent="0.25">
      <c r="A278" t="s">
        <v>73</v>
      </c>
      <c r="B278" s="1" t="s">
        <v>12</v>
      </c>
      <c r="C278" s="2">
        <v>191542602</v>
      </c>
    </row>
    <row r="279" spans="1:3" x14ac:dyDescent="0.25">
      <c r="A279" t="s">
        <v>73</v>
      </c>
      <c r="B279" s="1" t="s">
        <v>13</v>
      </c>
      <c r="C279" s="2">
        <v>182216046</v>
      </c>
    </row>
    <row r="280" spans="1:3" x14ac:dyDescent="0.25">
      <c r="A280" t="s">
        <v>73</v>
      </c>
      <c r="B280" s="1" t="s">
        <v>14</v>
      </c>
      <c r="C280" s="2">
        <v>197971797</v>
      </c>
    </row>
    <row r="281" spans="1:3" x14ac:dyDescent="0.25">
      <c r="A281" t="s">
        <v>73</v>
      </c>
      <c r="B281" s="1" t="s">
        <v>15</v>
      </c>
      <c r="C281" s="2">
        <v>206340908</v>
      </c>
    </row>
    <row r="282" spans="1:3" x14ac:dyDescent="0.25">
      <c r="A282" t="s">
        <v>73</v>
      </c>
      <c r="B282" s="1" t="s">
        <v>16</v>
      </c>
      <c r="C282" s="2">
        <v>207783766</v>
      </c>
    </row>
    <row r="283" spans="1:3" x14ac:dyDescent="0.25">
      <c r="A283" t="s">
        <v>73</v>
      </c>
      <c r="B283" s="1" t="s">
        <v>17</v>
      </c>
      <c r="C283" s="2">
        <v>201135481</v>
      </c>
    </row>
    <row r="284" spans="1:3" x14ac:dyDescent="0.25">
      <c r="A284" t="s">
        <v>73</v>
      </c>
      <c r="B284" s="1" t="s">
        <v>18</v>
      </c>
      <c r="C284" s="2">
        <v>211346011</v>
      </c>
    </row>
    <row r="285" spans="1:3" x14ac:dyDescent="0.25">
      <c r="A285" t="s">
        <v>73</v>
      </c>
      <c r="B285" s="1" t="s">
        <v>19</v>
      </c>
      <c r="C285" s="2">
        <v>214436988</v>
      </c>
    </row>
    <row r="286" spans="1:3" x14ac:dyDescent="0.25">
      <c r="A286" t="s">
        <v>73</v>
      </c>
      <c r="B286" s="1" t="s">
        <v>20</v>
      </c>
      <c r="C286" s="10" t="s">
        <v>139</v>
      </c>
    </row>
    <row r="287" spans="1:3" x14ac:dyDescent="0.25">
      <c r="A287" t="s">
        <v>73</v>
      </c>
      <c r="B287" s="1" t="s">
        <v>21</v>
      </c>
      <c r="C287" s="10" t="s">
        <v>140</v>
      </c>
    </row>
    <row r="288" spans="1:3" x14ac:dyDescent="0.25">
      <c r="A288" t="s">
        <v>73</v>
      </c>
      <c r="B288" s="1" t="s">
        <v>22</v>
      </c>
      <c r="C288" s="10" t="s">
        <v>141</v>
      </c>
    </row>
    <row r="289" spans="1:3" x14ac:dyDescent="0.25">
      <c r="A289" t="s">
        <v>73</v>
      </c>
      <c r="B289" s="1" t="s">
        <v>23</v>
      </c>
      <c r="C289" s="11" t="s">
        <v>142</v>
      </c>
    </row>
    <row r="290" spans="1:3" x14ac:dyDescent="0.25">
      <c r="A290" t="s">
        <v>74</v>
      </c>
      <c r="B290" s="1" t="s">
        <v>60</v>
      </c>
      <c r="C290" s="2">
        <v>28074210</v>
      </c>
    </row>
    <row r="291" spans="1:3" x14ac:dyDescent="0.25">
      <c r="A291" t="s">
        <v>74</v>
      </c>
      <c r="B291" s="1" t="s">
        <v>61</v>
      </c>
      <c r="C291" s="2">
        <v>29046827</v>
      </c>
    </row>
    <row r="292" spans="1:3" x14ac:dyDescent="0.25">
      <c r="A292" t="s">
        <v>74</v>
      </c>
      <c r="B292" s="1" t="s">
        <v>62</v>
      </c>
      <c r="C292" s="2">
        <v>28197490</v>
      </c>
    </row>
    <row r="293" spans="1:3" x14ac:dyDescent="0.25">
      <c r="A293" t="s">
        <v>74</v>
      </c>
      <c r="B293" s="1" t="s">
        <v>3</v>
      </c>
      <c r="C293" s="2">
        <v>27727008</v>
      </c>
    </row>
    <row r="294" spans="1:3" x14ac:dyDescent="0.25">
      <c r="A294" t="s">
        <v>74</v>
      </c>
      <c r="B294" s="1" t="s">
        <v>4</v>
      </c>
      <c r="C294" s="2">
        <v>28109938</v>
      </c>
    </row>
    <row r="295" spans="1:3" x14ac:dyDescent="0.25">
      <c r="A295" t="s">
        <v>74</v>
      </c>
      <c r="B295" s="1" t="s">
        <v>5</v>
      </c>
      <c r="C295" s="2">
        <v>28882830</v>
      </c>
    </row>
    <row r="296" spans="1:3" x14ac:dyDescent="0.25">
      <c r="A296" t="s">
        <v>74</v>
      </c>
      <c r="B296" s="1" t="s">
        <v>6</v>
      </c>
      <c r="C296" s="2">
        <v>26474197</v>
      </c>
    </row>
    <row r="297" spans="1:3" x14ac:dyDescent="0.25">
      <c r="A297" t="s">
        <v>74</v>
      </c>
      <c r="B297" s="1" t="s">
        <v>7</v>
      </c>
      <c r="C297" s="2">
        <v>26025189</v>
      </c>
    </row>
    <row r="298" spans="1:3" x14ac:dyDescent="0.25">
      <c r="A298" t="s">
        <v>74</v>
      </c>
      <c r="B298" s="1" t="s">
        <v>8</v>
      </c>
      <c r="C298" s="2">
        <v>26480214</v>
      </c>
    </row>
    <row r="299" spans="1:3" x14ac:dyDescent="0.25">
      <c r="A299" t="s">
        <v>74</v>
      </c>
      <c r="B299" s="1" t="s">
        <v>9</v>
      </c>
      <c r="C299" s="2">
        <v>26210375</v>
      </c>
    </row>
    <row r="300" spans="1:3" x14ac:dyDescent="0.25">
      <c r="A300" t="s">
        <v>74</v>
      </c>
      <c r="B300" s="1" t="s">
        <v>10</v>
      </c>
      <c r="C300" s="2">
        <v>25491163</v>
      </c>
    </row>
    <row r="301" spans="1:3" x14ac:dyDescent="0.25">
      <c r="A301" t="s">
        <v>74</v>
      </c>
      <c r="B301" s="1" t="s">
        <v>11</v>
      </c>
      <c r="C301" s="9">
        <v>25532041</v>
      </c>
    </row>
    <row r="302" spans="1:3" x14ac:dyDescent="0.25">
      <c r="A302" t="s">
        <v>74</v>
      </c>
      <c r="B302" s="1" t="s">
        <v>12</v>
      </c>
      <c r="C302" s="9">
        <v>25108074</v>
      </c>
    </row>
    <row r="303" spans="1:3" x14ac:dyDescent="0.25">
      <c r="A303" t="s">
        <v>74</v>
      </c>
      <c r="B303" s="1" t="s">
        <v>13</v>
      </c>
      <c r="C303" s="9">
        <v>24966618</v>
      </c>
    </row>
    <row r="304" spans="1:3" x14ac:dyDescent="0.25">
      <c r="A304" t="s">
        <v>74</v>
      </c>
      <c r="B304" s="1" t="s">
        <v>14</v>
      </c>
      <c r="C304" s="9">
        <v>28486616</v>
      </c>
    </row>
    <row r="305" spans="1:3" x14ac:dyDescent="0.25">
      <c r="A305" t="s">
        <v>74</v>
      </c>
      <c r="B305" s="1" t="s">
        <v>15</v>
      </c>
      <c r="C305" s="9">
        <v>30526965</v>
      </c>
    </row>
    <row r="306" spans="1:3" x14ac:dyDescent="0.25">
      <c r="A306" t="s">
        <v>74</v>
      </c>
      <c r="B306" s="1" t="s">
        <v>16</v>
      </c>
      <c r="C306" s="7">
        <v>29378221</v>
      </c>
    </row>
    <row r="307" spans="1:3" x14ac:dyDescent="0.25">
      <c r="A307" t="s">
        <v>74</v>
      </c>
      <c r="B307" s="1" t="s">
        <v>17</v>
      </c>
      <c r="C307" s="9">
        <v>27160915</v>
      </c>
    </row>
    <row r="308" spans="1:3" x14ac:dyDescent="0.25">
      <c r="A308" t="s">
        <v>74</v>
      </c>
      <c r="B308" s="1" t="s">
        <v>18</v>
      </c>
      <c r="C308" s="9">
        <v>26888216</v>
      </c>
    </row>
    <row r="309" spans="1:3" x14ac:dyDescent="0.25">
      <c r="A309" t="s">
        <v>74</v>
      </c>
      <c r="B309" s="1" t="s">
        <v>19</v>
      </c>
      <c r="C309" s="9">
        <v>26127820</v>
      </c>
    </row>
    <row r="310" spans="1:3" x14ac:dyDescent="0.25">
      <c r="A310" t="s">
        <v>74</v>
      </c>
      <c r="B310" s="1" t="s">
        <v>20</v>
      </c>
      <c r="C310" s="10" t="s">
        <v>143</v>
      </c>
    </row>
    <row r="311" spans="1:3" x14ac:dyDescent="0.25">
      <c r="A311" t="s">
        <v>74</v>
      </c>
      <c r="B311" s="1" t="s">
        <v>21</v>
      </c>
      <c r="C311" s="10" t="s">
        <v>144</v>
      </c>
    </row>
    <row r="312" spans="1:3" x14ac:dyDescent="0.25">
      <c r="A312" t="s">
        <v>74</v>
      </c>
      <c r="B312" s="1" t="s">
        <v>22</v>
      </c>
      <c r="C312" s="10" t="s">
        <v>145</v>
      </c>
    </row>
    <row r="313" spans="1:3" x14ac:dyDescent="0.25">
      <c r="A313" s="5" t="s">
        <v>74</v>
      </c>
      <c r="B313" s="1" t="s">
        <v>23</v>
      </c>
      <c r="C313" s="9"/>
    </row>
    <row r="314" spans="1:3" x14ac:dyDescent="0.25">
      <c r="A314" t="s">
        <v>75</v>
      </c>
      <c r="B314" s="1" t="s">
        <v>60</v>
      </c>
      <c r="C314" s="9">
        <v>7305820</v>
      </c>
    </row>
    <row r="315" spans="1:3" x14ac:dyDescent="0.25">
      <c r="A315" t="s">
        <v>75</v>
      </c>
      <c r="B315" s="1" t="s">
        <v>61</v>
      </c>
      <c r="C315" s="9">
        <v>7072412</v>
      </c>
    </row>
    <row r="316" spans="1:3" x14ac:dyDescent="0.25">
      <c r="A316" t="s">
        <v>75</v>
      </c>
      <c r="B316" s="1" t="s">
        <v>62</v>
      </c>
      <c r="C316" s="9">
        <v>6978457</v>
      </c>
    </row>
    <row r="317" spans="1:3" x14ac:dyDescent="0.25">
      <c r="A317" t="s">
        <v>75</v>
      </c>
      <c r="B317" s="1" t="s">
        <v>3</v>
      </c>
      <c r="C317" s="9">
        <v>7014677</v>
      </c>
    </row>
    <row r="318" spans="1:3" x14ac:dyDescent="0.25">
      <c r="A318" t="s">
        <v>75</v>
      </c>
      <c r="B318" s="1" t="s">
        <v>4</v>
      </c>
      <c r="C318" s="9">
        <v>7155757</v>
      </c>
    </row>
    <row r="319" spans="1:3" x14ac:dyDescent="0.25">
      <c r="A319" t="s">
        <v>75</v>
      </c>
      <c r="B319" s="1" t="s">
        <v>5</v>
      </c>
      <c r="C319" s="9">
        <v>7396242</v>
      </c>
    </row>
    <row r="320" spans="1:3" x14ac:dyDescent="0.25">
      <c r="A320" t="s">
        <v>75</v>
      </c>
      <c r="B320" s="1" t="s">
        <v>6</v>
      </c>
      <c r="C320" s="9">
        <v>7121266</v>
      </c>
    </row>
    <row r="321" spans="1:3" x14ac:dyDescent="0.25">
      <c r="A321" t="s">
        <v>75</v>
      </c>
      <c r="B321" s="1" t="s">
        <v>7</v>
      </c>
      <c r="C321" s="9">
        <v>7297274</v>
      </c>
    </row>
    <row r="322" spans="1:3" x14ac:dyDescent="0.25">
      <c r="A322" t="s">
        <v>75</v>
      </c>
      <c r="B322" s="1" t="s">
        <v>8</v>
      </c>
      <c r="C322" s="9">
        <v>7698672</v>
      </c>
    </row>
    <row r="323" spans="1:3" x14ac:dyDescent="0.25">
      <c r="A323" t="s">
        <v>75</v>
      </c>
      <c r="B323" s="1" t="s">
        <v>9</v>
      </c>
      <c r="C323" s="9">
        <v>7379818</v>
      </c>
    </row>
    <row r="324" spans="1:3" x14ac:dyDescent="0.25">
      <c r="A324" t="s">
        <v>75</v>
      </c>
      <c r="B324" s="1" t="s">
        <v>10</v>
      </c>
      <c r="C324" s="9">
        <v>7148922</v>
      </c>
    </row>
    <row r="325" spans="1:3" x14ac:dyDescent="0.25">
      <c r="A325" t="s">
        <v>75</v>
      </c>
      <c r="B325" s="1" t="s">
        <v>11</v>
      </c>
      <c r="C325" s="9">
        <v>7607654</v>
      </c>
    </row>
    <row r="326" spans="1:3" x14ac:dyDescent="0.25">
      <c r="A326" t="s">
        <v>75</v>
      </c>
      <c r="B326" s="1" t="s">
        <v>12</v>
      </c>
      <c r="C326" s="9">
        <v>7917744</v>
      </c>
    </row>
    <row r="327" spans="1:3" x14ac:dyDescent="0.25">
      <c r="A327" t="s">
        <v>75</v>
      </c>
      <c r="B327" s="1" t="s">
        <v>13</v>
      </c>
      <c r="C327" s="9">
        <v>7686327</v>
      </c>
    </row>
    <row r="328" spans="1:3" x14ac:dyDescent="0.25">
      <c r="A328" t="s">
        <v>75</v>
      </c>
      <c r="B328" s="1" t="s">
        <v>14</v>
      </c>
      <c r="C328" s="9">
        <v>8043256</v>
      </c>
    </row>
    <row r="329" spans="1:3" x14ac:dyDescent="0.25">
      <c r="A329" t="s">
        <v>75</v>
      </c>
      <c r="B329" s="1" t="s">
        <v>15</v>
      </c>
      <c r="C329" s="9">
        <v>7637523</v>
      </c>
    </row>
    <row r="330" spans="1:3" x14ac:dyDescent="0.25">
      <c r="A330" t="s">
        <v>75</v>
      </c>
      <c r="B330" s="1" t="s">
        <v>16</v>
      </c>
      <c r="C330" s="9">
        <v>7601659</v>
      </c>
    </row>
    <row r="331" spans="1:3" x14ac:dyDescent="0.25">
      <c r="A331" t="s">
        <v>75</v>
      </c>
      <c r="B331" s="1" t="s">
        <v>17</v>
      </c>
      <c r="C331" s="7">
        <v>7545988</v>
      </c>
    </row>
    <row r="332" spans="1:3" x14ac:dyDescent="0.25">
      <c r="A332" t="s">
        <v>75</v>
      </c>
      <c r="B332" s="1" t="s">
        <v>18</v>
      </c>
      <c r="C332" s="9">
        <v>7251694</v>
      </c>
    </row>
    <row r="333" spans="1:3" x14ac:dyDescent="0.25">
      <c r="A333" t="s">
        <v>75</v>
      </c>
      <c r="B333" s="1" t="s">
        <v>19</v>
      </c>
      <c r="C333" s="9">
        <v>8666526</v>
      </c>
    </row>
    <row r="334" spans="1:3" x14ac:dyDescent="0.25">
      <c r="A334" t="s">
        <v>75</v>
      </c>
      <c r="B334" s="1" t="s">
        <v>20</v>
      </c>
      <c r="C334" s="10" t="s">
        <v>146</v>
      </c>
    </row>
    <row r="335" spans="1:3" x14ac:dyDescent="0.25">
      <c r="A335" t="s">
        <v>75</v>
      </c>
      <c r="B335" s="1" t="s">
        <v>21</v>
      </c>
      <c r="C335" s="9">
        <v>8791457</v>
      </c>
    </row>
    <row r="336" spans="1:3" x14ac:dyDescent="0.25">
      <c r="A336" t="s">
        <v>75</v>
      </c>
      <c r="B336" s="1" t="s">
        <v>22</v>
      </c>
      <c r="C336" s="10" t="s">
        <v>147</v>
      </c>
    </row>
    <row r="337" spans="1:3" x14ac:dyDescent="0.25">
      <c r="A337" t="s">
        <v>75</v>
      </c>
      <c r="B337" s="1" t="s">
        <v>23</v>
      </c>
      <c r="C337" s="8">
        <v>8211292</v>
      </c>
    </row>
    <row r="338" spans="1:3" x14ac:dyDescent="0.25">
      <c r="A338" t="s">
        <v>76</v>
      </c>
      <c r="B338" s="1" t="s">
        <v>60</v>
      </c>
      <c r="C338" s="2">
        <v>50316988</v>
      </c>
    </row>
    <row r="339" spans="1:3" x14ac:dyDescent="0.25">
      <c r="A339" t="s">
        <v>76</v>
      </c>
      <c r="B339" s="1" t="s">
        <v>61</v>
      </c>
      <c r="C339" s="2">
        <v>51560128</v>
      </c>
    </row>
    <row r="340" spans="1:3" x14ac:dyDescent="0.25">
      <c r="A340" t="s">
        <v>76</v>
      </c>
      <c r="B340" s="1" t="s">
        <v>62</v>
      </c>
      <c r="C340" s="2">
        <v>53837669</v>
      </c>
    </row>
    <row r="341" spans="1:3" x14ac:dyDescent="0.25">
      <c r="A341" t="s">
        <v>76</v>
      </c>
      <c r="B341" s="1" t="s">
        <v>3</v>
      </c>
      <c r="C341" s="2">
        <v>51518681</v>
      </c>
    </row>
    <row r="342" spans="1:3" x14ac:dyDescent="0.25">
      <c r="A342" t="s">
        <v>76</v>
      </c>
      <c r="B342" s="1" t="s">
        <v>4</v>
      </c>
      <c r="C342" s="2">
        <v>55313192</v>
      </c>
    </row>
    <row r="343" spans="1:3" x14ac:dyDescent="0.25">
      <c r="A343" t="s">
        <v>76</v>
      </c>
      <c r="B343" s="1" t="s">
        <v>5</v>
      </c>
      <c r="C343" s="2">
        <v>59537033</v>
      </c>
    </row>
    <row r="344" spans="1:3" x14ac:dyDescent="0.25">
      <c r="A344" t="s">
        <v>76</v>
      </c>
      <c r="B344" s="1" t="s">
        <v>6</v>
      </c>
      <c r="C344" s="2">
        <v>63427447</v>
      </c>
    </row>
    <row r="345" spans="1:3" x14ac:dyDescent="0.25">
      <c r="A345" t="s">
        <v>76</v>
      </c>
      <c r="B345" s="1" t="s">
        <v>7</v>
      </c>
      <c r="C345" s="2">
        <v>62689118</v>
      </c>
    </row>
    <row r="346" spans="1:3" x14ac:dyDescent="0.25">
      <c r="A346" t="s">
        <v>76</v>
      </c>
      <c r="B346" s="1" t="s">
        <v>8</v>
      </c>
      <c r="C346" s="2">
        <v>63091469</v>
      </c>
    </row>
    <row r="347" spans="1:3" x14ac:dyDescent="0.25">
      <c r="A347" t="s">
        <v>76</v>
      </c>
      <c r="B347" s="1" t="s">
        <v>9</v>
      </c>
      <c r="C347" s="2">
        <v>68951774</v>
      </c>
    </row>
    <row r="348" spans="1:3" x14ac:dyDescent="0.25">
      <c r="A348" t="s">
        <v>76</v>
      </c>
      <c r="B348" s="1" t="s">
        <v>10</v>
      </c>
      <c r="C348" s="2">
        <v>72128316</v>
      </c>
    </row>
    <row r="349" spans="1:3" x14ac:dyDescent="0.25">
      <c r="A349" t="s">
        <v>76</v>
      </c>
      <c r="B349" s="1" t="s">
        <v>11</v>
      </c>
      <c r="C349" s="2">
        <v>76715290</v>
      </c>
    </row>
    <row r="350" spans="1:3" x14ac:dyDescent="0.25">
      <c r="A350" t="s">
        <v>76</v>
      </c>
      <c r="B350" s="1" t="s">
        <v>12</v>
      </c>
      <c r="C350" s="2">
        <v>69720706</v>
      </c>
    </row>
    <row r="351" spans="1:3" x14ac:dyDescent="0.25">
      <c r="A351" t="s">
        <v>76</v>
      </c>
      <c r="B351" s="1" t="s">
        <v>13</v>
      </c>
      <c r="C351" s="2">
        <v>75240142</v>
      </c>
    </row>
    <row r="352" spans="1:3" x14ac:dyDescent="0.25">
      <c r="A352" t="s">
        <v>76</v>
      </c>
      <c r="B352" s="1" t="s">
        <v>14</v>
      </c>
      <c r="C352" s="2">
        <v>82080977</v>
      </c>
    </row>
    <row r="353" spans="1:3" x14ac:dyDescent="0.25">
      <c r="A353" t="s">
        <v>76</v>
      </c>
      <c r="B353" s="1" t="s">
        <v>15</v>
      </c>
      <c r="C353" s="2">
        <v>83619452</v>
      </c>
    </row>
    <row r="354" spans="1:3" x14ac:dyDescent="0.25">
      <c r="A354" t="s">
        <v>76</v>
      </c>
      <c r="B354" s="1" t="s">
        <v>16</v>
      </c>
      <c r="C354" s="2">
        <v>89647568</v>
      </c>
    </row>
    <row r="355" spans="1:3" x14ac:dyDescent="0.25">
      <c r="A355" t="s">
        <v>76</v>
      </c>
      <c r="B355" s="1" t="s">
        <v>17</v>
      </c>
      <c r="C355" s="2">
        <v>95478871</v>
      </c>
    </row>
    <row r="356" spans="1:3" x14ac:dyDescent="0.25">
      <c r="A356" t="s">
        <v>76</v>
      </c>
      <c r="B356" s="1" t="s">
        <v>18</v>
      </c>
      <c r="C356" s="2">
        <v>101002784</v>
      </c>
    </row>
    <row r="357" spans="1:3" x14ac:dyDescent="0.25">
      <c r="A357" t="s">
        <v>76</v>
      </c>
      <c r="B357" s="1" t="s">
        <v>19</v>
      </c>
      <c r="C357" s="2">
        <v>100723330</v>
      </c>
    </row>
    <row r="358" spans="1:3" x14ac:dyDescent="0.25">
      <c r="A358" t="s">
        <v>76</v>
      </c>
      <c r="B358" s="1" t="s">
        <v>20</v>
      </c>
      <c r="C358" s="10" t="s">
        <v>148</v>
      </c>
    </row>
    <row r="359" spans="1:3" x14ac:dyDescent="0.25">
      <c r="A359" t="s">
        <v>76</v>
      </c>
      <c r="B359" s="1" t="s">
        <v>21</v>
      </c>
      <c r="C359" s="10" t="s">
        <v>149</v>
      </c>
    </row>
    <row r="360" spans="1:3" x14ac:dyDescent="0.25">
      <c r="A360" t="s">
        <v>76</v>
      </c>
      <c r="B360" s="1" t="s">
        <v>22</v>
      </c>
      <c r="C360" s="10" t="s">
        <v>150</v>
      </c>
    </row>
    <row r="361" spans="1:3" x14ac:dyDescent="0.25">
      <c r="A361" t="s">
        <v>76</v>
      </c>
      <c r="B361" s="1" t="s">
        <v>23</v>
      </c>
      <c r="C361" s="8">
        <v>103031367</v>
      </c>
    </row>
    <row r="362" spans="1:3" x14ac:dyDescent="0.25">
      <c r="A362" t="s">
        <v>77</v>
      </c>
      <c r="B362" s="1" t="s">
        <v>60</v>
      </c>
      <c r="C362" s="2">
        <v>16185616</v>
      </c>
    </row>
    <row r="363" spans="1:3" x14ac:dyDescent="0.25">
      <c r="A363" t="s">
        <v>77</v>
      </c>
      <c r="B363" s="1" t="s">
        <v>61</v>
      </c>
      <c r="C363" s="2">
        <v>15767146</v>
      </c>
    </row>
    <row r="364" spans="1:3" x14ac:dyDescent="0.25">
      <c r="A364" t="s">
        <v>77</v>
      </c>
      <c r="B364" s="1" t="s">
        <v>62</v>
      </c>
      <c r="C364" s="2">
        <v>16266904</v>
      </c>
    </row>
    <row r="365" spans="1:3" x14ac:dyDescent="0.25">
      <c r="A365" t="s">
        <v>77</v>
      </c>
      <c r="B365" s="1" t="s">
        <v>3</v>
      </c>
      <c r="C365" s="2">
        <v>17171181</v>
      </c>
    </row>
    <row r="366" spans="1:3" x14ac:dyDescent="0.25">
      <c r="A366" t="s">
        <v>77</v>
      </c>
      <c r="B366" s="1" t="s">
        <v>4</v>
      </c>
      <c r="C366" s="2">
        <v>17739090</v>
      </c>
    </row>
    <row r="367" spans="1:3" x14ac:dyDescent="0.25">
      <c r="A367" t="s">
        <v>77</v>
      </c>
      <c r="B367" s="1" t="s">
        <v>5</v>
      </c>
      <c r="C367" s="2">
        <v>17842187</v>
      </c>
    </row>
    <row r="368" spans="1:3" x14ac:dyDescent="0.25">
      <c r="A368" t="s">
        <v>77</v>
      </c>
      <c r="B368" s="1" t="s">
        <v>6</v>
      </c>
      <c r="C368" s="2">
        <v>17845096</v>
      </c>
    </row>
    <row r="369" spans="1:3" x14ac:dyDescent="0.25">
      <c r="A369" t="s">
        <v>77</v>
      </c>
      <c r="B369" s="1" t="s">
        <v>7</v>
      </c>
      <c r="C369" s="2">
        <v>17823669</v>
      </c>
    </row>
    <row r="370" spans="1:3" x14ac:dyDescent="0.25">
      <c r="A370" t="s">
        <v>77</v>
      </c>
      <c r="B370" s="1" t="s">
        <v>8</v>
      </c>
      <c r="C370" s="2">
        <v>17963452</v>
      </c>
    </row>
    <row r="371" spans="1:3" x14ac:dyDescent="0.25">
      <c r="A371" t="s">
        <v>77</v>
      </c>
      <c r="B371" s="1" t="s">
        <v>9</v>
      </c>
      <c r="C371" s="2">
        <v>15864199</v>
      </c>
    </row>
    <row r="372" spans="1:3" x14ac:dyDescent="0.25">
      <c r="A372" t="s">
        <v>77</v>
      </c>
      <c r="B372" s="1" t="s">
        <v>10</v>
      </c>
      <c r="C372" s="2">
        <v>17029802</v>
      </c>
    </row>
    <row r="373" spans="1:3" x14ac:dyDescent="0.25">
      <c r="A373" t="s">
        <v>77</v>
      </c>
      <c r="B373" s="1" t="s">
        <v>11</v>
      </c>
      <c r="C373" s="2">
        <v>17311597</v>
      </c>
    </row>
    <row r="374" spans="1:3" x14ac:dyDescent="0.25">
      <c r="A374" t="s">
        <v>77</v>
      </c>
      <c r="B374" s="1" t="s">
        <v>12</v>
      </c>
      <c r="C374" s="2">
        <v>19501696</v>
      </c>
    </row>
    <row r="375" spans="1:3" x14ac:dyDescent="0.25">
      <c r="A375" t="s">
        <v>77</v>
      </c>
      <c r="B375" s="1" t="s">
        <v>13</v>
      </c>
      <c r="C375" s="2">
        <v>16326679</v>
      </c>
    </row>
    <row r="376" spans="1:3" x14ac:dyDescent="0.25">
      <c r="A376" t="s">
        <v>77</v>
      </c>
      <c r="B376" s="1" t="s">
        <v>14</v>
      </c>
      <c r="C376" s="2">
        <v>16175888</v>
      </c>
    </row>
    <row r="377" spans="1:3" x14ac:dyDescent="0.25">
      <c r="A377" t="s">
        <v>77</v>
      </c>
      <c r="B377" s="1" t="s">
        <v>15</v>
      </c>
      <c r="C377" s="2">
        <v>16204908</v>
      </c>
    </row>
    <row r="378" spans="1:3" x14ac:dyDescent="0.25">
      <c r="A378" t="s">
        <v>77</v>
      </c>
      <c r="B378" s="1" t="s">
        <v>16</v>
      </c>
      <c r="C378" s="2">
        <v>16742754</v>
      </c>
    </row>
    <row r="379" spans="1:3" x14ac:dyDescent="0.25">
      <c r="A379" t="s">
        <v>77</v>
      </c>
      <c r="B379" s="1" t="s">
        <v>17</v>
      </c>
      <c r="C379" s="2">
        <v>17352543</v>
      </c>
    </row>
    <row r="380" spans="1:3" x14ac:dyDescent="0.25">
      <c r="A380" t="s">
        <v>77</v>
      </c>
      <c r="B380" s="1" t="s">
        <v>18</v>
      </c>
      <c r="C380" s="2">
        <v>17973075</v>
      </c>
    </row>
    <row r="381" spans="1:3" x14ac:dyDescent="0.25">
      <c r="A381" t="s">
        <v>77</v>
      </c>
      <c r="B381" s="1" t="s">
        <v>19</v>
      </c>
      <c r="C381" s="2">
        <v>21317575</v>
      </c>
    </row>
    <row r="382" spans="1:3" x14ac:dyDescent="0.25">
      <c r="A382" t="s">
        <v>77</v>
      </c>
      <c r="B382" s="1" t="s">
        <v>20</v>
      </c>
      <c r="C382" s="10" t="s">
        <v>151</v>
      </c>
    </row>
    <row r="383" spans="1:3" x14ac:dyDescent="0.25">
      <c r="A383" t="s">
        <v>77</v>
      </c>
      <c r="B383" s="1" t="s">
        <v>21</v>
      </c>
      <c r="C383" s="10" t="s">
        <v>152</v>
      </c>
    </row>
    <row r="384" spans="1:3" x14ac:dyDescent="0.25">
      <c r="A384" t="s">
        <v>77</v>
      </c>
      <c r="B384" s="1" t="s">
        <v>22</v>
      </c>
      <c r="C384" s="10" t="s">
        <v>153</v>
      </c>
    </row>
    <row r="385" spans="1:3" x14ac:dyDescent="0.25">
      <c r="A385" s="5" t="s">
        <v>77</v>
      </c>
      <c r="B385" s="1" t="s">
        <v>23</v>
      </c>
      <c r="C385" s="2"/>
    </row>
    <row r="386" spans="1:3" x14ac:dyDescent="0.25">
      <c r="A386" t="s">
        <v>78</v>
      </c>
      <c r="B386" s="1" t="s">
        <v>60</v>
      </c>
      <c r="C386" s="2">
        <v>66845313</v>
      </c>
    </row>
    <row r="387" spans="1:3" x14ac:dyDescent="0.25">
      <c r="A387" t="s">
        <v>78</v>
      </c>
      <c r="B387" s="1" t="s">
        <v>61</v>
      </c>
      <c r="C387" s="2">
        <v>70905527</v>
      </c>
    </row>
    <row r="388" spans="1:3" x14ac:dyDescent="0.25">
      <c r="A388" t="s">
        <v>78</v>
      </c>
      <c r="B388" s="1" t="s">
        <v>62</v>
      </c>
      <c r="C388" s="2">
        <v>70319307</v>
      </c>
    </row>
    <row r="389" spans="1:3" x14ac:dyDescent="0.25">
      <c r="A389" t="s">
        <v>78</v>
      </c>
      <c r="B389" s="1" t="s">
        <v>3</v>
      </c>
      <c r="C389" s="2">
        <v>74745570</v>
      </c>
    </row>
    <row r="390" spans="1:3" x14ac:dyDescent="0.25">
      <c r="A390" t="s">
        <v>78</v>
      </c>
      <c r="B390" s="1" t="s">
        <v>4</v>
      </c>
      <c r="C390" s="2">
        <v>79838018</v>
      </c>
    </row>
    <row r="391" spans="1:3" x14ac:dyDescent="0.25">
      <c r="A391" t="s">
        <v>78</v>
      </c>
      <c r="B391" s="1" t="s">
        <v>5</v>
      </c>
      <c r="C391" s="2">
        <v>80312119</v>
      </c>
    </row>
    <row r="392" spans="1:3" x14ac:dyDescent="0.25">
      <c r="A392" t="s">
        <v>78</v>
      </c>
      <c r="B392" s="1" t="s">
        <v>6</v>
      </c>
      <c r="C392" s="2">
        <v>83155655</v>
      </c>
    </row>
    <row r="393" spans="1:3" x14ac:dyDescent="0.25">
      <c r="A393" t="s">
        <v>78</v>
      </c>
      <c r="B393" s="1" t="s">
        <v>7</v>
      </c>
      <c r="C393" s="2">
        <v>86971893</v>
      </c>
    </row>
    <row r="394" spans="1:3" x14ac:dyDescent="0.25">
      <c r="A394" t="s">
        <v>78</v>
      </c>
      <c r="B394" s="1" t="s">
        <v>8</v>
      </c>
      <c r="C394" s="2">
        <v>89694724</v>
      </c>
    </row>
    <row r="395" spans="1:3" x14ac:dyDescent="0.25">
      <c r="A395" t="s">
        <v>78</v>
      </c>
      <c r="B395" s="1" t="s">
        <v>9</v>
      </c>
      <c r="C395" s="2">
        <v>89086631</v>
      </c>
    </row>
    <row r="396" spans="1:3" x14ac:dyDescent="0.25">
      <c r="A396" t="s">
        <v>78</v>
      </c>
      <c r="B396" s="1" t="s">
        <v>10</v>
      </c>
      <c r="C396" s="7">
        <v>92219734</v>
      </c>
    </row>
    <row r="397" spans="1:3" x14ac:dyDescent="0.25">
      <c r="A397" t="s">
        <v>78</v>
      </c>
      <c r="B397" s="1" t="s">
        <v>11</v>
      </c>
      <c r="C397" s="9">
        <v>93408831</v>
      </c>
    </row>
    <row r="398" spans="1:3" x14ac:dyDescent="0.25">
      <c r="A398" t="s">
        <v>78</v>
      </c>
      <c r="B398" s="1" t="s">
        <v>12</v>
      </c>
      <c r="C398" s="9">
        <v>89205160</v>
      </c>
    </row>
    <row r="399" spans="1:3" x14ac:dyDescent="0.25">
      <c r="A399" t="s">
        <v>78</v>
      </c>
      <c r="B399" s="1" t="s">
        <v>13</v>
      </c>
      <c r="C399" s="9">
        <v>88722063</v>
      </c>
    </row>
    <row r="400" spans="1:3" x14ac:dyDescent="0.25">
      <c r="A400" t="s">
        <v>78</v>
      </c>
      <c r="B400" s="1" t="s">
        <v>14</v>
      </c>
      <c r="C400" s="7">
        <v>86652476</v>
      </c>
    </row>
    <row r="401" spans="1:3" x14ac:dyDescent="0.25">
      <c r="A401" t="s">
        <v>78</v>
      </c>
      <c r="B401" s="1" t="s">
        <v>15</v>
      </c>
      <c r="C401" s="9">
        <v>92518025</v>
      </c>
    </row>
    <row r="402" spans="1:3" x14ac:dyDescent="0.25">
      <c r="A402" t="s">
        <v>78</v>
      </c>
      <c r="B402" s="1" t="s">
        <v>16</v>
      </c>
      <c r="C402" s="9">
        <v>104129755</v>
      </c>
    </row>
    <row r="403" spans="1:3" x14ac:dyDescent="0.25">
      <c r="A403" t="s">
        <v>78</v>
      </c>
      <c r="B403" s="1" t="s">
        <v>17</v>
      </c>
      <c r="C403" s="7">
        <v>111686446</v>
      </c>
    </row>
    <row r="404" spans="1:3" x14ac:dyDescent="0.25">
      <c r="A404" t="s">
        <v>78</v>
      </c>
      <c r="B404" s="1" t="s">
        <v>18</v>
      </c>
      <c r="C404" s="9">
        <v>114640479</v>
      </c>
    </row>
    <row r="405" spans="1:3" x14ac:dyDescent="0.25">
      <c r="A405" t="s">
        <v>78</v>
      </c>
      <c r="B405" s="1" t="s">
        <v>19</v>
      </c>
      <c r="C405" s="9">
        <v>119104185</v>
      </c>
    </row>
    <row r="406" spans="1:3" x14ac:dyDescent="0.25">
      <c r="A406" t="s">
        <v>78</v>
      </c>
      <c r="B406" s="1" t="s">
        <v>20</v>
      </c>
      <c r="C406" s="10" t="s">
        <v>154</v>
      </c>
    </row>
    <row r="407" spans="1:3" x14ac:dyDescent="0.25">
      <c r="A407" t="s">
        <v>78</v>
      </c>
      <c r="B407" s="1" t="s">
        <v>21</v>
      </c>
      <c r="C407" s="10" t="s">
        <v>155</v>
      </c>
    </row>
    <row r="408" spans="1:3" x14ac:dyDescent="0.25">
      <c r="A408" t="s">
        <v>78</v>
      </c>
      <c r="B408" s="1" t="s">
        <v>22</v>
      </c>
      <c r="C408" s="10" t="s">
        <v>156</v>
      </c>
    </row>
    <row r="409" spans="1:3" x14ac:dyDescent="0.25">
      <c r="A409" s="5" t="s">
        <v>78</v>
      </c>
      <c r="B409" s="1" t="s">
        <v>23</v>
      </c>
      <c r="C409" s="9"/>
    </row>
    <row r="410" spans="1:3" x14ac:dyDescent="0.25">
      <c r="A410" t="s">
        <v>79</v>
      </c>
      <c r="B410" s="1" t="s">
        <v>60</v>
      </c>
      <c r="C410" s="9">
        <v>4071025</v>
      </c>
    </row>
    <row r="411" spans="1:3" x14ac:dyDescent="0.25">
      <c r="A411" t="s">
        <v>79</v>
      </c>
      <c r="B411" s="1" t="s">
        <v>61</v>
      </c>
      <c r="C411" s="9">
        <v>4341363</v>
      </c>
    </row>
    <row r="412" spans="1:3" x14ac:dyDescent="0.25">
      <c r="A412" t="s">
        <v>79</v>
      </c>
      <c r="B412" s="1" t="s">
        <v>62</v>
      </c>
      <c r="C412" s="9">
        <v>4472090</v>
      </c>
    </row>
    <row r="413" spans="1:3" x14ac:dyDescent="0.25">
      <c r="A413" t="s">
        <v>79</v>
      </c>
      <c r="B413" s="1" t="s">
        <v>3</v>
      </c>
      <c r="C413" s="9">
        <v>4487329</v>
      </c>
    </row>
    <row r="414" spans="1:3" x14ac:dyDescent="0.25">
      <c r="A414" t="s">
        <v>79</v>
      </c>
      <c r="B414" s="1" t="s">
        <v>4</v>
      </c>
      <c r="C414" s="9">
        <v>4594843</v>
      </c>
    </row>
    <row r="415" spans="1:3" x14ac:dyDescent="0.25">
      <c r="A415" t="s">
        <v>79</v>
      </c>
      <c r="B415" s="1" t="s">
        <v>5</v>
      </c>
      <c r="C415" s="9">
        <v>4503328</v>
      </c>
    </row>
    <row r="416" spans="1:3" x14ac:dyDescent="0.25">
      <c r="A416" t="s">
        <v>79</v>
      </c>
      <c r="B416" s="1" t="s">
        <v>6</v>
      </c>
      <c r="C416" s="9">
        <v>4351967</v>
      </c>
    </row>
    <row r="417" spans="1:3" x14ac:dyDescent="0.25">
      <c r="A417" t="s">
        <v>79</v>
      </c>
      <c r="B417" s="1" t="s">
        <v>7</v>
      </c>
      <c r="C417" s="9">
        <v>3896760</v>
      </c>
    </row>
    <row r="418" spans="1:3" x14ac:dyDescent="0.25">
      <c r="A418" t="s">
        <v>79</v>
      </c>
      <c r="B418" s="1" t="s">
        <v>8</v>
      </c>
      <c r="C418" s="9">
        <v>3832001</v>
      </c>
    </row>
    <row r="419" spans="1:3" x14ac:dyDescent="0.25">
      <c r="A419" t="s">
        <v>79</v>
      </c>
      <c r="B419" s="1" t="s">
        <v>9</v>
      </c>
      <c r="C419" s="9">
        <v>3727915</v>
      </c>
    </row>
    <row r="420" spans="1:3" x14ac:dyDescent="0.25">
      <c r="A420" t="s">
        <v>79</v>
      </c>
      <c r="B420" s="1" t="s">
        <v>10</v>
      </c>
      <c r="C420" s="9">
        <v>3796685</v>
      </c>
    </row>
    <row r="421" spans="1:3" x14ac:dyDescent="0.25">
      <c r="A421" t="s">
        <v>79</v>
      </c>
      <c r="B421" s="1" t="s">
        <v>11</v>
      </c>
      <c r="C421" s="9">
        <v>4007413</v>
      </c>
    </row>
    <row r="422" spans="1:3" x14ac:dyDescent="0.25">
      <c r="A422" t="s">
        <v>79</v>
      </c>
      <c r="B422" s="1" t="s">
        <v>12</v>
      </c>
      <c r="C422" s="9">
        <v>4027548</v>
      </c>
    </row>
    <row r="423" spans="1:3" x14ac:dyDescent="0.25">
      <c r="A423" t="s">
        <v>79</v>
      </c>
      <c r="B423" s="1" t="s">
        <v>13</v>
      </c>
      <c r="C423" s="9">
        <v>3766486</v>
      </c>
    </row>
    <row r="424" spans="1:3" x14ac:dyDescent="0.25">
      <c r="A424" t="s">
        <v>79</v>
      </c>
      <c r="B424" s="1" t="s">
        <v>14</v>
      </c>
      <c r="C424" s="9">
        <v>3808717</v>
      </c>
    </row>
    <row r="425" spans="1:3" x14ac:dyDescent="0.25">
      <c r="A425" t="s">
        <v>79</v>
      </c>
      <c r="B425" s="1" t="s">
        <v>15</v>
      </c>
      <c r="C425" s="9">
        <v>3721363</v>
      </c>
    </row>
    <row r="426" spans="1:3" x14ac:dyDescent="0.25">
      <c r="A426" t="s">
        <v>79</v>
      </c>
      <c r="B426" s="1" t="s">
        <v>16</v>
      </c>
      <c r="C426" s="9">
        <v>3669705</v>
      </c>
    </row>
    <row r="427" spans="1:3" x14ac:dyDescent="0.25">
      <c r="A427" t="s">
        <v>79</v>
      </c>
      <c r="B427" s="1" t="s">
        <v>17</v>
      </c>
      <c r="C427" s="9">
        <v>3554651</v>
      </c>
    </row>
    <row r="428" spans="1:3" x14ac:dyDescent="0.25">
      <c r="A428" t="s">
        <v>79</v>
      </c>
      <c r="B428" s="1" t="s">
        <v>18</v>
      </c>
      <c r="C428" s="9">
        <v>3311380</v>
      </c>
    </row>
    <row r="429" spans="1:3" x14ac:dyDescent="0.25">
      <c r="A429" t="s">
        <v>79</v>
      </c>
      <c r="B429" s="1" t="s">
        <v>19</v>
      </c>
      <c r="C429" s="9">
        <v>4258288</v>
      </c>
    </row>
    <row r="430" spans="1:3" x14ac:dyDescent="0.25">
      <c r="A430" t="s">
        <v>79</v>
      </c>
      <c r="B430" s="1" t="s">
        <v>20</v>
      </c>
      <c r="C430" s="10" t="s">
        <v>157</v>
      </c>
    </row>
    <row r="431" spans="1:3" x14ac:dyDescent="0.25">
      <c r="A431" t="s">
        <v>79</v>
      </c>
      <c r="B431" s="1" t="s">
        <v>21</v>
      </c>
      <c r="C431" s="10" t="s">
        <v>158</v>
      </c>
    </row>
    <row r="432" spans="1:3" x14ac:dyDescent="0.25">
      <c r="A432" t="s">
        <v>79</v>
      </c>
      <c r="B432" s="1" t="s">
        <v>22</v>
      </c>
      <c r="C432" s="10" t="s">
        <v>159</v>
      </c>
    </row>
    <row r="433" spans="1:3" x14ac:dyDescent="0.25">
      <c r="A433" s="5" t="s">
        <v>79</v>
      </c>
      <c r="B433" s="1" t="s">
        <v>23</v>
      </c>
      <c r="C433" s="9"/>
    </row>
    <row r="434" spans="1:3" x14ac:dyDescent="0.25">
      <c r="A434" t="s">
        <v>80</v>
      </c>
      <c r="B434" s="1" t="s">
        <v>60</v>
      </c>
      <c r="C434" s="9">
        <v>10732305</v>
      </c>
    </row>
    <row r="435" spans="1:3" x14ac:dyDescent="0.25">
      <c r="A435" t="s">
        <v>80</v>
      </c>
      <c r="B435" s="1" t="s">
        <v>61</v>
      </c>
      <c r="C435" s="9">
        <v>10920617</v>
      </c>
    </row>
    <row r="436" spans="1:3" x14ac:dyDescent="0.25">
      <c r="A436" t="s">
        <v>80</v>
      </c>
      <c r="B436" s="1" t="s">
        <v>62</v>
      </c>
      <c r="C436" s="9">
        <v>11349645</v>
      </c>
    </row>
    <row r="437" spans="1:3" x14ac:dyDescent="0.25">
      <c r="A437" t="s">
        <v>80</v>
      </c>
      <c r="B437" s="1" t="s">
        <v>3</v>
      </c>
      <c r="C437" s="9">
        <v>11817844</v>
      </c>
    </row>
    <row r="438" spans="1:3" x14ac:dyDescent="0.25">
      <c r="A438" t="s">
        <v>80</v>
      </c>
      <c r="B438" s="1" t="s">
        <v>4</v>
      </c>
      <c r="C438" s="9">
        <v>11959701</v>
      </c>
    </row>
    <row r="439" spans="1:3" x14ac:dyDescent="0.25">
      <c r="A439" t="s">
        <v>80</v>
      </c>
      <c r="B439" s="1" t="s">
        <v>5</v>
      </c>
      <c r="C439" s="9">
        <v>12089309</v>
      </c>
    </row>
    <row r="440" spans="1:3" x14ac:dyDescent="0.25">
      <c r="A440" t="s">
        <v>80</v>
      </c>
      <c r="B440" s="1" t="s">
        <v>6</v>
      </c>
      <c r="C440" s="9">
        <v>11914067</v>
      </c>
    </row>
    <row r="441" spans="1:3" x14ac:dyDescent="0.25">
      <c r="A441" t="s">
        <v>80</v>
      </c>
      <c r="B441" s="1" t="s">
        <v>7</v>
      </c>
      <c r="C441" s="9">
        <v>12093079</v>
      </c>
    </row>
    <row r="442" spans="1:3" x14ac:dyDescent="0.25">
      <c r="A442" t="s">
        <v>80</v>
      </c>
      <c r="B442" s="1" t="s">
        <v>8</v>
      </c>
      <c r="C442" s="9">
        <v>11903140</v>
      </c>
    </row>
    <row r="443" spans="1:3" x14ac:dyDescent="0.25">
      <c r="A443" t="s">
        <v>80</v>
      </c>
      <c r="B443" s="1" t="s">
        <v>9</v>
      </c>
      <c r="C443" s="9">
        <v>12000850</v>
      </c>
    </row>
    <row r="444" spans="1:3" x14ac:dyDescent="0.25">
      <c r="A444" t="s">
        <v>80</v>
      </c>
      <c r="B444" s="1" t="s">
        <v>10</v>
      </c>
      <c r="C444" s="9">
        <v>12414579</v>
      </c>
    </row>
    <row r="445" spans="1:3" x14ac:dyDescent="0.25">
      <c r="A445" t="s">
        <v>80</v>
      </c>
      <c r="B445" s="1" t="s">
        <v>11</v>
      </c>
      <c r="C445" s="9">
        <v>12900219</v>
      </c>
    </row>
    <row r="446" spans="1:3" x14ac:dyDescent="0.25">
      <c r="A446" t="s">
        <v>80</v>
      </c>
      <c r="B446" s="1" t="s">
        <v>12</v>
      </c>
      <c r="C446" s="9">
        <v>12786225</v>
      </c>
    </row>
    <row r="447" spans="1:3" x14ac:dyDescent="0.25">
      <c r="A447" t="s">
        <v>80</v>
      </c>
      <c r="B447" s="1" t="s">
        <v>13</v>
      </c>
      <c r="C447" s="9">
        <v>12991967</v>
      </c>
    </row>
    <row r="448" spans="1:3" x14ac:dyDescent="0.25">
      <c r="A448" t="s">
        <v>80</v>
      </c>
      <c r="B448" s="1" t="s">
        <v>14</v>
      </c>
      <c r="C448" s="9">
        <v>13476276</v>
      </c>
    </row>
    <row r="449" spans="1:3" x14ac:dyDescent="0.25">
      <c r="A449" t="s">
        <v>80</v>
      </c>
      <c r="B449" s="1" t="s">
        <v>15</v>
      </c>
      <c r="C449" s="9">
        <v>14159755</v>
      </c>
    </row>
    <row r="450" spans="1:3" x14ac:dyDescent="0.25">
      <c r="A450" t="s">
        <v>80</v>
      </c>
      <c r="B450" s="1" t="s">
        <v>16</v>
      </c>
      <c r="C450" s="2">
        <v>14458153</v>
      </c>
    </row>
    <row r="451" spans="1:3" x14ac:dyDescent="0.25">
      <c r="A451" t="s">
        <v>80</v>
      </c>
      <c r="B451" s="1" t="s">
        <v>17</v>
      </c>
      <c r="C451" s="2">
        <v>15360958</v>
      </c>
    </row>
    <row r="452" spans="1:3" x14ac:dyDescent="0.25">
      <c r="A452" t="s">
        <v>80</v>
      </c>
      <c r="B452" s="1" t="s">
        <v>18</v>
      </c>
      <c r="C452" s="2">
        <v>16191295</v>
      </c>
    </row>
    <row r="453" spans="1:3" x14ac:dyDescent="0.25">
      <c r="A453" t="s">
        <v>80</v>
      </c>
      <c r="B453" s="1" t="s">
        <v>19</v>
      </c>
      <c r="C453" s="2">
        <v>15983152</v>
      </c>
    </row>
    <row r="454" spans="1:3" x14ac:dyDescent="0.25">
      <c r="A454" t="s">
        <v>80</v>
      </c>
      <c r="B454" s="1" t="s">
        <v>20</v>
      </c>
      <c r="C454" s="10" t="s">
        <v>160</v>
      </c>
    </row>
    <row r="455" spans="1:3" x14ac:dyDescent="0.25">
      <c r="A455" t="s">
        <v>80</v>
      </c>
      <c r="B455" s="1" t="s">
        <v>21</v>
      </c>
      <c r="C455" s="10" t="s">
        <v>161</v>
      </c>
    </row>
    <row r="456" spans="1:3" x14ac:dyDescent="0.25">
      <c r="A456" t="s">
        <v>80</v>
      </c>
      <c r="B456" s="1" t="s">
        <v>22</v>
      </c>
      <c r="C456" s="10" t="s">
        <v>162</v>
      </c>
    </row>
    <row r="457" spans="1:3" x14ac:dyDescent="0.25">
      <c r="A457" s="5" t="s">
        <v>80</v>
      </c>
      <c r="B457" s="1" t="s">
        <v>23</v>
      </c>
      <c r="C457" s="2"/>
    </row>
    <row r="458" spans="1:3" x14ac:dyDescent="0.25">
      <c r="A458" t="s">
        <v>81</v>
      </c>
      <c r="B458" s="1" t="s">
        <v>60</v>
      </c>
      <c r="C458" s="2">
        <v>31785764</v>
      </c>
    </row>
    <row r="459" spans="1:3" x14ac:dyDescent="0.25">
      <c r="A459" t="s">
        <v>81</v>
      </c>
      <c r="B459" s="1" t="s">
        <v>61</v>
      </c>
      <c r="C459" s="2">
        <v>34097004</v>
      </c>
    </row>
    <row r="460" spans="1:3" x14ac:dyDescent="0.25">
      <c r="A460" t="s">
        <v>81</v>
      </c>
      <c r="B460" s="1" t="s">
        <v>62</v>
      </c>
      <c r="C460" s="2">
        <v>32127628</v>
      </c>
    </row>
    <row r="461" spans="1:3" x14ac:dyDescent="0.25">
      <c r="A461" t="s">
        <v>81</v>
      </c>
      <c r="B461" s="1" t="s">
        <v>3</v>
      </c>
      <c r="C461" s="2">
        <v>30404078</v>
      </c>
    </row>
    <row r="462" spans="1:3" x14ac:dyDescent="0.25">
      <c r="A462" t="s">
        <v>81</v>
      </c>
      <c r="B462" s="1" t="s">
        <v>4</v>
      </c>
      <c r="C462" s="2">
        <v>31043833</v>
      </c>
    </row>
    <row r="463" spans="1:3" x14ac:dyDescent="0.25">
      <c r="A463" t="s">
        <v>81</v>
      </c>
      <c r="B463" s="1" t="s">
        <v>5</v>
      </c>
      <c r="C463" s="2">
        <v>29701432</v>
      </c>
    </row>
    <row r="464" spans="1:3" x14ac:dyDescent="0.25">
      <c r="A464" t="s">
        <v>81</v>
      </c>
      <c r="B464" s="1" t="s">
        <v>6</v>
      </c>
      <c r="C464" s="2">
        <v>30903093</v>
      </c>
    </row>
    <row r="465" spans="1:3" x14ac:dyDescent="0.25">
      <c r="A465" t="s">
        <v>81</v>
      </c>
      <c r="B465" s="1" t="s">
        <v>7</v>
      </c>
      <c r="C465" s="2">
        <v>30748742</v>
      </c>
    </row>
    <row r="466" spans="1:3" x14ac:dyDescent="0.25">
      <c r="A466" t="s">
        <v>81</v>
      </c>
      <c r="B466" s="1" t="s">
        <v>8</v>
      </c>
      <c r="C466" s="2">
        <v>33506541</v>
      </c>
    </row>
    <row r="467" spans="1:3" x14ac:dyDescent="0.25">
      <c r="A467" t="s">
        <v>81</v>
      </c>
      <c r="B467" s="1" t="s">
        <v>9</v>
      </c>
      <c r="C467" s="2">
        <v>36995880</v>
      </c>
    </row>
    <row r="468" spans="1:3" x14ac:dyDescent="0.25">
      <c r="A468" t="s">
        <v>81</v>
      </c>
      <c r="B468" s="1" t="s">
        <v>10</v>
      </c>
      <c r="C468" s="2">
        <v>37390492</v>
      </c>
    </row>
    <row r="469" spans="1:3" x14ac:dyDescent="0.25">
      <c r="A469" t="s">
        <v>81</v>
      </c>
      <c r="B469" s="1" t="s">
        <v>11</v>
      </c>
      <c r="C469" s="7">
        <v>36559556</v>
      </c>
    </row>
    <row r="470" spans="1:3" x14ac:dyDescent="0.25">
      <c r="A470" t="s">
        <v>81</v>
      </c>
      <c r="B470" s="1" t="s">
        <v>12</v>
      </c>
      <c r="C470" s="2">
        <v>39382799</v>
      </c>
    </row>
    <row r="471" spans="1:3" x14ac:dyDescent="0.25">
      <c r="A471" t="s">
        <v>81</v>
      </c>
      <c r="B471" s="1" t="s">
        <v>13</v>
      </c>
      <c r="C471" s="2">
        <v>37302453</v>
      </c>
    </row>
    <row r="472" spans="1:3" x14ac:dyDescent="0.25">
      <c r="A472" t="s">
        <v>81</v>
      </c>
      <c r="B472" s="1" t="s">
        <v>14</v>
      </c>
      <c r="C472" s="2">
        <v>37153213</v>
      </c>
    </row>
    <row r="473" spans="1:3" x14ac:dyDescent="0.25">
      <c r="A473" t="s">
        <v>81</v>
      </c>
      <c r="B473" s="1" t="s">
        <v>15</v>
      </c>
      <c r="C473" s="2">
        <v>44612045</v>
      </c>
    </row>
    <row r="474" spans="1:3" x14ac:dyDescent="0.25">
      <c r="A474" t="s">
        <v>81</v>
      </c>
      <c r="B474" s="1" t="s">
        <v>16</v>
      </c>
      <c r="C474" s="2">
        <v>47930702</v>
      </c>
    </row>
    <row r="475" spans="1:3" x14ac:dyDescent="0.25">
      <c r="A475" t="s">
        <v>81</v>
      </c>
      <c r="B475" s="1" t="s">
        <v>17</v>
      </c>
      <c r="C475" s="2">
        <v>45372169</v>
      </c>
    </row>
    <row r="476" spans="1:3" x14ac:dyDescent="0.25">
      <c r="A476" t="s">
        <v>81</v>
      </c>
      <c r="B476" s="1" t="s">
        <v>18</v>
      </c>
      <c r="C476" s="2">
        <v>46796049</v>
      </c>
    </row>
    <row r="477" spans="1:3" x14ac:dyDescent="0.25">
      <c r="A477" t="s">
        <v>81</v>
      </c>
      <c r="B477" s="1" t="s">
        <v>19</v>
      </c>
      <c r="C477" s="2">
        <v>52671981</v>
      </c>
    </row>
    <row r="478" spans="1:3" x14ac:dyDescent="0.25">
      <c r="A478" t="s">
        <v>81</v>
      </c>
      <c r="B478" s="1" t="s">
        <v>20</v>
      </c>
      <c r="C478" s="10" t="s">
        <v>163</v>
      </c>
    </row>
    <row r="479" spans="1:3" x14ac:dyDescent="0.25">
      <c r="A479" t="s">
        <v>81</v>
      </c>
      <c r="B479" s="1" t="s">
        <v>21</v>
      </c>
      <c r="C479" s="10" t="s">
        <v>164</v>
      </c>
    </row>
    <row r="480" spans="1:3" x14ac:dyDescent="0.25">
      <c r="A480" t="s">
        <v>81</v>
      </c>
      <c r="B480" s="1" t="s">
        <v>22</v>
      </c>
      <c r="C480" s="10" t="s">
        <v>165</v>
      </c>
    </row>
    <row r="481" spans="1:3" x14ac:dyDescent="0.25">
      <c r="A481" s="5" t="s">
        <v>81</v>
      </c>
      <c r="B481" s="1" t="s">
        <v>23</v>
      </c>
      <c r="C481" s="2"/>
    </row>
    <row r="482" spans="1:3" x14ac:dyDescent="0.25">
      <c r="A482" t="s">
        <v>82</v>
      </c>
      <c r="B482" s="1" t="s">
        <v>60</v>
      </c>
      <c r="C482" s="2">
        <v>5354377</v>
      </c>
    </row>
    <row r="483" spans="1:3" x14ac:dyDescent="0.25">
      <c r="A483" t="s">
        <v>82</v>
      </c>
      <c r="B483" s="1" t="s">
        <v>61</v>
      </c>
      <c r="C483" s="2">
        <v>5857574</v>
      </c>
    </row>
    <row r="484" spans="1:3" x14ac:dyDescent="0.25">
      <c r="A484" t="s">
        <v>82</v>
      </c>
      <c r="B484" s="1" t="s">
        <v>62</v>
      </c>
      <c r="C484" s="12">
        <v>6165127</v>
      </c>
    </row>
    <row r="485" spans="1:3" x14ac:dyDescent="0.25">
      <c r="A485" t="s">
        <v>82</v>
      </c>
      <c r="B485" s="1" t="s">
        <v>3</v>
      </c>
      <c r="C485" s="2">
        <v>6054845</v>
      </c>
    </row>
    <row r="486" spans="1:3" x14ac:dyDescent="0.25">
      <c r="A486" t="s">
        <v>82</v>
      </c>
      <c r="B486" s="1" t="s">
        <v>4</v>
      </c>
      <c r="C486" s="2">
        <v>6191310</v>
      </c>
    </row>
    <row r="487" spans="1:3" x14ac:dyDescent="0.25">
      <c r="A487" t="s">
        <v>82</v>
      </c>
      <c r="B487" s="1" t="s">
        <v>5</v>
      </c>
      <c r="C487" s="2">
        <v>6127524</v>
      </c>
    </row>
    <row r="488" spans="1:3" x14ac:dyDescent="0.25">
      <c r="A488" t="s">
        <v>82</v>
      </c>
      <c r="B488" s="1" t="s">
        <v>6</v>
      </c>
      <c r="C488" s="2">
        <v>6016333</v>
      </c>
    </row>
    <row r="489" spans="1:3" x14ac:dyDescent="0.25">
      <c r="A489" t="s">
        <v>82</v>
      </c>
      <c r="B489" s="1" t="s">
        <v>7</v>
      </c>
      <c r="C489" s="2">
        <v>6694024</v>
      </c>
    </row>
    <row r="490" spans="1:3" x14ac:dyDescent="0.25">
      <c r="A490" t="s">
        <v>82</v>
      </c>
      <c r="B490" s="1" t="s">
        <v>8</v>
      </c>
      <c r="C490" s="2">
        <v>6929992</v>
      </c>
    </row>
    <row r="491" spans="1:3" x14ac:dyDescent="0.25">
      <c r="A491" t="s">
        <v>82</v>
      </c>
      <c r="B491" s="1" t="s">
        <v>9</v>
      </c>
      <c r="C491" s="2">
        <v>7168321</v>
      </c>
    </row>
    <row r="492" spans="1:3" x14ac:dyDescent="0.25">
      <c r="A492" t="s">
        <v>82</v>
      </c>
      <c r="B492" s="1" t="s">
        <v>10</v>
      </c>
      <c r="C492" s="2">
        <v>7383960</v>
      </c>
    </row>
    <row r="493" spans="1:3" x14ac:dyDescent="0.25">
      <c r="A493" t="s">
        <v>82</v>
      </c>
      <c r="B493" s="1" t="s">
        <v>11</v>
      </c>
      <c r="C493" s="2">
        <v>7569580</v>
      </c>
    </row>
    <row r="494" spans="1:3" x14ac:dyDescent="0.25">
      <c r="A494" t="s">
        <v>82</v>
      </c>
      <c r="B494" s="1" t="s">
        <v>12</v>
      </c>
      <c r="C494" s="2">
        <v>7500035</v>
      </c>
    </row>
    <row r="495" spans="1:3" x14ac:dyDescent="0.25">
      <c r="A495" t="s">
        <v>82</v>
      </c>
      <c r="B495" s="1" t="s">
        <v>13</v>
      </c>
      <c r="C495" s="2">
        <v>7524151</v>
      </c>
    </row>
    <row r="496" spans="1:3" x14ac:dyDescent="0.25">
      <c r="A496" t="s">
        <v>82</v>
      </c>
      <c r="B496" s="1" t="s">
        <v>14</v>
      </c>
      <c r="C496" s="2">
        <v>8683512</v>
      </c>
    </row>
    <row r="497" spans="1:3" x14ac:dyDescent="0.25">
      <c r="A497" t="s">
        <v>82</v>
      </c>
      <c r="B497" s="1" t="s">
        <v>15</v>
      </c>
      <c r="C497" s="2">
        <v>10110520</v>
      </c>
    </row>
    <row r="498" spans="1:3" x14ac:dyDescent="0.25">
      <c r="A498" t="s">
        <v>82</v>
      </c>
      <c r="B498" s="1" t="s">
        <v>16</v>
      </c>
      <c r="C498" s="2">
        <v>11896015</v>
      </c>
    </row>
    <row r="499" spans="1:3" x14ac:dyDescent="0.25">
      <c r="A499" t="s">
        <v>82</v>
      </c>
      <c r="B499" s="1" t="s">
        <v>17</v>
      </c>
      <c r="C499" s="2">
        <v>13186165</v>
      </c>
    </row>
    <row r="500" spans="1:3" x14ac:dyDescent="0.25">
      <c r="A500" t="s">
        <v>82</v>
      </c>
      <c r="B500" s="1" t="s">
        <v>18</v>
      </c>
      <c r="C500" s="2">
        <v>13883955</v>
      </c>
    </row>
    <row r="501" spans="1:3" x14ac:dyDescent="0.25">
      <c r="A501" t="s">
        <v>82</v>
      </c>
      <c r="B501" s="1" t="s">
        <v>19</v>
      </c>
      <c r="C501" s="2">
        <v>14234358</v>
      </c>
    </row>
    <row r="502" spans="1:3" x14ac:dyDescent="0.25">
      <c r="A502" t="s">
        <v>82</v>
      </c>
      <c r="B502" s="1" t="s">
        <v>20</v>
      </c>
      <c r="C502" s="10" t="s">
        <v>166</v>
      </c>
    </row>
    <row r="503" spans="1:3" x14ac:dyDescent="0.25">
      <c r="A503" t="s">
        <v>82</v>
      </c>
      <c r="B503" s="1" t="s">
        <v>21</v>
      </c>
      <c r="C503" s="10" t="s">
        <v>167</v>
      </c>
    </row>
    <row r="504" spans="1:3" x14ac:dyDescent="0.25">
      <c r="A504" t="s">
        <v>82</v>
      </c>
      <c r="B504" s="1" t="s">
        <v>22</v>
      </c>
      <c r="C504" s="10" t="s">
        <v>168</v>
      </c>
    </row>
    <row r="505" spans="1:3" x14ac:dyDescent="0.25">
      <c r="A505" s="5" t="s">
        <v>82</v>
      </c>
      <c r="B505" s="1" t="s">
        <v>23</v>
      </c>
      <c r="C505" s="13"/>
    </row>
    <row r="506" spans="1:3" x14ac:dyDescent="0.25">
      <c r="A506" t="s">
        <v>83</v>
      </c>
      <c r="B506" s="1" t="s">
        <v>60</v>
      </c>
      <c r="C506" s="2">
        <v>3972827</v>
      </c>
    </row>
    <row r="507" spans="1:3" x14ac:dyDescent="0.25">
      <c r="A507" t="s">
        <v>83</v>
      </c>
      <c r="B507" s="1" t="s">
        <v>61</v>
      </c>
      <c r="C507" s="2">
        <v>4335834</v>
      </c>
    </row>
    <row r="508" spans="1:3" x14ac:dyDescent="0.25">
      <c r="A508" t="s">
        <v>83</v>
      </c>
      <c r="B508" s="1" t="s">
        <v>62</v>
      </c>
      <c r="C508" s="2">
        <v>4614634</v>
      </c>
    </row>
    <row r="509" spans="1:3" x14ac:dyDescent="0.25">
      <c r="A509" t="s">
        <v>83</v>
      </c>
      <c r="B509" s="1" t="s">
        <v>3</v>
      </c>
      <c r="C509" s="2">
        <v>4581932</v>
      </c>
    </row>
    <row r="510" spans="1:3" x14ac:dyDescent="0.25">
      <c r="A510" t="s">
        <v>83</v>
      </c>
      <c r="B510" s="1" t="s">
        <v>4</v>
      </c>
      <c r="C510" s="2">
        <v>4934893</v>
      </c>
    </row>
    <row r="511" spans="1:3" x14ac:dyDescent="0.25">
      <c r="A511" t="s">
        <v>83</v>
      </c>
      <c r="B511" s="1" t="s">
        <v>5</v>
      </c>
      <c r="C511" s="2">
        <v>4182285</v>
      </c>
    </row>
    <row r="512" spans="1:3" x14ac:dyDescent="0.25">
      <c r="A512" t="s">
        <v>83</v>
      </c>
      <c r="B512" s="1" t="s">
        <v>6</v>
      </c>
      <c r="C512" s="2">
        <v>4171832</v>
      </c>
    </row>
    <row r="513" spans="1:3" x14ac:dyDescent="0.25">
      <c r="A513" t="s">
        <v>83</v>
      </c>
      <c r="B513" s="1" t="s">
        <v>7</v>
      </c>
      <c r="C513" s="2">
        <v>4497122</v>
      </c>
    </row>
    <row r="514" spans="1:3" x14ac:dyDescent="0.25">
      <c r="A514" t="s">
        <v>83</v>
      </c>
      <c r="B514" s="1" t="s">
        <v>8</v>
      </c>
      <c r="C514" s="2">
        <v>4488244</v>
      </c>
    </row>
    <row r="515" spans="1:3" x14ac:dyDescent="0.25">
      <c r="A515" t="s">
        <v>83</v>
      </c>
      <c r="B515" s="1" t="s">
        <v>9</v>
      </c>
      <c r="C515" s="2">
        <v>4532600</v>
      </c>
    </row>
    <row r="516" spans="1:3" x14ac:dyDescent="0.25">
      <c r="A516" t="s">
        <v>83</v>
      </c>
      <c r="B516" s="1" t="s">
        <v>10</v>
      </c>
      <c r="C516" s="2">
        <v>4511748</v>
      </c>
    </row>
    <row r="517" spans="1:3" x14ac:dyDescent="0.25">
      <c r="A517" t="s">
        <v>83</v>
      </c>
      <c r="B517" s="1" t="s">
        <v>11</v>
      </c>
      <c r="C517" s="2">
        <v>4809743</v>
      </c>
    </row>
    <row r="518" spans="1:3" x14ac:dyDescent="0.25">
      <c r="A518" t="s">
        <v>83</v>
      </c>
      <c r="B518" s="1" t="s">
        <v>12</v>
      </c>
      <c r="C518" s="2">
        <v>4854452</v>
      </c>
    </row>
    <row r="519" spans="1:3" x14ac:dyDescent="0.25">
      <c r="A519" t="s">
        <v>83</v>
      </c>
      <c r="B519" s="1" t="s">
        <v>13</v>
      </c>
      <c r="C519" s="2">
        <v>4496294</v>
      </c>
    </row>
    <row r="520" spans="1:3" x14ac:dyDescent="0.25">
      <c r="A520" t="s">
        <v>83</v>
      </c>
      <c r="B520" s="1" t="s">
        <v>14</v>
      </c>
      <c r="C520" s="2">
        <v>4757860</v>
      </c>
    </row>
    <row r="521" spans="1:3" x14ac:dyDescent="0.25">
      <c r="A521" t="s">
        <v>83</v>
      </c>
      <c r="B521" s="1" t="s">
        <v>15</v>
      </c>
      <c r="C521" s="2">
        <v>5365456</v>
      </c>
    </row>
    <row r="522" spans="1:3" x14ac:dyDescent="0.25">
      <c r="A522" t="s">
        <v>83</v>
      </c>
      <c r="B522" s="1" t="s">
        <v>16</v>
      </c>
      <c r="C522" s="2">
        <v>5368082</v>
      </c>
    </row>
    <row r="523" spans="1:3" x14ac:dyDescent="0.25">
      <c r="A523" t="s">
        <v>83</v>
      </c>
      <c r="B523" s="1" t="s">
        <v>17</v>
      </c>
      <c r="C523" s="2">
        <v>5987944</v>
      </c>
    </row>
    <row r="524" spans="1:3" x14ac:dyDescent="0.25">
      <c r="A524" t="s">
        <v>83</v>
      </c>
      <c r="B524" s="1" t="s">
        <v>18</v>
      </c>
      <c r="C524" s="2">
        <v>7676187</v>
      </c>
    </row>
    <row r="525" spans="1:3" x14ac:dyDescent="0.25">
      <c r="A525" t="s">
        <v>83</v>
      </c>
      <c r="B525" s="1" t="s">
        <v>19</v>
      </c>
      <c r="C525" s="2">
        <v>8575950</v>
      </c>
    </row>
    <row r="526" spans="1:3" x14ac:dyDescent="0.25">
      <c r="A526" t="s">
        <v>83</v>
      </c>
      <c r="B526" s="1" t="s">
        <v>20</v>
      </c>
      <c r="C526" s="10" t="s">
        <v>169</v>
      </c>
    </row>
    <row r="527" spans="1:3" x14ac:dyDescent="0.25">
      <c r="A527" t="s">
        <v>83</v>
      </c>
      <c r="B527" s="1" t="s">
        <v>21</v>
      </c>
      <c r="C527" s="10" t="s">
        <v>170</v>
      </c>
    </row>
    <row r="528" spans="1:3" x14ac:dyDescent="0.25">
      <c r="A528" t="s">
        <v>83</v>
      </c>
      <c r="B528" s="1" t="s">
        <v>22</v>
      </c>
      <c r="C528" s="10" t="s">
        <v>171</v>
      </c>
    </row>
    <row r="529" spans="1:3" x14ac:dyDescent="0.25">
      <c r="A529" s="5" t="s">
        <v>83</v>
      </c>
      <c r="B529" s="1" t="s">
        <v>23</v>
      </c>
      <c r="C529" s="13"/>
    </row>
    <row r="530" spans="1:3" x14ac:dyDescent="0.25">
      <c r="A530" t="s">
        <v>84</v>
      </c>
      <c r="B530" s="1" t="s">
        <v>60</v>
      </c>
      <c r="C530" s="2">
        <v>23621308</v>
      </c>
    </row>
    <row r="531" spans="1:3" x14ac:dyDescent="0.25">
      <c r="A531" t="s">
        <v>84</v>
      </c>
      <c r="B531" s="1" t="s">
        <v>61</v>
      </c>
      <c r="C531" s="2">
        <v>24626061</v>
      </c>
    </row>
    <row r="532" spans="1:3" x14ac:dyDescent="0.25">
      <c r="A532" t="s">
        <v>84</v>
      </c>
      <c r="B532" s="1" t="s">
        <v>62</v>
      </c>
      <c r="C532" s="2">
        <v>26500390</v>
      </c>
    </row>
    <row r="533" spans="1:3" x14ac:dyDescent="0.25">
      <c r="A533" t="s">
        <v>84</v>
      </c>
      <c r="B533" s="1" t="s">
        <v>3</v>
      </c>
      <c r="C533" s="2">
        <v>24635233</v>
      </c>
    </row>
    <row r="534" spans="1:3" x14ac:dyDescent="0.25">
      <c r="A534" t="s">
        <v>84</v>
      </c>
      <c r="B534" s="1" t="s">
        <v>4</v>
      </c>
      <c r="C534" s="2">
        <v>22434585</v>
      </c>
    </row>
    <row r="535" spans="1:3" x14ac:dyDescent="0.25">
      <c r="A535" t="s">
        <v>84</v>
      </c>
      <c r="B535" s="1" t="s">
        <v>5</v>
      </c>
      <c r="C535" s="2">
        <v>20573665</v>
      </c>
    </row>
    <row r="536" spans="1:3" x14ac:dyDescent="0.25">
      <c r="A536" t="s">
        <v>84</v>
      </c>
      <c r="B536" s="1" t="s">
        <v>6</v>
      </c>
      <c r="C536" s="2">
        <v>21095742</v>
      </c>
    </row>
    <row r="537" spans="1:3" x14ac:dyDescent="0.25">
      <c r="A537" t="s">
        <v>84</v>
      </c>
      <c r="B537" s="1" t="s">
        <v>7</v>
      </c>
      <c r="C537" s="2">
        <v>20486926</v>
      </c>
    </row>
    <row r="538" spans="1:3" x14ac:dyDescent="0.25">
      <c r="A538" t="s">
        <v>84</v>
      </c>
      <c r="B538" s="1" t="s">
        <v>8</v>
      </c>
      <c r="C538" s="2">
        <v>18785634</v>
      </c>
    </row>
    <row r="539" spans="1:3" x14ac:dyDescent="0.25">
      <c r="A539" t="s">
        <v>84</v>
      </c>
      <c r="B539" s="1" t="s">
        <v>9</v>
      </c>
      <c r="C539" s="2">
        <v>21218758</v>
      </c>
    </row>
    <row r="540" spans="1:3" x14ac:dyDescent="0.25">
      <c r="A540" t="s">
        <v>84</v>
      </c>
      <c r="B540" s="1" t="s">
        <v>10</v>
      </c>
      <c r="C540" s="2">
        <v>21621173</v>
      </c>
    </row>
    <row r="541" spans="1:3" x14ac:dyDescent="0.25">
      <c r="A541" t="s">
        <v>84</v>
      </c>
      <c r="B541" s="1" t="s">
        <v>11</v>
      </c>
      <c r="C541" s="2">
        <v>23021785</v>
      </c>
    </row>
    <row r="542" spans="1:3" x14ac:dyDescent="0.25">
      <c r="A542" t="s">
        <v>84</v>
      </c>
      <c r="B542" s="1" t="s">
        <v>12</v>
      </c>
      <c r="C542" s="2">
        <v>21324429</v>
      </c>
    </row>
    <row r="543" spans="1:3" x14ac:dyDescent="0.25">
      <c r="A543" t="s">
        <v>84</v>
      </c>
      <c r="B543" s="1" t="s">
        <v>13</v>
      </c>
      <c r="C543" s="2">
        <v>21394130</v>
      </c>
    </row>
    <row r="544" spans="1:3" x14ac:dyDescent="0.25">
      <c r="A544" t="s">
        <v>84</v>
      </c>
      <c r="B544" s="1" t="s">
        <v>14</v>
      </c>
      <c r="C544" s="2">
        <v>20971901</v>
      </c>
    </row>
    <row r="545" spans="1:3" x14ac:dyDescent="0.25">
      <c r="A545" t="s">
        <v>84</v>
      </c>
      <c r="B545" s="1" t="s">
        <v>15</v>
      </c>
      <c r="C545" s="9">
        <v>18297700</v>
      </c>
    </row>
    <row r="546" spans="1:3" x14ac:dyDescent="0.25">
      <c r="A546" t="s">
        <v>84</v>
      </c>
      <c r="B546" s="1" t="s">
        <v>16</v>
      </c>
      <c r="C546" s="9">
        <v>18438704</v>
      </c>
    </row>
    <row r="547" spans="1:3" x14ac:dyDescent="0.25">
      <c r="A547" t="s">
        <v>84</v>
      </c>
      <c r="B547" s="1" t="s">
        <v>17</v>
      </c>
      <c r="C547" s="9">
        <v>17025906</v>
      </c>
    </row>
    <row r="548" spans="1:3" x14ac:dyDescent="0.25">
      <c r="A548" t="s">
        <v>84</v>
      </c>
      <c r="B548" s="1" t="s">
        <v>18</v>
      </c>
      <c r="C548" s="9">
        <v>16851777</v>
      </c>
    </row>
    <row r="549" spans="1:3" x14ac:dyDescent="0.25">
      <c r="A549" t="s">
        <v>84</v>
      </c>
      <c r="B549" s="1" t="s">
        <v>19</v>
      </c>
      <c r="C549" s="9">
        <v>17701527</v>
      </c>
    </row>
    <row r="550" spans="1:3" x14ac:dyDescent="0.25">
      <c r="A550" t="s">
        <v>84</v>
      </c>
      <c r="B550" s="1" t="s">
        <v>20</v>
      </c>
      <c r="C550" s="10" t="s">
        <v>172</v>
      </c>
    </row>
    <row r="551" spans="1:3" x14ac:dyDescent="0.25">
      <c r="A551" t="s">
        <v>84</v>
      </c>
      <c r="B551" s="1" t="s">
        <v>21</v>
      </c>
      <c r="C551" s="10" t="s">
        <v>173</v>
      </c>
    </row>
    <row r="552" spans="1:3" x14ac:dyDescent="0.25">
      <c r="A552" t="s">
        <v>84</v>
      </c>
      <c r="B552" s="1" t="s">
        <v>22</v>
      </c>
      <c r="C552" s="10" t="s">
        <v>174</v>
      </c>
    </row>
    <row r="553" spans="1:3" x14ac:dyDescent="0.25">
      <c r="A553" t="s">
        <v>84</v>
      </c>
      <c r="B553" s="1" t="s">
        <v>23</v>
      </c>
      <c r="C553" s="7">
        <v>16717087</v>
      </c>
    </row>
    <row r="554" spans="1:3" x14ac:dyDescent="0.25">
      <c r="A554" t="s">
        <v>85</v>
      </c>
      <c r="B554" s="1" t="s">
        <v>60</v>
      </c>
      <c r="C554" s="9">
        <v>24404090</v>
      </c>
    </row>
    <row r="555" spans="1:3" x14ac:dyDescent="0.25">
      <c r="A555" t="s">
        <v>85</v>
      </c>
      <c r="B555" s="1" t="s">
        <v>61</v>
      </c>
      <c r="C555" s="9">
        <v>24128010</v>
      </c>
    </row>
    <row r="556" spans="1:3" x14ac:dyDescent="0.25">
      <c r="A556" t="s">
        <v>85</v>
      </c>
      <c r="B556" s="1" t="s">
        <v>62</v>
      </c>
      <c r="C556" s="9">
        <v>26375289</v>
      </c>
    </row>
    <row r="557" spans="1:3" x14ac:dyDescent="0.25">
      <c r="A557" t="s">
        <v>85</v>
      </c>
      <c r="B557" s="1" t="s">
        <v>3</v>
      </c>
      <c r="C557" s="9">
        <v>27086504</v>
      </c>
    </row>
    <row r="558" spans="1:3" x14ac:dyDescent="0.25">
      <c r="A558" t="s">
        <v>85</v>
      </c>
      <c r="B558" s="1" t="s">
        <v>4</v>
      </c>
      <c r="C558" s="9">
        <v>28185185</v>
      </c>
    </row>
    <row r="559" spans="1:3" x14ac:dyDescent="0.25">
      <c r="A559" t="s">
        <v>85</v>
      </c>
      <c r="B559" s="1" t="s">
        <v>5</v>
      </c>
      <c r="C559" s="9">
        <v>27961844</v>
      </c>
    </row>
    <row r="560" spans="1:3" x14ac:dyDescent="0.25">
      <c r="A560" t="s">
        <v>85</v>
      </c>
      <c r="B560" s="1" t="s">
        <v>6</v>
      </c>
      <c r="C560" s="9">
        <v>28879204</v>
      </c>
    </row>
    <row r="561" spans="1:3" x14ac:dyDescent="0.25">
      <c r="A561" t="s">
        <v>85</v>
      </c>
      <c r="B561" s="1" t="s">
        <v>7</v>
      </c>
      <c r="C561" s="9">
        <v>29631693</v>
      </c>
    </row>
    <row r="562" spans="1:3" x14ac:dyDescent="0.25">
      <c r="A562" t="s">
        <v>85</v>
      </c>
      <c r="B562" s="1" t="s">
        <v>8</v>
      </c>
      <c r="C562" s="9">
        <v>31682518</v>
      </c>
    </row>
    <row r="563" spans="1:3" x14ac:dyDescent="0.25">
      <c r="A563" t="s">
        <v>85</v>
      </c>
      <c r="B563" s="1" t="s">
        <v>9</v>
      </c>
      <c r="C563" s="9">
        <v>37114722</v>
      </c>
    </row>
    <row r="564" spans="1:3" x14ac:dyDescent="0.25">
      <c r="A564" t="s">
        <v>85</v>
      </c>
      <c r="B564" s="1" t="s">
        <v>10</v>
      </c>
      <c r="C564" s="9">
        <v>39065823</v>
      </c>
    </row>
    <row r="565" spans="1:3" x14ac:dyDescent="0.25">
      <c r="A565" t="s">
        <v>85</v>
      </c>
      <c r="B565" s="1" t="s">
        <v>11</v>
      </c>
      <c r="C565" s="9">
        <v>36936262</v>
      </c>
    </row>
    <row r="566" spans="1:3" x14ac:dyDescent="0.25">
      <c r="A566" t="s">
        <v>85</v>
      </c>
      <c r="B566" s="1" t="s">
        <v>12</v>
      </c>
      <c r="C566" s="9">
        <v>38260154</v>
      </c>
    </row>
    <row r="567" spans="1:3" x14ac:dyDescent="0.25">
      <c r="A567" t="s">
        <v>85</v>
      </c>
      <c r="B567" s="1" t="s">
        <v>13</v>
      </c>
      <c r="C567" s="9">
        <v>36118896</v>
      </c>
    </row>
    <row r="568" spans="1:3" x14ac:dyDescent="0.25">
      <c r="A568" t="s">
        <v>85</v>
      </c>
      <c r="B568" s="1" t="s">
        <v>14</v>
      </c>
      <c r="C568" s="9">
        <v>39411352</v>
      </c>
    </row>
    <row r="569" spans="1:3" x14ac:dyDescent="0.25">
      <c r="A569" t="s">
        <v>85</v>
      </c>
      <c r="B569" s="1" t="s">
        <v>15</v>
      </c>
      <c r="C569" s="9">
        <v>38053939</v>
      </c>
    </row>
    <row r="570" spans="1:3" x14ac:dyDescent="0.25">
      <c r="A570" t="s">
        <v>85</v>
      </c>
      <c r="B570" s="1" t="s">
        <v>16</v>
      </c>
      <c r="C570" s="9">
        <v>40053044</v>
      </c>
    </row>
    <row r="571" spans="1:3" x14ac:dyDescent="0.25">
      <c r="A571" t="s">
        <v>85</v>
      </c>
      <c r="B571" s="1" t="s">
        <v>17</v>
      </c>
      <c r="C571" s="9">
        <v>40666380</v>
      </c>
    </row>
    <row r="572" spans="1:3" x14ac:dyDescent="0.25">
      <c r="A572" t="s">
        <v>85</v>
      </c>
      <c r="B572" s="1" t="s">
        <v>18</v>
      </c>
      <c r="C572" s="9">
        <v>41266849</v>
      </c>
    </row>
    <row r="573" spans="1:3" x14ac:dyDescent="0.25">
      <c r="A573" t="s">
        <v>85</v>
      </c>
      <c r="B573" s="1" t="s">
        <v>19</v>
      </c>
      <c r="C573" s="9">
        <v>43801571</v>
      </c>
    </row>
    <row r="574" spans="1:3" x14ac:dyDescent="0.25">
      <c r="A574" t="s">
        <v>85</v>
      </c>
      <c r="B574" s="1" t="s">
        <v>20</v>
      </c>
      <c r="C574" s="10" t="s">
        <v>175</v>
      </c>
    </row>
    <row r="575" spans="1:3" x14ac:dyDescent="0.25">
      <c r="A575" s="6" t="s">
        <v>85</v>
      </c>
      <c r="B575" s="1" t="s">
        <v>21</v>
      </c>
      <c r="C575" s="9">
        <v>47780374</v>
      </c>
    </row>
    <row r="576" spans="1:3" x14ac:dyDescent="0.25">
      <c r="A576" t="s">
        <v>85</v>
      </c>
      <c r="B576" s="1" t="s">
        <v>22</v>
      </c>
      <c r="C576" s="7">
        <v>48994215</v>
      </c>
    </row>
    <row r="577" spans="1:3" x14ac:dyDescent="0.25">
      <c r="A577" t="s">
        <v>85</v>
      </c>
      <c r="B577" s="1" t="s">
        <v>23</v>
      </c>
      <c r="C577" s="8">
        <v>51499424</v>
      </c>
    </row>
    <row r="578" spans="1:3" x14ac:dyDescent="0.25">
      <c r="A578" t="s">
        <v>39</v>
      </c>
      <c r="B578" s="1" t="s">
        <v>60</v>
      </c>
      <c r="C578" s="2">
        <v>68624370</v>
      </c>
    </row>
    <row r="579" spans="1:3" x14ac:dyDescent="0.25">
      <c r="A579" t="s">
        <v>39</v>
      </c>
      <c r="B579" s="1" t="s">
        <v>61</v>
      </c>
      <c r="C579" s="2">
        <v>72182249</v>
      </c>
    </row>
    <row r="580" spans="1:3" x14ac:dyDescent="0.25">
      <c r="A580" t="s">
        <v>39</v>
      </c>
      <c r="B580" s="1" t="s">
        <v>62</v>
      </c>
      <c r="C580" s="2">
        <v>76812021</v>
      </c>
    </row>
    <row r="581" spans="1:3" x14ac:dyDescent="0.25">
      <c r="A581" t="s">
        <v>39</v>
      </c>
      <c r="B581" s="1" t="s">
        <v>3</v>
      </c>
      <c r="C581" s="2">
        <v>82297010</v>
      </c>
    </row>
    <row r="582" spans="1:3" x14ac:dyDescent="0.25">
      <c r="A582" t="s">
        <v>39</v>
      </c>
      <c r="B582" s="1" t="s">
        <v>4</v>
      </c>
      <c r="C582" s="2">
        <v>84142259</v>
      </c>
    </row>
    <row r="583" spans="1:3" x14ac:dyDescent="0.25">
      <c r="A583" t="s">
        <v>39</v>
      </c>
      <c r="B583" s="1" t="s">
        <v>5</v>
      </c>
      <c r="C583" s="2">
        <v>82963039</v>
      </c>
    </row>
    <row r="584" spans="1:3" x14ac:dyDescent="0.25">
      <c r="A584" t="s">
        <v>39</v>
      </c>
      <c r="B584" s="1" t="s">
        <v>6</v>
      </c>
      <c r="C584" s="2">
        <v>77362176</v>
      </c>
    </row>
    <row r="585" spans="1:3" x14ac:dyDescent="0.25">
      <c r="A585" t="s">
        <v>39</v>
      </c>
      <c r="B585" s="1" t="s">
        <v>7</v>
      </c>
      <c r="C585" s="2">
        <v>83761946</v>
      </c>
    </row>
    <row r="586" spans="1:3" x14ac:dyDescent="0.25">
      <c r="A586" t="s">
        <v>39</v>
      </c>
      <c r="B586" s="1" t="s">
        <v>8</v>
      </c>
      <c r="C586" s="2">
        <v>83972460</v>
      </c>
    </row>
    <row r="587" spans="1:3" x14ac:dyDescent="0.25">
      <c r="A587" t="s">
        <v>39</v>
      </c>
      <c r="B587" s="1" t="s">
        <v>9</v>
      </c>
      <c r="C587" s="2">
        <v>84277675</v>
      </c>
    </row>
    <row r="588" spans="1:3" x14ac:dyDescent="0.25">
      <c r="A588" t="s">
        <v>39</v>
      </c>
      <c r="B588" s="1" t="s">
        <v>10</v>
      </c>
      <c r="C588" s="2">
        <v>87808884</v>
      </c>
    </row>
    <row r="589" spans="1:3" x14ac:dyDescent="0.25">
      <c r="A589" t="s">
        <v>39</v>
      </c>
      <c r="B589" s="1" t="s">
        <v>11</v>
      </c>
      <c r="C589" s="2">
        <v>100803831</v>
      </c>
    </row>
    <row r="590" spans="1:3" x14ac:dyDescent="0.25">
      <c r="A590" t="s">
        <v>39</v>
      </c>
      <c r="B590" s="1" t="s">
        <v>12</v>
      </c>
      <c r="C590" s="2">
        <v>99260211</v>
      </c>
    </row>
    <row r="591" spans="1:3" x14ac:dyDescent="0.25">
      <c r="A591" t="s">
        <v>39</v>
      </c>
      <c r="B591" s="1" t="s">
        <v>13</v>
      </c>
      <c r="C591" s="2">
        <v>99236119</v>
      </c>
    </row>
    <row r="592" spans="1:3" x14ac:dyDescent="0.25">
      <c r="A592" t="s">
        <v>39</v>
      </c>
      <c r="B592" s="1" t="s">
        <v>14</v>
      </c>
      <c r="C592" s="2">
        <v>103824073</v>
      </c>
    </row>
    <row r="593" spans="1:3" x14ac:dyDescent="0.25">
      <c r="A593" t="s">
        <v>39</v>
      </c>
      <c r="B593" s="1" t="s">
        <v>15</v>
      </c>
      <c r="C593" s="2">
        <v>112202653</v>
      </c>
    </row>
    <row r="594" spans="1:3" x14ac:dyDescent="0.25">
      <c r="A594" t="s">
        <v>39</v>
      </c>
      <c r="B594" s="1" t="s">
        <v>16</v>
      </c>
      <c r="C594" s="2">
        <v>111592194</v>
      </c>
    </row>
    <row r="595" spans="1:3" x14ac:dyDescent="0.25">
      <c r="A595" t="s">
        <v>39</v>
      </c>
      <c r="B595" s="1" t="s">
        <v>17</v>
      </c>
      <c r="C595" s="2">
        <v>115865775</v>
      </c>
    </row>
    <row r="596" spans="1:3" x14ac:dyDescent="0.25">
      <c r="A596" t="s">
        <v>39</v>
      </c>
      <c r="B596" s="1" t="s">
        <v>18</v>
      </c>
      <c r="C596" s="2">
        <v>119765037</v>
      </c>
    </row>
    <row r="597" spans="1:3" x14ac:dyDescent="0.25">
      <c r="A597" t="s">
        <v>39</v>
      </c>
      <c r="B597" s="1" t="s">
        <v>19</v>
      </c>
      <c r="C597" s="2">
        <v>132879390</v>
      </c>
    </row>
    <row r="598" spans="1:3" x14ac:dyDescent="0.25">
      <c r="A598" t="s">
        <v>39</v>
      </c>
      <c r="B598" s="1" t="s">
        <v>20</v>
      </c>
      <c r="C598" s="2">
        <v>113196061</v>
      </c>
    </row>
    <row r="599" spans="1:3" x14ac:dyDescent="0.25">
      <c r="A599" t="s">
        <v>39</v>
      </c>
      <c r="B599" s="1" t="s">
        <v>21</v>
      </c>
      <c r="C599" s="2">
        <v>123549904</v>
      </c>
    </row>
    <row r="600" spans="1:3" x14ac:dyDescent="0.25">
      <c r="A600" t="s">
        <v>39</v>
      </c>
      <c r="B600" s="1" t="s">
        <v>22</v>
      </c>
      <c r="C600" s="2">
        <v>126173172</v>
      </c>
    </row>
    <row r="601" spans="1:3" x14ac:dyDescent="0.25">
      <c r="A601" t="s">
        <v>39</v>
      </c>
      <c r="B601" s="1" t="s">
        <v>23</v>
      </c>
      <c r="C601" s="8">
        <v>141750449</v>
      </c>
    </row>
    <row r="602" spans="1:3" x14ac:dyDescent="0.25">
      <c r="A602" t="s">
        <v>86</v>
      </c>
      <c r="B602" s="1" t="s">
        <v>60</v>
      </c>
      <c r="C602" s="14">
        <v>2045250</v>
      </c>
    </row>
    <row r="603" spans="1:3" x14ac:dyDescent="0.25">
      <c r="A603" t="s">
        <v>86</v>
      </c>
      <c r="B603" s="1" t="s">
        <v>61</v>
      </c>
      <c r="C603" s="14">
        <v>2249484</v>
      </c>
    </row>
    <row r="604" spans="1:3" x14ac:dyDescent="0.25">
      <c r="A604" t="s">
        <v>86</v>
      </c>
      <c r="B604" s="1" t="s">
        <v>62</v>
      </c>
      <c r="C604" s="14">
        <v>2302593</v>
      </c>
    </row>
    <row r="605" spans="1:3" x14ac:dyDescent="0.25">
      <c r="A605" t="s">
        <v>86</v>
      </c>
      <c r="B605" s="1" t="s">
        <v>3</v>
      </c>
      <c r="C605" s="14">
        <v>2458824</v>
      </c>
    </row>
    <row r="606" spans="1:3" x14ac:dyDescent="0.25">
      <c r="A606" t="s">
        <v>86</v>
      </c>
      <c r="B606" s="1" t="s">
        <v>4</v>
      </c>
      <c r="C606" s="14">
        <v>2400706</v>
      </c>
    </row>
    <row r="607" spans="1:3" x14ac:dyDescent="0.25">
      <c r="A607" t="s">
        <v>86</v>
      </c>
      <c r="B607" s="1" t="s">
        <v>5</v>
      </c>
      <c r="C607" s="14">
        <v>2408175</v>
      </c>
    </row>
    <row r="608" spans="1:3" x14ac:dyDescent="0.25">
      <c r="A608" t="s">
        <v>86</v>
      </c>
      <c r="B608" s="1" t="s">
        <v>6</v>
      </c>
      <c r="C608" s="14">
        <v>2446722</v>
      </c>
    </row>
    <row r="609" spans="1:3" x14ac:dyDescent="0.25">
      <c r="A609" t="s">
        <v>86</v>
      </c>
      <c r="B609" s="1" t="s">
        <v>7</v>
      </c>
      <c r="C609" s="14">
        <v>2264173</v>
      </c>
    </row>
    <row r="610" spans="1:3" x14ac:dyDescent="0.25">
      <c r="A610" t="s">
        <v>86</v>
      </c>
      <c r="B610" s="1" t="s">
        <v>8</v>
      </c>
      <c r="C610" s="14">
        <v>2287153</v>
      </c>
    </row>
    <row r="611" spans="1:3" x14ac:dyDescent="0.25">
      <c r="A611" t="s">
        <v>86</v>
      </c>
      <c r="B611" s="1" t="s">
        <v>9</v>
      </c>
      <c r="C611" s="15">
        <v>2768699</v>
      </c>
    </row>
    <row r="612" spans="1:3" x14ac:dyDescent="0.25">
      <c r="A612" t="s">
        <v>86</v>
      </c>
      <c r="B612" s="1" t="s">
        <v>10</v>
      </c>
      <c r="C612" s="14">
        <v>2512842</v>
      </c>
    </row>
    <row r="613" spans="1:3" x14ac:dyDescent="0.25">
      <c r="A613" t="s">
        <v>86</v>
      </c>
      <c r="B613" s="1" t="s">
        <v>11</v>
      </c>
      <c r="C613" s="14">
        <v>2527173</v>
      </c>
    </row>
    <row r="614" spans="1:3" x14ac:dyDescent="0.25">
      <c r="A614" t="s">
        <v>86</v>
      </c>
      <c r="B614" s="1" t="s">
        <v>12</v>
      </c>
      <c r="C614" s="14">
        <v>2321800</v>
      </c>
    </row>
    <row r="615" spans="1:3" x14ac:dyDescent="0.25">
      <c r="A615" t="s">
        <v>86</v>
      </c>
      <c r="B615" s="1" t="s">
        <v>13</v>
      </c>
      <c r="C615" s="14">
        <v>2203513</v>
      </c>
    </row>
    <row r="616" spans="1:3" x14ac:dyDescent="0.25">
      <c r="A616" t="s">
        <v>86</v>
      </c>
      <c r="B616" s="1" t="s">
        <v>14</v>
      </c>
      <c r="C616" s="14">
        <v>2128998</v>
      </c>
    </row>
    <row r="617" spans="1:3" x14ac:dyDescent="0.25">
      <c r="A617" t="s">
        <v>86</v>
      </c>
      <c r="B617" s="1" t="s">
        <v>15</v>
      </c>
      <c r="C617" s="14">
        <v>2586663</v>
      </c>
    </row>
    <row r="618" spans="1:3" x14ac:dyDescent="0.25">
      <c r="A618" t="s">
        <v>86</v>
      </c>
      <c r="B618" s="1" t="s">
        <v>16</v>
      </c>
      <c r="C618" s="15">
        <v>3981142</v>
      </c>
    </row>
    <row r="619" spans="1:3" x14ac:dyDescent="0.25">
      <c r="A619" t="s">
        <v>86</v>
      </c>
      <c r="B619" s="1" t="s">
        <v>17</v>
      </c>
      <c r="C619" s="14">
        <v>4222206</v>
      </c>
    </row>
    <row r="620" spans="1:3" x14ac:dyDescent="0.25">
      <c r="A620" t="s">
        <v>86</v>
      </c>
      <c r="B620" s="1" t="s">
        <v>18</v>
      </c>
      <c r="C620" s="14">
        <v>6898588</v>
      </c>
    </row>
    <row r="621" spans="1:3" x14ac:dyDescent="0.25">
      <c r="A621" t="s">
        <v>86</v>
      </c>
      <c r="B621" s="1" t="s">
        <v>19</v>
      </c>
      <c r="C621" s="14">
        <v>4649357</v>
      </c>
    </row>
    <row r="622" spans="1:3" x14ac:dyDescent="0.25">
      <c r="A622" t="s">
        <v>86</v>
      </c>
      <c r="B622" s="1" t="s">
        <v>20</v>
      </c>
      <c r="C622" s="14">
        <v>9416588</v>
      </c>
    </row>
    <row r="623" spans="1:3" x14ac:dyDescent="0.25">
      <c r="A623" t="s">
        <v>86</v>
      </c>
      <c r="B623" s="1" t="s">
        <v>21</v>
      </c>
      <c r="C623" s="14">
        <v>9772945</v>
      </c>
    </row>
    <row r="624" spans="1:3" x14ac:dyDescent="0.25">
      <c r="A624" t="s">
        <v>86</v>
      </c>
      <c r="B624" s="1" t="s">
        <v>22</v>
      </c>
      <c r="C624" s="14">
        <v>10598944</v>
      </c>
    </row>
    <row r="625" spans="1:3" x14ac:dyDescent="0.25">
      <c r="A625" t="s">
        <v>86</v>
      </c>
      <c r="B625" s="1" t="s">
        <v>23</v>
      </c>
      <c r="C625" s="8">
        <v>11058956</v>
      </c>
    </row>
    <row r="626" spans="1:3" x14ac:dyDescent="0.25">
      <c r="A626" t="s">
        <v>87</v>
      </c>
      <c r="B626" s="1" t="s">
        <v>60</v>
      </c>
      <c r="C626" s="2">
        <v>105722017</v>
      </c>
    </row>
    <row r="627" spans="1:3" x14ac:dyDescent="0.25">
      <c r="A627" t="s">
        <v>87</v>
      </c>
      <c r="B627" s="1" t="s">
        <v>61</v>
      </c>
      <c r="C627" s="2">
        <v>108816423</v>
      </c>
    </row>
    <row r="628" spans="1:3" x14ac:dyDescent="0.25">
      <c r="A628" t="s">
        <v>87</v>
      </c>
      <c r="B628" s="1" t="s">
        <v>62</v>
      </c>
      <c r="C628" s="2">
        <v>106901418</v>
      </c>
    </row>
    <row r="629" spans="1:3" x14ac:dyDescent="0.25">
      <c r="A629" t="s">
        <v>87</v>
      </c>
      <c r="B629" s="1" t="s">
        <v>3</v>
      </c>
      <c r="C629" s="2">
        <v>100857600</v>
      </c>
    </row>
    <row r="630" spans="1:3" x14ac:dyDescent="0.25">
      <c r="A630" t="s">
        <v>87</v>
      </c>
      <c r="B630" s="1" t="s">
        <v>4</v>
      </c>
      <c r="C630" s="2">
        <v>102729077</v>
      </c>
    </row>
    <row r="631" spans="1:3" x14ac:dyDescent="0.25">
      <c r="A631" t="s">
        <v>87</v>
      </c>
      <c r="B631" s="1" t="s">
        <v>5</v>
      </c>
      <c r="C631" s="2">
        <v>86562197</v>
      </c>
    </row>
    <row r="632" spans="1:3" x14ac:dyDescent="0.25">
      <c r="A632" t="s">
        <v>87</v>
      </c>
      <c r="B632" s="1" t="s">
        <v>6</v>
      </c>
      <c r="C632" s="2">
        <v>85183437</v>
      </c>
    </row>
    <row r="633" spans="1:3" x14ac:dyDescent="0.25">
      <c r="A633" t="s">
        <v>87</v>
      </c>
      <c r="B633" s="1" t="s">
        <v>7</v>
      </c>
      <c r="C633" s="2">
        <v>90519271</v>
      </c>
    </row>
    <row r="634" spans="1:3" x14ac:dyDescent="0.25">
      <c r="A634" t="s">
        <v>87</v>
      </c>
      <c r="B634" s="1" t="s">
        <v>8</v>
      </c>
      <c r="C634" s="2">
        <v>91341837</v>
      </c>
    </row>
    <row r="635" spans="1:3" x14ac:dyDescent="0.25">
      <c r="A635" t="s">
        <v>87</v>
      </c>
      <c r="B635" s="1" t="s">
        <v>9</v>
      </c>
      <c r="C635" s="2">
        <v>92613487</v>
      </c>
    </row>
    <row r="636" spans="1:3" x14ac:dyDescent="0.25">
      <c r="A636" t="s">
        <v>87</v>
      </c>
      <c r="B636" s="1" t="s">
        <v>10</v>
      </c>
      <c r="C636" s="2">
        <v>91221902</v>
      </c>
    </row>
    <row r="637" spans="1:3" x14ac:dyDescent="0.25">
      <c r="A637" t="s">
        <v>87</v>
      </c>
      <c r="B637" s="1" t="s">
        <v>11</v>
      </c>
      <c r="C637" s="2">
        <v>94796657</v>
      </c>
    </row>
    <row r="638" spans="1:3" x14ac:dyDescent="0.25">
      <c r="A638" t="s">
        <v>87</v>
      </c>
      <c r="B638" s="1" t="s">
        <v>12</v>
      </c>
      <c r="C638" s="2">
        <v>96083140</v>
      </c>
    </row>
    <row r="639" spans="1:3" x14ac:dyDescent="0.25">
      <c r="A639" t="s">
        <v>87</v>
      </c>
      <c r="B639" s="1" t="s">
        <v>13</v>
      </c>
      <c r="C639" s="2">
        <v>83019354</v>
      </c>
    </row>
    <row r="640" spans="1:3" x14ac:dyDescent="0.25">
      <c r="A640" t="s">
        <v>87</v>
      </c>
      <c r="B640" s="1" t="s">
        <v>14</v>
      </c>
      <c r="C640" s="2">
        <v>76637648</v>
      </c>
    </row>
    <row r="641" spans="1:3" x14ac:dyDescent="0.25">
      <c r="A641" t="s">
        <v>87</v>
      </c>
      <c r="B641" s="1" t="s">
        <v>15</v>
      </c>
      <c r="C641" s="2">
        <v>76758847</v>
      </c>
    </row>
    <row r="642" spans="1:3" x14ac:dyDescent="0.25">
      <c r="A642" t="s">
        <v>87</v>
      </c>
      <c r="B642" s="1" t="s">
        <v>16</v>
      </c>
      <c r="C642" s="2">
        <v>77801906</v>
      </c>
    </row>
    <row r="643" spans="1:3" x14ac:dyDescent="0.25">
      <c r="A643" t="s">
        <v>87</v>
      </c>
      <c r="B643" s="1" t="s">
        <v>17</v>
      </c>
      <c r="C643" s="2">
        <v>77139845</v>
      </c>
    </row>
    <row r="644" spans="1:3" x14ac:dyDescent="0.25">
      <c r="A644" t="s">
        <v>87</v>
      </c>
      <c r="B644" s="1" t="s">
        <v>18</v>
      </c>
      <c r="C644" s="2">
        <v>85674260</v>
      </c>
    </row>
    <row r="645" spans="1:3" x14ac:dyDescent="0.25">
      <c r="A645" t="s">
        <v>87</v>
      </c>
      <c r="B645" s="1" t="s">
        <v>19</v>
      </c>
      <c r="C645" s="2">
        <v>84370310</v>
      </c>
    </row>
    <row r="646" spans="1:3" x14ac:dyDescent="0.25">
      <c r="A646" t="s">
        <v>87</v>
      </c>
      <c r="B646" s="1" t="s">
        <v>20</v>
      </c>
      <c r="C646" s="2">
        <v>75746452</v>
      </c>
    </row>
    <row r="647" spans="1:3" x14ac:dyDescent="0.25">
      <c r="A647" t="s">
        <v>87</v>
      </c>
      <c r="B647" s="1" t="s">
        <v>21</v>
      </c>
      <c r="C647" s="2">
        <v>83044798</v>
      </c>
    </row>
    <row r="648" spans="1:3" x14ac:dyDescent="0.25">
      <c r="A648" s="6" t="s">
        <v>87</v>
      </c>
      <c r="B648" s="1" t="s">
        <v>22</v>
      </c>
      <c r="C648" s="15">
        <v>81114990</v>
      </c>
    </row>
    <row r="649" spans="1:3" x14ac:dyDescent="0.25">
      <c r="A649" s="5" t="s">
        <v>87</v>
      </c>
      <c r="B649" s="1" t="s">
        <v>23</v>
      </c>
    </row>
    <row r="650" spans="1:3" x14ac:dyDescent="0.25">
      <c r="A650" t="s">
        <v>88</v>
      </c>
      <c r="B650" s="1" t="s">
        <v>60</v>
      </c>
      <c r="C650" s="2">
        <v>12700782</v>
      </c>
    </row>
    <row r="651" spans="1:3" x14ac:dyDescent="0.25">
      <c r="A651" t="s">
        <v>88</v>
      </c>
      <c r="B651" s="1" t="s">
        <v>61</v>
      </c>
      <c r="C651" s="2">
        <v>12272195</v>
      </c>
    </row>
    <row r="652" spans="1:3" x14ac:dyDescent="0.25">
      <c r="A652" t="s">
        <v>88</v>
      </c>
      <c r="B652" s="1" t="s">
        <v>62</v>
      </c>
      <c r="C652" s="2">
        <v>11337536</v>
      </c>
    </row>
    <row r="653" spans="1:3" x14ac:dyDescent="0.25">
      <c r="A653" t="s">
        <v>88</v>
      </c>
      <c r="B653" s="1" t="s">
        <v>3</v>
      </c>
      <c r="C653" s="2">
        <v>10706094</v>
      </c>
    </row>
    <row r="654" spans="1:3" x14ac:dyDescent="0.25">
      <c r="A654" t="s">
        <v>88</v>
      </c>
      <c r="B654" s="1" t="s">
        <v>4</v>
      </c>
      <c r="C654" s="2">
        <v>10655048</v>
      </c>
    </row>
    <row r="655" spans="1:3" x14ac:dyDescent="0.25">
      <c r="A655" t="s">
        <v>88</v>
      </c>
      <c r="B655" s="1" t="s">
        <v>5</v>
      </c>
      <c r="C655" s="2">
        <v>10272364</v>
      </c>
    </row>
    <row r="656" spans="1:3" x14ac:dyDescent="0.25">
      <c r="A656" t="s">
        <v>88</v>
      </c>
      <c r="B656" s="1" t="s">
        <v>6</v>
      </c>
      <c r="C656" s="2">
        <v>10695914</v>
      </c>
    </row>
    <row r="657" spans="1:3" x14ac:dyDescent="0.25">
      <c r="A657" t="s">
        <v>88</v>
      </c>
      <c r="B657" s="1" t="s">
        <v>7</v>
      </c>
      <c r="C657" s="2">
        <v>10854855</v>
      </c>
    </row>
    <row r="658" spans="1:3" x14ac:dyDescent="0.25">
      <c r="A658" t="s">
        <v>88</v>
      </c>
      <c r="B658" s="1" t="s">
        <v>8</v>
      </c>
      <c r="C658" s="2">
        <v>10921821</v>
      </c>
    </row>
    <row r="659" spans="1:3" x14ac:dyDescent="0.25">
      <c r="A659" t="s">
        <v>88</v>
      </c>
      <c r="B659" s="1" t="s">
        <v>9</v>
      </c>
      <c r="C659" s="2">
        <v>10785414</v>
      </c>
    </row>
    <row r="660" spans="1:3" x14ac:dyDescent="0.25">
      <c r="A660" t="s">
        <v>88</v>
      </c>
      <c r="B660" s="1" t="s">
        <v>10</v>
      </c>
      <c r="C660" s="2">
        <v>11079984</v>
      </c>
    </row>
    <row r="661" spans="1:3" x14ac:dyDescent="0.25">
      <c r="A661" t="s">
        <v>88</v>
      </c>
      <c r="B661" s="1" t="s">
        <v>11</v>
      </c>
      <c r="C661" s="2">
        <v>10607879</v>
      </c>
    </row>
    <row r="662" spans="1:3" x14ac:dyDescent="0.25">
      <c r="A662" t="s">
        <v>88</v>
      </c>
      <c r="B662" s="1" t="s">
        <v>12</v>
      </c>
      <c r="C662" s="2">
        <v>11028707</v>
      </c>
    </row>
    <row r="663" spans="1:3" x14ac:dyDescent="0.25">
      <c r="A663" t="s">
        <v>88</v>
      </c>
      <c r="B663" s="1" t="s">
        <v>13</v>
      </c>
      <c r="C663" s="2">
        <v>10195135</v>
      </c>
    </row>
    <row r="664" spans="1:3" x14ac:dyDescent="0.25">
      <c r="A664" t="s">
        <v>88</v>
      </c>
      <c r="B664" s="1" t="s">
        <v>14</v>
      </c>
      <c r="C664" s="2">
        <v>10840277</v>
      </c>
    </row>
    <row r="665" spans="1:3" x14ac:dyDescent="0.25">
      <c r="A665" t="s">
        <v>88</v>
      </c>
      <c r="B665" s="1" t="s">
        <v>15</v>
      </c>
      <c r="C665" s="2">
        <v>11652904</v>
      </c>
    </row>
    <row r="666" spans="1:3" x14ac:dyDescent="0.25">
      <c r="A666" t="s">
        <v>88</v>
      </c>
      <c r="B666" s="1" t="s">
        <v>16</v>
      </c>
      <c r="C666" s="2">
        <v>11127457</v>
      </c>
    </row>
    <row r="667" spans="1:3" x14ac:dyDescent="0.25">
      <c r="A667" t="s">
        <v>88</v>
      </c>
      <c r="B667" s="1" t="s">
        <v>17</v>
      </c>
      <c r="C667" s="2">
        <v>12153873</v>
      </c>
    </row>
    <row r="668" spans="1:3" x14ac:dyDescent="0.25">
      <c r="A668" t="s">
        <v>88</v>
      </c>
      <c r="B668" s="1" t="s">
        <v>18</v>
      </c>
      <c r="C668" s="2">
        <v>13553398</v>
      </c>
    </row>
    <row r="669" spans="1:3" x14ac:dyDescent="0.25">
      <c r="A669" t="s">
        <v>88</v>
      </c>
      <c r="B669" s="1" t="s">
        <v>19</v>
      </c>
      <c r="C669" s="2">
        <v>14015360</v>
      </c>
    </row>
    <row r="670" spans="1:3" x14ac:dyDescent="0.25">
      <c r="A670" t="s">
        <v>88</v>
      </c>
      <c r="B670" s="1" t="s">
        <v>20</v>
      </c>
      <c r="C670" s="2">
        <v>13220276</v>
      </c>
    </row>
    <row r="671" spans="1:3" x14ac:dyDescent="0.25">
      <c r="A671" t="s">
        <v>88</v>
      </c>
      <c r="B671" s="1" t="s">
        <v>21</v>
      </c>
      <c r="C671" s="2">
        <v>14767302</v>
      </c>
    </row>
    <row r="672" spans="1:3" x14ac:dyDescent="0.25">
      <c r="A672" t="s">
        <v>88</v>
      </c>
      <c r="B672" s="1" t="s">
        <v>22</v>
      </c>
      <c r="C672" s="2">
        <v>15348185</v>
      </c>
    </row>
    <row r="673" spans="1:3" x14ac:dyDescent="0.25">
      <c r="A673" s="5" t="s">
        <v>88</v>
      </c>
      <c r="B673" s="1" t="s">
        <v>23</v>
      </c>
    </row>
    <row r="674" spans="1:3" x14ac:dyDescent="0.25">
      <c r="A674" t="s">
        <v>89</v>
      </c>
      <c r="B674" s="1" t="s">
        <v>60</v>
      </c>
      <c r="C674" s="2">
        <v>12120042</v>
      </c>
    </row>
    <row r="675" spans="1:3" x14ac:dyDescent="0.25">
      <c r="A675" t="s">
        <v>89</v>
      </c>
      <c r="B675" s="1" t="s">
        <v>61</v>
      </c>
      <c r="C675" s="2">
        <v>12465918</v>
      </c>
    </row>
    <row r="676" spans="1:3" x14ac:dyDescent="0.25">
      <c r="A676" t="s">
        <v>89</v>
      </c>
      <c r="B676" s="1" t="s">
        <v>62</v>
      </c>
      <c r="C676" s="2">
        <v>14026503</v>
      </c>
    </row>
    <row r="677" spans="1:3" x14ac:dyDescent="0.25">
      <c r="A677" t="s">
        <v>89</v>
      </c>
      <c r="B677" s="1" t="s">
        <v>3</v>
      </c>
      <c r="C677" s="2">
        <v>16325247</v>
      </c>
    </row>
    <row r="678" spans="1:3" x14ac:dyDescent="0.25">
      <c r="A678" t="s">
        <v>89</v>
      </c>
      <c r="B678" s="1" t="s">
        <v>4</v>
      </c>
      <c r="C678" s="2">
        <v>17787021</v>
      </c>
    </row>
    <row r="679" spans="1:3" x14ac:dyDescent="0.25">
      <c r="A679" t="s">
        <v>89</v>
      </c>
      <c r="B679" s="1" t="s">
        <v>5</v>
      </c>
      <c r="C679" s="2">
        <v>18772417</v>
      </c>
    </row>
    <row r="680" spans="1:3" x14ac:dyDescent="0.25">
      <c r="A680" t="s">
        <v>89</v>
      </c>
      <c r="B680" s="1" t="s">
        <v>6</v>
      </c>
      <c r="C680" s="2">
        <v>20905827</v>
      </c>
    </row>
    <row r="681" spans="1:3" x14ac:dyDescent="0.25">
      <c r="A681" t="s">
        <v>89</v>
      </c>
      <c r="B681" s="1" t="s">
        <v>7</v>
      </c>
      <c r="C681" s="2">
        <v>23313671</v>
      </c>
    </row>
    <row r="682" spans="1:3" x14ac:dyDescent="0.25">
      <c r="A682" t="s">
        <v>89</v>
      </c>
      <c r="B682" s="1" t="s">
        <v>8</v>
      </c>
      <c r="C682" s="7">
        <v>22976903</v>
      </c>
    </row>
    <row r="683" spans="1:3" x14ac:dyDescent="0.25">
      <c r="A683" t="s">
        <v>89</v>
      </c>
      <c r="B683" s="1" t="s">
        <v>9</v>
      </c>
      <c r="C683" s="2">
        <v>24818174</v>
      </c>
    </row>
    <row r="684" spans="1:3" x14ac:dyDescent="0.25">
      <c r="A684" t="s">
        <v>89</v>
      </c>
      <c r="B684" s="1" t="s">
        <v>10</v>
      </c>
      <c r="C684" s="2">
        <v>24924164</v>
      </c>
    </row>
    <row r="685" spans="1:3" x14ac:dyDescent="0.25">
      <c r="A685" t="s">
        <v>89</v>
      </c>
      <c r="B685" s="1" t="s">
        <v>11</v>
      </c>
      <c r="C685" s="2">
        <v>27067923</v>
      </c>
    </row>
    <row r="686" spans="1:3" x14ac:dyDescent="0.25">
      <c r="A686" t="s">
        <v>89</v>
      </c>
      <c r="B686" s="1" t="s">
        <v>12</v>
      </c>
      <c r="C686" s="2">
        <v>26601258</v>
      </c>
    </row>
    <row r="687" spans="1:3" x14ac:dyDescent="0.25">
      <c r="A687" t="s">
        <v>89</v>
      </c>
      <c r="B687" s="1" t="s">
        <v>13</v>
      </c>
      <c r="C687" s="7">
        <v>26183539</v>
      </c>
    </row>
    <row r="688" spans="1:3" x14ac:dyDescent="0.25">
      <c r="A688" t="s">
        <v>89</v>
      </c>
      <c r="B688" s="1" t="s">
        <v>14</v>
      </c>
      <c r="C688" s="2">
        <v>27935096</v>
      </c>
    </row>
    <row r="689" spans="1:3" x14ac:dyDescent="0.25">
      <c r="A689" t="s">
        <v>89</v>
      </c>
      <c r="B689" s="1" t="s">
        <v>15</v>
      </c>
      <c r="C689" s="2">
        <v>28015492</v>
      </c>
    </row>
    <row r="690" spans="1:3" x14ac:dyDescent="0.25">
      <c r="A690" t="s">
        <v>89</v>
      </c>
      <c r="B690" s="1" t="s">
        <v>16</v>
      </c>
      <c r="C690" s="2">
        <v>24908842</v>
      </c>
    </row>
    <row r="691" spans="1:3" x14ac:dyDescent="0.25">
      <c r="A691" t="s">
        <v>89</v>
      </c>
      <c r="B691" s="1" t="s">
        <v>17</v>
      </c>
      <c r="C691" s="2">
        <v>25403477</v>
      </c>
    </row>
    <row r="692" spans="1:3" x14ac:dyDescent="0.25">
      <c r="A692" t="s">
        <v>89</v>
      </c>
      <c r="B692" s="1" t="s">
        <v>18</v>
      </c>
      <c r="C692" s="2">
        <v>20534582</v>
      </c>
    </row>
    <row r="693" spans="1:3" x14ac:dyDescent="0.25">
      <c r="A693" t="s">
        <v>89</v>
      </c>
      <c r="B693" s="1" t="s">
        <v>19</v>
      </c>
      <c r="C693" s="2">
        <v>16866523</v>
      </c>
    </row>
    <row r="694" spans="1:3" x14ac:dyDescent="0.25">
      <c r="A694" t="s">
        <v>89</v>
      </c>
      <c r="B694" s="1" t="s">
        <v>20</v>
      </c>
      <c r="C694" s="2">
        <v>13193287</v>
      </c>
    </row>
    <row r="695" spans="1:3" x14ac:dyDescent="0.25">
      <c r="A695" t="s">
        <v>89</v>
      </c>
      <c r="B695" s="1" t="s">
        <v>21</v>
      </c>
      <c r="C695" s="2">
        <v>14500676</v>
      </c>
    </row>
    <row r="696" spans="1:3" x14ac:dyDescent="0.25">
      <c r="A696" t="s">
        <v>89</v>
      </c>
      <c r="B696" s="1" t="s">
        <v>22</v>
      </c>
      <c r="C696" s="2">
        <v>12985038</v>
      </c>
    </row>
    <row r="697" spans="1:3" x14ac:dyDescent="0.25">
      <c r="A697" t="s">
        <v>89</v>
      </c>
      <c r="B697" s="1" t="s">
        <v>23</v>
      </c>
      <c r="C697" s="8">
        <v>13898775</v>
      </c>
    </row>
    <row r="698" spans="1:3" x14ac:dyDescent="0.25">
      <c r="A698" t="s">
        <v>90</v>
      </c>
      <c r="B698" s="1" t="s">
        <v>60</v>
      </c>
      <c r="C698" s="2">
        <v>13123188</v>
      </c>
    </row>
    <row r="699" spans="1:3" x14ac:dyDescent="0.25">
      <c r="A699" t="s">
        <v>90</v>
      </c>
      <c r="B699" s="1" t="s">
        <v>61</v>
      </c>
      <c r="C699" s="2">
        <v>14504536</v>
      </c>
    </row>
    <row r="700" spans="1:3" x14ac:dyDescent="0.25">
      <c r="A700" t="s">
        <v>90</v>
      </c>
      <c r="B700" s="1" t="s">
        <v>62</v>
      </c>
      <c r="C700" s="2">
        <v>14915828</v>
      </c>
    </row>
    <row r="701" spans="1:3" x14ac:dyDescent="0.25">
      <c r="A701" t="s">
        <v>90</v>
      </c>
      <c r="B701" s="1" t="s">
        <v>3</v>
      </c>
      <c r="C701" s="2">
        <v>15788738</v>
      </c>
    </row>
    <row r="702" spans="1:3" x14ac:dyDescent="0.25">
      <c r="A702" t="s">
        <v>90</v>
      </c>
      <c r="B702" s="1" t="s">
        <v>4</v>
      </c>
      <c r="C702" s="2">
        <v>15987385</v>
      </c>
    </row>
    <row r="703" spans="1:3" x14ac:dyDescent="0.25">
      <c r="A703" t="s">
        <v>90</v>
      </c>
      <c r="B703" s="1" t="s">
        <v>5</v>
      </c>
      <c r="C703" s="2">
        <v>15609436</v>
      </c>
    </row>
    <row r="704" spans="1:3" x14ac:dyDescent="0.25">
      <c r="A704" t="s">
        <v>90</v>
      </c>
      <c r="B704" s="1" t="s">
        <v>6</v>
      </c>
      <c r="C704" s="2">
        <v>15592687</v>
      </c>
    </row>
    <row r="705" spans="1:3" x14ac:dyDescent="0.25">
      <c r="A705" t="s">
        <v>90</v>
      </c>
      <c r="B705" s="1" t="s">
        <v>7</v>
      </c>
      <c r="C705" s="2">
        <v>15992475</v>
      </c>
    </row>
    <row r="706" spans="1:3" x14ac:dyDescent="0.25">
      <c r="A706" t="s">
        <v>90</v>
      </c>
      <c r="B706" s="1" t="s">
        <v>8</v>
      </c>
      <c r="C706" s="2">
        <v>15559675</v>
      </c>
    </row>
    <row r="707" spans="1:3" x14ac:dyDescent="0.25">
      <c r="A707" t="s">
        <v>90</v>
      </c>
      <c r="B707" s="1" t="s">
        <v>9</v>
      </c>
      <c r="C707" s="2">
        <v>16182137</v>
      </c>
    </row>
    <row r="708" spans="1:3" x14ac:dyDescent="0.25">
      <c r="A708" t="s">
        <v>90</v>
      </c>
      <c r="B708" s="1" t="s">
        <v>10</v>
      </c>
      <c r="C708" s="2">
        <v>18098687</v>
      </c>
    </row>
    <row r="709" spans="1:3" x14ac:dyDescent="0.25">
      <c r="A709" t="s">
        <v>90</v>
      </c>
      <c r="B709" s="1" t="s">
        <v>11</v>
      </c>
      <c r="C709" s="2">
        <v>18893684</v>
      </c>
    </row>
    <row r="710" spans="1:3" x14ac:dyDescent="0.25">
      <c r="A710" t="s">
        <v>90</v>
      </c>
      <c r="B710" s="1" t="s">
        <v>12</v>
      </c>
      <c r="C710" s="2">
        <v>20096332</v>
      </c>
    </row>
    <row r="711" spans="1:3" x14ac:dyDescent="0.25">
      <c r="A711" t="s">
        <v>90</v>
      </c>
      <c r="B711" s="1" t="s">
        <v>13</v>
      </c>
      <c r="C711" s="2">
        <v>19080739</v>
      </c>
    </row>
    <row r="712" spans="1:3" x14ac:dyDescent="0.25">
      <c r="A712" t="s">
        <v>90</v>
      </c>
      <c r="B712" s="1" t="s">
        <v>14</v>
      </c>
      <c r="C712" s="2">
        <v>25203507</v>
      </c>
    </row>
    <row r="713" spans="1:3" x14ac:dyDescent="0.25">
      <c r="A713" t="s">
        <v>90</v>
      </c>
      <c r="B713" s="1" t="s">
        <v>15</v>
      </c>
      <c r="C713" s="2">
        <v>25235573</v>
      </c>
    </row>
    <row r="714" spans="1:3" x14ac:dyDescent="0.25">
      <c r="A714" t="s">
        <v>90</v>
      </c>
      <c r="B714" s="1" t="s">
        <v>16</v>
      </c>
      <c r="C714" s="2">
        <v>25185291</v>
      </c>
    </row>
    <row r="715" spans="1:3" x14ac:dyDescent="0.25">
      <c r="A715" t="s">
        <v>90</v>
      </c>
      <c r="B715" s="1" t="s">
        <v>17</v>
      </c>
      <c r="C715" s="2">
        <v>25864195</v>
      </c>
    </row>
    <row r="716" spans="1:3" x14ac:dyDescent="0.25">
      <c r="A716" t="s">
        <v>90</v>
      </c>
      <c r="B716" s="1" t="s">
        <v>18</v>
      </c>
      <c r="C716" s="2">
        <v>26114159</v>
      </c>
    </row>
    <row r="717" spans="1:3" x14ac:dyDescent="0.25">
      <c r="A717" t="s">
        <v>90</v>
      </c>
      <c r="B717" s="1" t="s">
        <v>19</v>
      </c>
      <c r="C717" s="2">
        <v>26194548</v>
      </c>
    </row>
    <row r="718" spans="1:3" x14ac:dyDescent="0.25">
      <c r="A718" t="s">
        <v>90</v>
      </c>
      <c r="B718" s="1" t="s">
        <v>20</v>
      </c>
      <c r="C718" s="2">
        <v>26696706</v>
      </c>
    </row>
    <row r="719" spans="1:3" x14ac:dyDescent="0.25">
      <c r="A719" t="s">
        <v>90</v>
      </c>
      <c r="B719" s="1" t="s">
        <v>21</v>
      </c>
      <c r="C719" s="2">
        <v>25538254</v>
      </c>
    </row>
    <row r="720" spans="1:3" x14ac:dyDescent="0.25">
      <c r="A720" t="s">
        <v>90</v>
      </c>
      <c r="B720" s="1" t="s">
        <v>22</v>
      </c>
      <c r="C720" s="2">
        <v>24297260</v>
      </c>
    </row>
    <row r="721" spans="1:3" x14ac:dyDescent="0.25">
      <c r="A721" t="s">
        <v>90</v>
      </c>
      <c r="B721" s="1" t="s">
        <v>23</v>
      </c>
      <c r="C721" s="8">
        <v>25022953</v>
      </c>
    </row>
    <row r="722" spans="1:3" x14ac:dyDescent="0.25">
      <c r="A722" t="s">
        <v>91</v>
      </c>
      <c r="B722" s="1" t="s">
        <v>60</v>
      </c>
      <c r="C722" s="2">
        <v>14271153</v>
      </c>
    </row>
    <row r="723" spans="1:3" x14ac:dyDescent="0.25">
      <c r="A723" t="s">
        <v>91</v>
      </c>
      <c r="B723" s="1" t="s">
        <v>61</v>
      </c>
      <c r="C723" s="2">
        <v>15020120</v>
      </c>
    </row>
    <row r="724" spans="1:3" x14ac:dyDescent="0.25">
      <c r="A724" t="s">
        <v>91</v>
      </c>
      <c r="B724" s="1" t="s">
        <v>62</v>
      </c>
      <c r="C724" s="2">
        <v>15436862</v>
      </c>
    </row>
    <row r="725" spans="1:3" x14ac:dyDescent="0.25">
      <c r="A725" t="s">
        <v>91</v>
      </c>
      <c r="B725" s="1" t="s">
        <v>3</v>
      </c>
      <c r="C725" s="2">
        <v>16349473</v>
      </c>
    </row>
    <row r="726" spans="1:3" x14ac:dyDescent="0.25">
      <c r="A726" t="s">
        <v>91</v>
      </c>
      <c r="B726" s="1" t="s">
        <v>4</v>
      </c>
      <c r="C726" s="2">
        <v>16167261</v>
      </c>
    </row>
    <row r="727" spans="1:3" x14ac:dyDescent="0.25">
      <c r="A727" t="s">
        <v>91</v>
      </c>
      <c r="B727" s="1" t="s">
        <v>5</v>
      </c>
      <c r="C727" s="2">
        <v>16583425</v>
      </c>
    </row>
    <row r="728" spans="1:3" x14ac:dyDescent="0.25">
      <c r="A728" t="s">
        <v>91</v>
      </c>
      <c r="B728" s="1" t="s">
        <v>6</v>
      </c>
      <c r="C728" s="2">
        <v>18040803</v>
      </c>
    </row>
    <row r="729" spans="1:3" x14ac:dyDescent="0.25">
      <c r="A729" t="s">
        <v>91</v>
      </c>
      <c r="B729" s="1" t="s">
        <v>7</v>
      </c>
      <c r="C729" s="2">
        <v>18019614</v>
      </c>
    </row>
    <row r="730" spans="1:3" x14ac:dyDescent="0.25">
      <c r="A730" t="s">
        <v>91</v>
      </c>
      <c r="B730" s="1" t="s">
        <v>8</v>
      </c>
      <c r="C730" s="2">
        <v>18571790</v>
      </c>
    </row>
    <row r="731" spans="1:3" x14ac:dyDescent="0.25">
      <c r="A731" t="s">
        <v>91</v>
      </c>
      <c r="B731" s="1" t="s">
        <v>9</v>
      </c>
      <c r="C731" s="2">
        <v>18619215</v>
      </c>
    </row>
    <row r="732" spans="1:3" x14ac:dyDescent="0.25">
      <c r="A732" t="s">
        <v>91</v>
      </c>
      <c r="B732" s="1" t="s">
        <v>10</v>
      </c>
      <c r="C732" s="2">
        <v>19192375</v>
      </c>
    </row>
    <row r="733" spans="1:3" x14ac:dyDescent="0.25">
      <c r="A733" t="s">
        <v>91</v>
      </c>
      <c r="B733" s="1" t="s">
        <v>11</v>
      </c>
      <c r="C733" s="2">
        <v>18959622</v>
      </c>
    </row>
    <row r="734" spans="1:3" x14ac:dyDescent="0.25">
      <c r="A734" t="s">
        <v>91</v>
      </c>
      <c r="B734" s="1" t="s">
        <v>12</v>
      </c>
      <c r="C734" s="2">
        <v>17690259</v>
      </c>
    </row>
    <row r="735" spans="1:3" x14ac:dyDescent="0.25">
      <c r="A735" t="s">
        <v>91</v>
      </c>
      <c r="B735" s="1" t="s">
        <v>13</v>
      </c>
      <c r="C735" s="2">
        <v>17505428</v>
      </c>
    </row>
    <row r="736" spans="1:3" x14ac:dyDescent="0.25">
      <c r="A736" t="s">
        <v>91</v>
      </c>
      <c r="B736" s="1" t="s">
        <v>14</v>
      </c>
      <c r="C736" s="2">
        <v>19219430</v>
      </c>
    </row>
    <row r="737" spans="1:3" x14ac:dyDescent="0.25">
      <c r="A737" t="s">
        <v>91</v>
      </c>
      <c r="B737" s="1" t="s">
        <v>15</v>
      </c>
      <c r="C737" s="2">
        <v>20223558</v>
      </c>
    </row>
    <row r="738" spans="1:3" x14ac:dyDescent="0.25">
      <c r="A738" t="s">
        <v>91</v>
      </c>
      <c r="B738" s="1" t="s">
        <v>16</v>
      </c>
      <c r="C738" s="2">
        <v>20374452</v>
      </c>
    </row>
    <row r="739" spans="1:3" x14ac:dyDescent="0.25">
      <c r="A739" t="s">
        <v>91</v>
      </c>
      <c r="B739" s="1" t="s">
        <v>17</v>
      </c>
      <c r="C739" s="2">
        <v>23757582</v>
      </c>
    </row>
    <row r="740" spans="1:3" x14ac:dyDescent="0.25">
      <c r="A740" t="s">
        <v>91</v>
      </c>
      <c r="B740" s="1" t="s">
        <v>18</v>
      </c>
      <c r="C740" s="2">
        <v>22117070</v>
      </c>
    </row>
    <row r="741" spans="1:3" x14ac:dyDescent="0.25">
      <c r="A741" t="s">
        <v>91</v>
      </c>
      <c r="B741" s="1" t="s">
        <v>19</v>
      </c>
      <c r="C741" s="2">
        <v>22325884</v>
      </c>
    </row>
    <row r="742" spans="1:3" x14ac:dyDescent="0.25">
      <c r="A742" t="s">
        <v>91</v>
      </c>
      <c r="B742" s="1" t="s">
        <v>20</v>
      </c>
      <c r="C742" s="2">
        <v>22915126</v>
      </c>
    </row>
    <row r="743" spans="1:3" x14ac:dyDescent="0.25">
      <c r="A743" t="s">
        <v>91</v>
      </c>
      <c r="B743" s="1" t="s">
        <v>21</v>
      </c>
      <c r="C743" s="2">
        <v>20802912</v>
      </c>
    </row>
    <row r="744" spans="1:3" x14ac:dyDescent="0.25">
      <c r="A744" t="s">
        <v>91</v>
      </c>
      <c r="B744" s="1" t="s">
        <v>22</v>
      </c>
      <c r="C744" s="2">
        <v>20231240</v>
      </c>
    </row>
    <row r="745" spans="1:3" x14ac:dyDescent="0.25">
      <c r="A745" s="5" t="s">
        <v>91</v>
      </c>
      <c r="B745" s="1" t="s">
        <v>23</v>
      </c>
      <c r="C745" s="8"/>
    </row>
    <row r="746" spans="1:3" x14ac:dyDescent="0.25">
      <c r="A746" t="s">
        <v>92</v>
      </c>
      <c r="B746" s="1" t="s">
        <v>60</v>
      </c>
      <c r="C746" s="2">
        <v>4331377</v>
      </c>
    </row>
    <row r="747" spans="1:3" x14ac:dyDescent="0.25">
      <c r="A747" t="s">
        <v>92</v>
      </c>
      <c r="B747" s="1" t="s">
        <v>61</v>
      </c>
      <c r="C747" s="2">
        <v>4197960</v>
      </c>
    </row>
    <row r="748" spans="1:3" x14ac:dyDescent="0.25">
      <c r="A748" t="s">
        <v>92</v>
      </c>
      <c r="B748" s="1" t="s">
        <v>62</v>
      </c>
      <c r="C748" s="2">
        <v>4148917</v>
      </c>
    </row>
    <row r="749" spans="1:3" x14ac:dyDescent="0.25">
      <c r="A749" t="s">
        <v>92</v>
      </c>
      <c r="B749" s="1" t="s">
        <v>3</v>
      </c>
      <c r="C749" s="2">
        <v>4331377</v>
      </c>
    </row>
    <row r="750" spans="1:3" x14ac:dyDescent="0.25">
      <c r="A750" t="s">
        <v>92</v>
      </c>
      <c r="B750" s="1" t="s">
        <v>4</v>
      </c>
      <c r="C750" s="2">
        <v>4001326</v>
      </c>
    </row>
    <row r="751" spans="1:3" x14ac:dyDescent="0.25">
      <c r="A751" t="s">
        <v>92</v>
      </c>
      <c r="B751" s="1" t="s">
        <v>5</v>
      </c>
      <c r="C751" s="2">
        <v>4205730</v>
      </c>
    </row>
    <row r="752" spans="1:3" x14ac:dyDescent="0.25">
      <c r="A752" t="s">
        <v>92</v>
      </c>
      <c r="B752" s="1" t="s">
        <v>6</v>
      </c>
      <c r="C752" s="2">
        <v>3960060</v>
      </c>
    </row>
    <row r="753" spans="1:3" x14ac:dyDescent="0.25">
      <c r="A753" t="s">
        <v>92</v>
      </c>
      <c r="B753" s="1" t="s">
        <v>7</v>
      </c>
      <c r="C753" s="2">
        <v>4151151</v>
      </c>
    </row>
    <row r="754" spans="1:3" x14ac:dyDescent="0.25">
      <c r="A754" t="s">
        <v>92</v>
      </c>
      <c r="B754" s="1" t="s">
        <v>8</v>
      </c>
      <c r="C754" s="2">
        <v>4744593</v>
      </c>
    </row>
    <row r="755" spans="1:3" x14ac:dyDescent="0.25">
      <c r="A755" t="s">
        <v>92</v>
      </c>
      <c r="B755" s="1" t="s">
        <v>9</v>
      </c>
      <c r="C755" s="2">
        <v>4796302</v>
      </c>
    </row>
    <row r="756" spans="1:3" x14ac:dyDescent="0.25">
      <c r="A756" t="s">
        <v>92</v>
      </c>
      <c r="B756" s="1" t="s">
        <v>10</v>
      </c>
      <c r="C756" s="2">
        <v>7519690</v>
      </c>
    </row>
    <row r="757" spans="1:3" x14ac:dyDescent="0.25">
      <c r="A757" t="s">
        <v>92</v>
      </c>
      <c r="B757" s="1" t="s">
        <v>11</v>
      </c>
      <c r="C757" s="2">
        <v>6421844</v>
      </c>
    </row>
    <row r="758" spans="1:3" x14ac:dyDescent="0.25">
      <c r="A758" t="s">
        <v>92</v>
      </c>
      <c r="B758" s="1" t="s">
        <v>12</v>
      </c>
      <c r="C758" s="2">
        <v>6650706</v>
      </c>
    </row>
    <row r="759" spans="1:3" x14ac:dyDescent="0.25">
      <c r="A759" t="s">
        <v>92</v>
      </c>
      <c r="B759" s="1" t="s">
        <v>13</v>
      </c>
      <c r="C759" s="2">
        <v>6988894</v>
      </c>
    </row>
    <row r="760" spans="1:3" x14ac:dyDescent="0.25">
      <c r="A760" t="s">
        <v>92</v>
      </c>
      <c r="B760" s="1" t="s">
        <v>14</v>
      </c>
      <c r="C760" s="2">
        <v>8257403</v>
      </c>
    </row>
    <row r="761" spans="1:3" x14ac:dyDescent="0.25">
      <c r="A761" t="s">
        <v>92</v>
      </c>
      <c r="B761" s="1" t="s">
        <v>15</v>
      </c>
      <c r="C761" s="2">
        <v>9854035</v>
      </c>
    </row>
    <row r="762" spans="1:3" x14ac:dyDescent="0.25">
      <c r="A762" t="s">
        <v>92</v>
      </c>
      <c r="B762" s="1" t="s">
        <v>16</v>
      </c>
      <c r="C762" s="2">
        <v>10954831</v>
      </c>
    </row>
    <row r="763" spans="1:3" x14ac:dyDescent="0.25">
      <c r="A763" t="s">
        <v>92</v>
      </c>
      <c r="B763" s="1" t="s">
        <v>17</v>
      </c>
      <c r="C763" s="2">
        <v>11632495</v>
      </c>
    </row>
    <row r="764" spans="1:3" x14ac:dyDescent="0.25">
      <c r="A764" t="s">
        <v>92</v>
      </c>
      <c r="B764" s="1" t="s">
        <v>18</v>
      </c>
      <c r="C764" s="2">
        <v>12726871</v>
      </c>
    </row>
    <row r="765" spans="1:3" x14ac:dyDescent="0.25">
      <c r="A765" t="s">
        <v>92</v>
      </c>
      <c r="B765" s="1" t="s">
        <v>19</v>
      </c>
      <c r="C765" s="2">
        <v>14286910</v>
      </c>
    </row>
    <row r="766" spans="1:3" x14ac:dyDescent="0.25">
      <c r="A766" t="s">
        <v>92</v>
      </c>
      <c r="B766" s="1" t="s">
        <v>20</v>
      </c>
      <c r="C766" s="2">
        <v>14691788</v>
      </c>
    </row>
    <row r="767" spans="1:3" x14ac:dyDescent="0.25">
      <c r="A767" t="s">
        <v>92</v>
      </c>
      <c r="B767" s="1" t="s">
        <v>21</v>
      </c>
      <c r="C767" s="2">
        <v>15704747</v>
      </c>
    </row>
    <row r="768" spans="1:3" x14ac:dyDescent="0.25">
      <c r="A768" t="s">
        <v>92</v>
      </c>
      <c r="B768" s="1" t="s">
        <v>22</v>
      </c>
      <c r="C768" s="2">
        <v>16630906</v>
      </c>
    </row>
    <row r="769" spans="1:3" x14ac:dyDescent="0.25">
      <c r="A769" t="s">
        <v>92</v>
      </c>
      <c r="B769" s="1" t="s">
        <v>23</v>
      </c>
      <c r="C769" s="8">
        <v>18304587</v>
      </c>
    </row>
    <row r="770" spans="1:3" x14ac:dyDescent="0.25">
      <c r="A770" t="s">
        <v>44</v>
      </c>
      <c r="B770" s="1" t="s">
        <v>60</v>
      </c>
      <c r="C770" s="2">
        <v>85983786</v>
      </c>
    </row>
    <row r="771" spans="1:3" x14ac:dyDescent="0.25">
      <c r="A771" t="s">
        <v>44</v>
      </c>
      <c r="B771" s="1" t="s">
        <v>61</v>
      </c>
      <c r="C771" s="2">
        <v>89648272</v>
      </c>
    </row>
    <row r="772" spans="1:3" x14ac:dyDescent="0.25">
      <c r="A772" t="s">
        <v>44</v>
      </c>
      <c r="B772" s="1" t="s">
        <v>62</v>
      </c>
      <c r="C772" s="2">
        <v>85932429</v>
      </c>
    </row>
    <row r="773" spans="1:3" x14ac:dyDescent="0.25">
      <c r="A773" t="s">
        <v>44</v>
      </c>
      <c r="B773" s="1" t="s">
        <v>3</v>
      </c>
      <c r="C773" s="2">
        <v>87038531</v>
      </c>
    </row>
    <row r="774" spans="1:3" x14ac:dyDescent="0.25">
      <c r="A774" t="s">
        <v>44</v>
      </c>
      <c r="B774" s="1" t="s">
        <v>4</v>
      </c>
      <c r="C774" s="2">
        <v>87038389</v>
      </c>
    </row>
    <row r="775" spans="1:3" x14ac:dyDescent="0.25">
      <c r="A775" t="s">
        <v>44</v>
      </c>
      <c r="B775" s="1" t="s">
        <v>5</v>
      </c>
      <c r="C775" s="2">
        <v>90422307</v>
      </c>
    </row>
    <row r="776" spans="1:3" x14ac:dyDescent="0.25">
      <c r="A776" t="s">
        <v>44</v>
      </c>
      <c r="B776" s="1" t="s">
        <v>6</v>
      </c>
      <c r="C776" s="2">
        <v>88010091</v>
      </c>
    </row>
    <row r="777" spans="1:3" x14ac:dyDescent="0.25">
      <c r="A777" t="s">
        <v>44</v>
      </c>
      <c r="B777" s="1" t="s">
        <v>7</v>
      </c>
      <c r="C777" s="2">
        <v>91129570</v>
      </c>
    </row>
    <row r="778" spans="1:3" x14ac:dyDescent="0.25">
      <c r="A778" t="s">
        <v>44</v>
      </c>
      <c r="B778" s="1" t="s">
        <v>8</v>
      </c>
      <c r="C778" s="2">
        <v>180862270</v>
      </c>
    </row>
    <row r="779" spans="1:3" x14ac:dyDescent="0.25">
      <c r="A779" t="s">
        <v>44</v>
      </c>
      <c r="B779" s="1" t="s">
        <v>9</v>
      </c>
      <c r="C779" s="2">
        <v>174361099</v>
      </c>
    </row>
    <row r="780" spans="1:3" x14ac:dyDescent="0.25">
      <c r="A780" t="s">
        <v>44</v>
      </c>
      <c r="B780" s="1" t="s">
        <v>10</v>
      </c>
      <c r="C780" s="2">
        <v>168918673</v>
      </c>
    </row>
    <row r="781" spans="1:3" x14ac:dyDescent="0.25">
      <c r="A781" t="s">
        <v>44</v>
      </c>
      <c r="B781" s="1" t="s">
        <v>11</v>
      </c>
      <c r="C781" s="2">
        <v>167492734</v>
      </c>
    </row>
    <row r="782" spans="1:3" x14ac:dyDescent="0.25">
      <c r="A782" t="s">
        <v>44</v>
      </c>
      <c r="B782" s="1" t="s">
        <v>12</v>
      </c>
      <c r="C782" s="2">
        <v>184954549</v>
      </c>
    </row>
    <row r="783" spans="1:3" x14ac:dyDescent="0.25">
      <c r="A783" t="s">
        <v>44</v>
      </c>
      <c r="B783" s="1" t="s">
        <v>13</v>
      </c>
      <c r="C783" s="2">
        <v>171167512</v>
      </c>
    </row>
    <row r="784" spans="1:3" x14ac:dyDescent="0.25">
      <c r="A784" t="s">
        <v>44</v>
      </c>
      <c r="B784" s="1" t="s">
        <v>14</v>
      </c>
      <c r="C784" s="2">
        <v>172873156</v>
      </c>
    </row>
    <row r="785" spans="1:3" x14ac:dyDescent="0.25">
      <c r="A785" t="s">
        <v>44</v>
      </c>
      <c r="B785" s="1" t="s">
        <v>15</v>
      </c>
      <c r="C785" s="2">
        <v>168178044</v>
      </c>
    </row>
    <row r="786" spans="1:3" x14ac:dyDescent="0.25">
      <c r="A786" t="s">
        <v>44</v>
      </c>
      <c r="B786" s="1" t="s">
        <v>16</v>
      </c>
      <c r="C786" s="2">
        <v>158693638</v>
      </c>
    </row>
    <row r="787" spans="1:3" x14ac:dyDescent="0.25">
      <c r="A787" t="s">
        <v>44</v>
      </c>
      <c r="B787" s="1" t="s">
        <v>17</v>
      </c>
      <c r="C787" s="2">
        <v>159757227</v>
      </c>
    </row>
    <row r="788" spans="1:3" x14ac:dyDescent="0.25">
      <c r="A788" t="s">
        <v>44</v>
      </c>
      <c r="B788" s="1" t="s">
        <v>18</v>
      </c>
      <c r="C788" s="2">
        <v>166453972</v>
      </c>
    </row>
    <row r="789" spans="1:3" x14ac:dyDescent="0.25">
      <c r="A789" t="s">
        <v>44</v>
      </c>
      <c r="B789" s="1" t="s">
        <v>19</v>
      </c>
      <c r="C789" s="2">
        <v>174601315</v>
      </c>
    </row>
    <row r="790" spans="1:3" x14ac:dyDescent="0.25">
      <c r="A790" t="s">
        <v>44</v>
      </c>
      <c r="B790" s="1" t="s">
        <v>20</v>
      </c>
      <c r="C790" s="2">
        <v>174447329</v>
      </c>
    </row>
    <row r="791" spans="1:3" x14ac:dyDescent="0.25">
      <c r="A791" t="s">
        <v>44</v>
      </c>
      <c r="B791" s="1" t="s">
        <v>21</v>
      </c>
      <c r="C791" s="2">
        <v>176694824</v>
      </c>
    </row>
    <row r="792" spans="1:3" x14ac:dyDescent="0.25">
      <c r="A792" t="s">
        <v>44</v>
      </c>
      <c r="B792" s="1" t="s">
        <v>22</v>
      </c>
      <c r="C792" s="2">
        <v>180585841</v>
      </c>
    </row>
    <row r="793" spans="1:3" x14ac:dyDescent="0.25">
      <c r="A793" t="s">
        <v>44</v>
      </c>
      <c r="B793" s="1" t="s">
        <v>23</v>
      </c>
      <c r="C793" s="7">
        <v>189241556</v>
      </c>
    </row>
    <row r="794" spans="1:3" x14ac:dyDescent="0.25">
      <c r="A794" t="s">
        <v>93</v>
      </c>
      <c r="B794" s="1" t="s">
        <v>60</v>
      </c>
      <c r="C794" s="2">
        <v>762315</v>
      </c>
    </row>
    <row r="795" spans="1:3" x14ac:dyDescent="0.25">
      <c r="A795" t="s">
        <v>93</v>
      </c>
      <c r="B795" s="1" t="s">
        <v>61</v>
      </c>
      <c r="C795" s="2">
        <v>772129</v>
      </c>
    </row>
    <row r="796" spans="1:3" x14ac:dyDescent="0.25">
      <c r="A796" t="s">
        <v>93</v>
      </c>
      <c r="B796" s="1" t="s">
        <v>62</v>
      </c>
      <c r="C796" s="2">
        <v>795283</v>
      </c>
    </row>
    <row r="797" spans="1:3" x14ac:dyDescent="0.25">
      <c r="A797" t="s">
        <v>93</v>
      </c>
      <c r="B797" s="1" t="s">
        <v>3</v>
      </c>
      <c r="C797" s="2">
        <v>788269</v>
      </c>
    </row>
    <row r="798" spans="1:3" x14ac:dyDescent="0.25">
      <c r="A798" t="s">
        <v>93</v>
      </c>
      <c r="B798" s="1" t="s">
        <v>4</v>
      </c>
      <c r="C798" s="2">
        <v>793079</v>
      </c>
    </row>
    <row r="799" spans="1:3" x14ac:dyDescent="0.25">
      <c r="A799" t="s">
        <v>93</v>
      </c>
      <c r="B799" s="1" t="s">
        <v>5</v>
      </c>
      <c r="C799" s="2">
        <v>851525</v>
      </c>
    </row>
    <row r="800" spans="1:3" x14ac:dyDescent="0.25">
      <c r="A800" t="s">
        <v>93</v>
      </c>
      <c r="B800" s="1" t="s">
        <v>6</v>
      </c>
      <c r="C800" s="2">
        <v>857726</v>
      </c>
    </row>
    <row r="801" spans="1:3" x14ac:dyDescent="0.25">
      <c r="A801" t="s">
        <v>93</v>
      </c>
      <c r="B801" s="1" t="s">
        <v>7</v>
      </c>
      <c r="C801" s="2">
        <v>866346</v>
      </c>
    </row>
    <row r="802" spans="1:3" x14ac:dyDescent="0.25">
      <c r="A802" t="s">
        <v>93</v>
      </c>
      <c r="B802" s="1" t="s">
        <v>8</v>
      </c>
      <c r="C802" s="2">
        <v>866024</v>
      </c>
    </row>
    <row r="803" spans="1:3" x14ac:dyDescent="0.25">
      <c r="A803" t="s">
        <v>93</v>
      </c>
      <c r="B803" s="1" t="s">
        <v>9</v>
      </c>
      <c r="C803" s="2">
        <v>859906</v>
      </c>
    </row>
    <row r="804" spans="1:3" x14ac:dyDescent="0.25">
      <c r="A804" t="s">
        <v>93</v>
      </c>
      <c r="B804" s="1" t="s">
        <v>10</v>
      </c>
      <c r="C804" s="2">
        <v>900839</v>
      </c>
    </row>
    <row r="805" spans="1:3" x14ac:dyDescent="0.25">
      <c r="A805" t="s">
        <v>93</v>
      </c>
      <c r="B805" s="1" t="s">
        <v>11</v>
      </c>
      <c r="C805" s="2">
        <v>922258</v>
      </c>
    </row>
    <row r="806" spans="1:3" x14ac:dyDescent="0.25">
      <c r="A806" t="s">
        <v>93</v>
      </c>
      <c r="B806" s="1" t="s">
        <v>12</v>
      </c>
      <c r="C806" s="2">
        <v>954425</v>
      </c>
    </row>
    <row r="807" spans="1:3" x14ac:dyDescent="0.25">
      <c r="A807" t="s">
        <v>93</v>
      </c>
      <c r="B807" s="1" t="s">
        <v>13</v>
      </c>
      <c r="C807" s="2">
        <v>992526</v>
      </c>
    </row>
    <row r="808" spans="1:3" x14ac:dyDescent="0.25">
      <c r="A808" t="s">
        <v>93</v>
      </c>
      <c r="B808" s="1" t="s">
        <v>14</v>
      </c>
      <c r="C808" s="2">
        <v>1185309</v>
      </c>
    </row>
    <row r="809" spans="1:3" x14ac:dyDescent="0.25">
      <c r="A809" t="s">
        <v>93</v>
      </c>
      <c r="B809" s="1" t="s">
        <v>15</v>
      </c>
      <c r="C809" s="2">
        <v>1441234</v>
      </c>
    </row>
    <row r="810" spans="1:3" x14ac:dyDescent="0.25">
      <c r="A810" t="s">
        <v>93</v>
      </c>
      <c r="B810" s="1" t="s">
        <v>16</v>
      </c>
      <c r="C810" s="2">
        <v>1445180</v>
      </c>
    </row>
    <row r="811" spans="1:3" x14ac:dyDescent="0.25">
      <c r="A811" t="s">
        <v>93</v>
      </c>
      <c r="B811" s="1" t="s">
        <v>17</v>
      </c>
      <c r="C811" s="2">
        <v>1598217</v>
      </c>
    </row>
    <row r="812" spans="1:3" x14ac:dyDescent="0.25">
      <c r="A812" t="s">
        <v>93</v>
      </c>
      <c r="B812" s="1" t="s">
        <v>18</v>
      </c>
      <c r="C812" s="2">
        <v>1589020</v>
      </c>
    </row>
    <row r="813" spans="1:3" x14ac:dyDescent="0.25">
      <c r="A813" t="s">
        <v>93</v>
      </c>
      <c r="B813" s="1" t="s">
        <v>19</v>
      </c>
      <c r="C813" s="2">
        <v>2476075</v>
      </c>
    </row>
    <row r="814" spans="1:3" x14ac:dyDescent="0.25">
      <c r="A814" t="s">
        <v>93</v>
      </c>
      <c r="B814" s="1" t="s">
        <v>20</v>
      </c>
      <c r="C814" s="2">
        <v>3360033</v>
      </c>
    </row>
    <row r="815" spans="1:3" x14ac:dyDescent="0.25">
      <c r="A815" t="s">
        <v>93</v>
      </c>
      <c r="B815" s="1" t="s">
        <v>21</v>
      </c>
      <c r="C815" s="7">
        <v>3028726</v>
      </c>
    </row>
    <row r="816" spans="1:3" x14ac:dyDescent="0.25">
      <c r="A816" t="s">
        <v>93</v>
      </c>
      <c r="B816" s="1" t="s">
        <v>22</v>
      </c>
      <c r="C816" s="2">
        <v>2837812</v>
      </c>
    </row>
    <row r="817" spans="1:3" x14ac:dyDescent="0.25">
      <c r="A817" s="5" t="s">
        <v>93</v>
      </c>
      <c r="B817" s="1" t="s">
        <v>23</v>
      </c>
      <c r="C817" s="11"/>
    </row>
    <row r="818" spans="1:3" x14ac:dyDescent="0.25">
      <c r="A818" t="s">
        <v>94</v>
      </c>
      <c r="B818" s="1" t="s">
        <v>60</v>
      </c>
      <c r="C818" s="2">
        <v>4531862</v>
      </c>
    </row>
    <row r="819" spans="1:3" x14ac:dyDescent="0.25">
      <c r="A819" t="s">
        <v>94</v>
      </c>
      <c r="B819" s="1" t="s">
        <v>61</v>
      </c>
      <c r="C819" s="2">
        <v>4547364</v>
      </c>
    </row>
    <row r="820" spans="1:3" x14ac:dyDescent="0.25">
      <c r="A820" t="s">
        <v>94</v>
      </c>
      <c r="B820" s="1" t="s">
        <v>62</v>
      </c>
      <c r="C820" s="2">
        <v>4680751</v>
      </c>
    </row>
    <row r="821" spans="1:3" x14ac:dyDescent="0.25">
      <c r="A821" t="s">
        <v>94</v>
      </c>
      <c r="B821" s="1" t="s">
        <v>3</v>
      </c>
      <c r="C821" s="2">
        <v>5004795</v>
      </c>
    </row>
    <row r="822" spans="1:3" x14ac:dyDescent="0.25">
      <c r="A822" t="s">
        <v>94</v>
      </c>
      <c r="B822" s="1" t="s">
        <v>4</v>
      </c>
      <c r="C822" s="2">
        <v>4898594</v>
      </c>
    </row>
    <row r="823" spans="1:3" x14ac:dyDescent="0.25">
      <c r="A823" t="s">
        <v>94</v>
      </c>
      <c r="B823" s="1" t="s">
        <v>5</v>
      </c>
      <c r="C823" s="2">
        <v>4951852</v>
      </c>
    </row>
    <row r="824" spans="1:3" x14ac:dyDescent="0.25">
      <c r="A824" t="s">
        <v>94</v>
      </c>
      <c r="B824" s="1" t="s">
        <v>6</v>
      </c>
      <c r="C824" s="2">
        <v>4886436</v>
      </c>
    </row>
    <row r="825" spans="1:3" x14ac:dyDescent="0.25">
      <c r="A825" t="s">
        <v>94</v>
      </c>
      <c r="B825" s="1" t="s">
        <v>7</v>
      </c>
      <c r="C825" s="2">
        <v>4533729</v>
      </c>
    </row>
    <row r="826" spans="1:3" x14ac:dyDescent="0.25">
      <c r="A826" t="s">
        <v>94</v>
      </c>
      <c r="B826" s="1" t="s">
        <v>8</v>
      </c>
      <c r="C826" s="2">
        <v>4810523</v>
      </c>
    </row>
    <row r="827" spans="1:3" x14ac:dyDescent="0.25">
      <c r="A827" t="s">
        <v>94</v>
      </c>
      <c r="B827" s="1" t="s">
        <v>9</v>
      </c>
      <c r="C827" s="2">
        <v>4731855</v>
      </c>
    </row>
    <row r="828" spans="1:3" x14ac:dyDescent="0.25">
      <c r="A828" t="s">
        <v>94</v>
      </c>
      <c r="B828" s="1" t="s">
        <v>10</v>
      </c>
      <c r="C828" s="2">
        <v>5209200</v>
      </c>
    </row>
    <row r="829" spans="1:3" x14ac:dyDescent="0.25">
      <c r="A829" t="s">
        <v>94</v>
      </c>
      <c r="B829" s="1" t="s">
        <v>11</v>
      </c>
      <c r="C829" s="2">
        <v>5123734</v>
      </c>
    </row>
    <row r="830" spans="1:3" x14ac:dyDescent="0.25">
      <c r="A830" t="s">
        <v>94</v>
      </c>
      <c r="B830" s="1" t="s">
        <v>12</v>
      </c>
      <c r="C830" s="2">
        <v>4846528</v>
      </c>
    </row>
    <row r="831" spans="1:3" x14ac:dyDescent="0.25">
      <c r="A831" t="s">
        <v>94</v>
      </c>
      <c r="B831" s="1" t="s">
        <v>13</v>
      </c>
      <c r="C831" s="2">
        <v>3997786</v>
      </c>
    </row>
    <row r="832" spans="1:3" x14ac:dyDescent="0.25">
      <c r="A832" t="s">
        <v>94</v>
      </c>
      <c r="B832" s="1" t="s">
        <v>14</v>
      </c>
      <c r="C832" s="2">
        <v>4284675</v>
      </c>
    </row>
    <row r="833" spans="1:3" x14ac:dyDescent="0.25">
      <c r="A833" t="s">
        <v>94</v>
      </c>
      <c r="B833" s="1" t="s">
        <v>15</v>
      </c>
      <c r="C833" s="2">
        <v>5421324</v>
      </c>
    </row>
    <row r="834" spans="1:3" x14ac:dyDescent="0.25">
      <c r="A834" t="s">
        <v>94</v>
      </c>
      <c r="B834" s="1" t="s">
        <v>16</v>
      </c>
      <c r="C834" s="2">
        <v>5736039</v>
      </c>
    </row>
    <row r="835" spans="1:3" x14ac:dyDescent="0.25">
      <c r="A835" t="s">
        <v>94</v>
      </c>
      <c r="B835" s="1" t="s">
        <v>17</v>
      </c>
      <c r="C835" s="2">
        <v>6992560</v>
      </c>
    </row>
    <row r="836" spans="1:3" x14ac:dyDescent="0.25">
      <c r="A836" t="s">
        <v>94</v>
      </c>
      <c r="B836" s="1" t="s">
        <v>18</v>
      </c>
      <c r="C836" s="2">
        <v>8086562</v>
      </c>
    </row>
    <row r="837" spans="1:3" x14ac:dyDescent="0.25">
      <c r="A837" t="s">
        <v>94</v>
      </c>
      <c r="B837" s="1" t="s">
        <v>19</v>
      </c>
      <c r="C837" s="2">
        <v>11337809</v>
      </c>
    </row>
    <row r="838" spans="1:3" x14ac:dyDescent="0.25">
      <c r="A838" t="s">
        <v>94</v>
      </c>
      <c r="B838" s="1" t="s">
        <v>20</v>
      </c>
      <c r="C838" s="2">
        <v>12529170</v>
      </c>
    </row>
    <row r="839" spans="1:3" x14ac:dyDescent="0.25">
      <c r="A839" t="s">
        <v>94</v>
      </c>
      <c r="B839" s="1" t="s">
        <v>21</v>
      </c>
      <c r="C839" s="2">
        <v>14362926</v>
      </c>
    </row>
    <row r="840" spans="1:3" x14ac:dyDescent="0.25">
      <c r="A840" t="s">
        <v>94</v>
      </c>
      <c r="B840" s="1" t="s">
        <v>22</v>
      </c>
      <c r="C840" s="2">
        <v>15997627</v>
      </c>
    </row>
    <row r="841" spans="1:3" x14ac:dyDescent="0.25">
      <c r="A841" s="5" t="s">
        <v>94</v>
      </c>
      <c r="B841" s="1" t="s">
        <v>23</v>
      </c>
    </row>
    <row r="842" spans="1:3" x14ac:dyDescent="0.25">
      <c r="A842" t="s">
        <v>95</v>
      </c>
      <c r="B842" s="1" t="s">
        <v>60</v>
      </c>
      <c r="C842" s="2">
        <v>9088150</v>
      </c>
    </row>
    <row r="843" spans="1:3" x14ac:dyDescent="0.25">
      <c r="A843" t="s">
        <v>95</v>
      </c>
      <c r="B843" s="1" t="s">
        <v>61</v>
      </c>
      <c r="C843" s="2">
        <v>9352881</v>
      </c>
    </row>
    <row r="844" spans="1:3" x14ac:dyDescent="0.25">
      <c r="A844" t="s">
        <v>95</v>
      </c>
      <c r="B844" s="1" t="s">
        <v>62</v>
      </c>
      <c r="C844" s="2">
        <v>8098899</v>
      </c>
    </row>
    <row r="845" spans="1:3" x14ac:dyDescent="0.25">
      <c r="A845" t="s">
        <v>95</v>
      </c>
      <c r="B845" s="1" t="s">
        <v>3</v>
      </c>
      <c r="C845" s="2">
        <v>11018481</v>
      </c>
    </row>
    <row r="846" spans="1:3" x14ac:dyDescent="0.25">
      <c r="A846" t="s">
        <v>95</v>
      </c>
      <c r="B846" s="1" t="s">
        <v>4</v>
      </c>
      <c r="C846" s="2">
        <v>10508569</v>
      </c>
    </row>
    <row r="847" spans="1:3" x14ac:dyDescent="0.25">
      <c r="A847" t="s">
        <v>95</v>
      </c>
      <c r="B847" s="1" t="s">
        <v>5</v>
      </c>
      <c r="C847" s="2">
        <v>10042003</v>
      </c>
    </row>
    <row r="848" spans="1:3" x14ac:dyDescent="0.25">
      <c r="A848" t="s">
        <v>95</v>
      </c>
      <c r="B848" s="1" t="s">
        <v>6</v>
      </c>
      <c r="C848" s="2">
        <v>10407053</v>
      </c>
    </row>
    <row r="849" spans="1:3" x14ac:dyDescent="0.25">
      <c r="A849" t="s">
        <v>95</v>
      </c>
      <c r="B849" s="1" t="s">
        <v>7</v>
      </c>
      <c r="C849" s="2">
        <v>11793981</v>
      </c>
    </row>
    <row r="850" spans="1:3" x14ac:dyDescent="0.25">
      <c r="A850" t="s">
        <v>95</v>
      </c>
      <c r="B850" s="1" t="s">
        <v>8</v>
      </c>
      <c r="C850" s="2">
        <v>11989767</v>
      </c>
    </row>
    <row r="851" spans="1:3" x14ac:dyDescent="0.25">
      <c r="A851" t="s">
        <v>95</v>
      </c>
      <c r="B851" s="1" t="s">
        <v>9</v>
      </c>
      <c r="C851" s="2">
        <v>12084529</v>
      </c>
    </row>
    <row r="852" spans="1:3" x14ac:dyDescent="0.25">
      <c r="A852" t="s">
        <v>95</v>
      </c>
      <c r="B852" s="1" t="s">
        <v>10</v>
      </c>
      <c r="C852" s="2">
        <v>12079029</v>
      </c>
    </row>
    <row r="853" spans="1:3" x14ac:dyDescent="0.25">
      <c r="A853" t="s">
        <v>95</v>
      </c>
      <c r="B853" s="1" t="s">
        <v>11</v>
      </c>
      <c r="C853" s="2">
        <v>13147503</v>
      </c>
    </row>
    <row r="854" spans="1:3" x14ac:dyDescent="0.25">
      <c r="A854" t="s">
        <v>95</v>
      </c>
      <c r="B854" s="1" t="s">
        <v>12</v>
      </c>
      <c r="C854" s="2">
        <v>12811325</v>
      </c>
    </row>
    <row r="855" spans="1:3" x14ac:dyDescent="0.25">
      <c r="A855" t="s">
        <v>95</v>
      </c>
      <c r="B855" s="1" t="s">
        <v>13</v>
      </c>
      <c r="C855" s="2">
        <v>12675712</v>
      </c>
    </row>
    <row r="856" spans="1:3" x14ac:dyDescent="0.25">
      <c r="A856" t="s">
        <v>95</v>
      </c>
      <c r="B856" s="1" t="s">
        <v>14</v>
      </c>
      <c r="C856" s="2">
        <v>12274400</v>
      </c>
    </row>
    <row r="857" spans="1:3" x14ac:dyDescent="0.25">
      <c r="A857" t="s">
        <v>95</v>
      </c>
      <c r="B857" s="1" t="s">
        <v>15</v>
      </c>
      <c r="C857" s="2">
        <v>13737934</v>
      </c>
    </row>
    <row r="858" spans="1:3" x14ac:dyDescent="0.25">
      <c r="A858" t="s">
        <v>95</v>
      </c>
      <c r="B858" s="1" t="s">
        <v>16</v>
      </c>
      <c r="C858" s="2">
        <v>14466968</v>
      </c>
    </row>
    <row r="859" spans="1:3" x14ac:dyDescent="0.25">
      <c r="A859" t="s">
        <v>95</v>
      </c>
      <c r="B859" s="1" t="s">
        <v>17</v>
      </c>
      <c r="C859" s="2">
        <v>15668143</v>
      </c>
    </row>
    <row r="860" spans="1:3" x14ac:dyDescent="0.25">
      <c r="A860" t="s">
        <v>95</v>
      </c>
      <c r="B860" s="1" t="s">
        <v>18</v>
      </c>
      <c r="C860" s="2">
        <v>16356627</v>
      </c>
    </row>
    <row r="861" spans="1:3" x14ac:dyDescent="0.25">
      <c r="A861" t="s">
        <v>95</v>
      </c>
      <c r="B861" s="1" t="s">
        <v>19</v>
      </c>
      <c r="C861" s="2">
        <v>20742643</v>
      </c>
    </row>
    <row r="862" spans="1:3" x14ac:dyDescent="0.25">
      <c r="A862" t="s">
        <v>95</v>
      </c>
      <c r="B862" s="1" t="s">
        <v>20</v>
      </c>
      <c r="C862" s="2">
        <v>20543807</v>
      </c>
    </row>
    <row r="863" spans="1:3" x14ac:dyDescent="0.25">
      <c r="A863" t="s">
        <v>95</v>
      </c>
      <c r="B863" s="1" t="s">
        <v>21</v>
      </c>
      <c r="C863" s="2">
        <v>21433136</v>
      </c>
    </row>
    <row r="864" spans="1:3" x14ac:dyDescent="0.25">
      <c r="A864" t="s">
        <v>95</v>
      </c>
      <c r="B864" s="1" t="s">
        <v>22</v>
      </c>
      <c r="C864" s="2">
        <v>21257655</v>
      </c>
    </row>
    <row r="865" spans="1:3" x14ac:dyDescent="0.25">
      <c r="A865" t="s">
        <v>95</v>
      </c>
      <c r="B865" s="1" t="s">
        <v>23</v>
      </c>
      <c r="C865" s="2">
        <v>22116366</v>
      </c>
    </row>
    <row r="866" spans="1:3" x14ac:dyDescent="0.25">
      <c r="A866" t="s">
        <v>96</v>
      </c>
      <c r="B866" s="1" t="s">
        <v>60</v>
      </c>
      <c r="C866" s="2">
        <v>2931709</v>
      </c>
    </row>
    <row r="867" spans="1:3" x14ac:dyDescent="0.25">
      <c r="A867" t="s">
        <v>96</v>
      </c>
      <c r="B867" s="1" t="s">
        <v>61</v>
      </c>
      <c r="C867" s="2">
        <v>2854538</v>
      </c>
    </row>
    <row r="868" spans="1:3" x14ac:dyDescent="0.25">
      <c r="A868" t="s">
        <v>96</v>
      </c>
      <c r="B868" s="1" t="s">
        <v>62</v>
      </c>
      <c r="C868" s="2">
        <v>3084529</v>
      </c>
    </row>
    <row r="869" spans="1:3" x14ac:dyDescent="0.25">
      <c r="A869" t="s">
        <v>96</v>
      </c>
      <c r="B869" s="1" t="s">
        <v>3</v>
      </c>
      <c r="C869" s="2">
        <v>3123345</v>
      </c>
    </row>
    <row r="870" spans="1:3" x14ac:dyDescent="0.25">
      <c r="A870" t="s">
        <v>96</v>
      </c>
      <c r="B870" s="1" t="s">
        <v>4</v>
      </c>
      <c r="C870" s="2">
        <v>3253535</v>
      </c>
    </row>
    <row r="871" spans="1:3" x14ac:dyDescent="0.25">
      <c r="A871" t="s">
        <v>96</v>
      </c>
      <c r="B871" s="1" t="s">
        <v>5</v>
      </c>
      <c r="C871" s="2">
        <v>3327489</v>
      </c>
    </row>
    <row r="872" spans="1:3" x14ac:dyDescent="0.25">
      <c r="A872" t="s">
        <v>96</v>
      </c>
      <c r="B872" s="1" t="s">
        <v>6</v>
      </c>
      <c r="C872" s="2">
        <v>3654726</v>
      </c>
    </row>
    <row r="873" spans="1:3" x14ac:dyDescent="0.25">
      <c r="A873" t="s">
        <v>96</v>
      </c>
      <c r="B873" s="1" t="s">
        <v>7</v>
      </c>
      <c r="C873" s="2">
        <v>3854174</v>
      </c>
    </row>
    <row r="874" spans="1:3" x14ac:dyDescent="0.25">
      <c r="A874" t="s">
        <v>96</v>
      </c>
      <c r="B874" s="1" t="s">
        <v>8</v>
      </c>
      <c r="C874" s="2">
        <v>4093593</v>
      </c>
    </row>
    <row r="875" spans="1:3" x14ac:dyDescent="0.25">
      <c r="A875" t="s">
        <v>96</v>
      </c>
      <c r="B875" s="1" t="s">
        <v>9</v>
      </c>
      <c r="C875" s="2">
        <v>4306483</v>
      </c>
    </row>
    <row r="876" spans="1:3" x14ac:dyDescent="0.25">
      <c r="A876" t="s">
        <v>96</v>
      </c>
      <c r="B876" s="1" t="s">
        <v>10</v>
      </c>
      <c r="C876" s="2">
        <v>4523152</v>
      </c>
    </row>
    <row r="877" spans="1:3" x14ac:dyDescent="0.25">
      <c r="A877" t="s">
        <v>96</v>
      </c>
      <c r="B877" s="1" t="s">
        <v>11</v>
      </c>
      <c r="C877" s="2">
        <v>5262429</v>
      </c>
    </row>
    <row r="878" spans="1:3" x14ac:dyDescent="0.25">
      <c r="A878" t="s">
        <v>96</v>
      </c>
      <c r="B878" s="1" t="s">
        <v>12</v>
      </c>
      <c r="C878" s="2">
        <v>5090699</v>
      </c>
    </row>
    <row r="879" spans="1:3" x14ac:dyDescent="0.25">
      <c r="A879" t="s">
        <v>96</v>
      </c>
      <c r="B879" s="1" t="s">
        <v>13</v>
      </c>
      <c r="C879" s="2">
        <v>5102129</v>
      </c>
    </row>
    <row r="880" spans="1:3" x14ac:dyDescent="0.25">
      <c r="A880" t="s">
        <v>96</v>
      </c>
      <c r="B880" s="1" t="s">
        <v>14</v>
      </c>
      <c r="C880" s="2">
        <v>5444124</v>
      </c>
    </row>
    <row r="881" spans="1:3" x14ac:dyDescent="0.25">
      <c r="A881" t="s">
        <v>96</v>
      </c>
      <c r="B881" s="1" t="s">
        <v>15</v>
      </c>
      <c r="C881" s="2">
        <v>8437685</v>
      </c>
    </row>
    <row r="882" spans="1:3" x14ac:dyDescent="0.25">
      <c r="A882" t="s">
        <v>96</v>
      </c>
      <c r="B882" s="1" t="s">
        <v>16</v>
      </c>
      <c r="C882" s="2">
        <v>10608863</v>
      </c>
    </row>
    <row r="883" spans="1:3" x14ac:dyDescent="0.25">
      <c r="A883" t="s">
        <v>96</v>
      </c>
      <c r="B883" s="1" t="s">
        <v>17</v>
      </c>
      <c r="C883" s="2">
        <v>11366057</v>
      </c>
    </row>
    <row r="884" spans="1:3" x14ac:dyDescent="0.25">
      <c r="A884" t="s">
        <v>96</v>
      </c>
      <c r="B884" s="1" t="s">
        <v>18</v>
      </c>
      <c r="C884" s="2">
        <v>11889656</v>
      </c>
    </row>
    <row r="885" spans="1:3" x14ac:dyDescent="0.25">
      <c r="A885" t="s">
        <v>96</v>
      </c>
      <c r="B885" s="1" t="s">
        <v>19</v>
      </c>
      <c r="C885" s="2">
        <v>15055850</v>
      </c>
    </row>
    <row r="886" spans="1:3" x14ac:dyDescent="0.25">
      <c r="A886" t="s">
        <v>96</v>
      </c>
      <c r="B886" s="1" t="s">
        <v>20</v>
      </c>
      <c r="C886" s="2">
        <v>17669162</v>
      </c>
    </row>
    <row r="887" spans="1:3" x14ac:dyDescent="0.25">
      <c r="A887" t="s">
        <v>96</v>
      </c>
      <c r="B887" s="1" t="s">
        <v>21</v>
      </c>
      <c r="C887" s="7">
        <v>19334975</v>
      </c>
    </row>
    <row r="888" spans="1:3" x14ac:dyDescent="0.25">
      <c r="A888" t="s">
        <v>96</v>
      </c>
      <c r="B888" s="1" t="s">
        <v>22</v>
      </c>
      <c r="C888" s="2">
        <v>20303526</v>
      </c>
    </row>
    <row r="889" spans="1:3" x14ac:dyDescent="0.25">
      <c r="A889" s="5" t="s">
        <v>96</v>
      </c>
      <c r="B889" s="1" t="s">
        <v>23</v>
      </c>
    </row>
    <row r="890" spans="1:3" x14ac:dyDescent="0.25">
      <c r="A890" t="s">
        <v>97</v>
      </c>
      <c r="B890" s="1" t="s">
        <v>60</v>
      </c>
      <c r="C890" s="2">
        <v>2233608</v>
      </c>
    </row>
    <row r="891" spans="1:3" x14ac:dyDescent="0.25">
      <c r="A891" t="s">
        <v>97</v>
      </c>
      <c r="B891" s="1" t="s">
        <v>61</v>
      </c>
      <c r="C891" s="2">
        <v>2260378</v>
      </c>
    </row>
    <row r="892" spans="1:3" x14ac:dyDescent="0.25">
      <c r="A892" t="s">
        <v>97</v>
      </c>
      <c r="B892" s="1" t="s">
        <v>62</v>
      </c>
      <c r="C892" s="2">
        <v>2324300</v>
      </c>
    </row>
    <row r="893" spans="1:3" x14ac:dyDescent="0.25">
      <c r="A893" t="s">
        <v>97</v>
      </c>
      <c r="B893" s="1" t="s">
        <v>3</v>
      </c>
      <c r="C893" s="2">
        <v>2535111</v>
      </c>
    </row>
    <row r="894" spans="1:3" x14ac:dyDescent="0.25">
      <c r="A894" t="s">
        <v>97</v>
      </c>
      <c r="B894" s="1" t="s">
        <v>4</v>
      </c>
      <c r="C894" s="2">
        <v>2471729</v>
      </c>
    </row>
    <row r="895" spans="1:3" x14ac:dyDescent="0.25">
      <c r="A895" t="s">
        <v>97</v>
      </c>
      <c r="B895" s="1" t="s">
        <v>5</v>
      </c>
      <c r="C895" s="2">
        <v>2460269</v>
      </c>
    </row>
    <row r="896" spans="1:3" x14ac:dyDescent="0.25">
      <c r="A896" t="s">
        <v>97</v>
      </c>
      <c r="B896" s="1" t="s">
        <v>6</v>
      </c>
      <c r="C896" s="2">
        <v>2352896</v>
      </c>
    </row>
    <row r="897" spans="1:3" x14ac:dyDescent="0.25">
      <c r="A897" t="s">
        <v>97</v>
      </c>
      <c r="B897" s="1" t="s">
        <v>7</v>
      </c>
      <c r="C897" s="2">
        <v>2534266</v>
      </c>
    </row>
    <row r="898" spans="1:3" x14ac:dyDescent="0.25">
      <c r="A898" t="s">
        <v>97</v>
      </c>
      <c r="B898" s="1" t="s">
        <v>8</v>
      </c>
      <c r="C898" s="2">
        <v>2351547</v>
      </c>
    </row>
    <row r="899" spans="1:3" x14ac:dyDescent="0.25">
      <c r="A899" t="s">
        <v>97</v>
      </c>
      <c r="B899" s="1" t="s">
        <v>9</v>
      </c>
      <c r="C899" s="2">
        <v>2420296</v>
      </c>
    </row>
    <row r="900" spans="1:3" x14ac:dyDescent="0.25">
      <c r="A900" t="s">
        <v>97</v>
      </c>
      <c r="B900" s="1" t="s">
        <v>10</v>
      </c>
      <c r="C900" s="2">
        <v>4522928</v>
      </c>
    </row>
    <row r="901" spans="1:3" x14ac:dyDescent="0.25">
      <c r="A901" t="s">
        <v>97</v>
      </c>
      <c r="B901" s="1" t="s">
        <v>11</v>
      </c>
      <c r="C901" s="2">
        <v>5108848</v>
      </c>
    </row>
    <row r="902" spans="1:3" x14ac:dyDescent="0.25">
      <c r="A902" t="s">
        <v>97</v>
      </c>
      <c r="B902" s="1" t="s">
        <v>12</v>
      </c>
      <c r="C902" s="2">
        <v>4838999</v>
      </c>
    </row>
    <row r="903" spans="1:3" x14ac:dyDescent="0.25">
      <c r="A903" t="s">
        <v>97</v>
      </c>
      <c r="B903" s="1" t="s">
        <v>13</v>
      </c>
      <c r="C903" s="2">
        <v>5020968</v>
      </c>
    </row>
    <row r="904" spans="1:3" x14ac:dyDescent="0.25">
      <c r="A904" t="s">
        <v>97</v>
      </c>
      <c r="B904" s="1" t="s">
        <v>14</v>
      </c>
      <c r="C904" s="2">
        <v>5316027</v>
      </c>
    </row>
    <row r="905" spans="1:3" x14ac:dyDescent="0.25">
      <c r="A905" t="s">
        <v>97</v>
      </c>
      <c r="B905" s="1" t="s">
        <v>15</v>
      </c>
      <c r="C905" s="2">
        <v>6275182</v>
      </c>
    </row>
    <row r="906" spans="1:3" x14ac:dyDescent="0.25">
      <c r="A906" t="s">
        <v>97</v>
      </c>
      <c r="B906" s="1" t="s">
        <v>16</v>
      </c>
      <c r="C906" s="2">
        <v>6466745</v>
      </c>
    </row>
    <row r="907" spans="1:3" x14ac:dyDescent="0.25">
      <c r="A907" t="s">
        <v>97</v>
      </c>
      <c r="B907" s="1" t="s">
        <v>17</v>
      </c>
      <c r="C907" s="2">
        <v>6802935</v>
      </c>
    </row>
    <row r="908" spans="1:3" x14ac:dyDescent="0.25">
      <c r="A908" t="s">
        <v>97</v>
      </c>
      <c r="B908" s="1" t="s">
        <v>18</v>
      </c>
      <c r="C908" s="2">
        <v>6752158</v>
      </c>
    </row>
    <row r="909" spans="1:3" x14ac:dyDescent="0.25">
      <c r="A909" t="s">
        <v>97</v>
      </c>
      <c r="B909" s="1" t="s">
        <v>19</v>
      </c>
      <c r="C909" s="2">
        <v>7721345</v>
      </c>
    </row>
    <row r="910" spans="1:3" x14ac:dyDescent="0.25">
      <c r="A910" t="s">
        <v>97</v>
      </c>
      <c r="B910" s="1" t="s">
        <v>20</v>
      </c>
      <c r="C910" s="2">
        <v>7081912</v>
      </c>
    </row>
    <row r="911" spans="1:3" x14ac:dyDescent="0.25">
      <c r="A911" t="s">
        <v>97</v>
      </c>
      <c r="B911" s="1" t="s">
        <v>21</v>
      </c>
      <c r="C911" s="2">
        <v>8510614</v>
      </c>
    </row>
    <row r="912" spans="1:3" x14ac:dyDescent="0.25">
      <c r="A912" t="s">
        <v>97</v>
      </c>
      <c r="B912" s="1" t="s">
        <v>22</v>
      </c>
      <c r="C912" s="2">
        <v>9449631</v>
      </c>
    </row>
    <row r="913" spans="1:3" x14ac:dyDescent="0.25">
      <c r="A913" t="s">
        <v>97</v>
      </c>
      <c r="B913" s="1" t="s">
        <v>23</v>
      </c>
      <c r="C913" s="8">
        <v>10183411</v>
      </c>
    </row>
    <row r="914" spans="1:3" x14ac:dyDescent="0.25">
      <c r="A914" t="s">
        <v>98</v>
      </c>
      <c r="B914" s="1" t="s">
        <v>60</v>
      </c>
      <c r="C914" s="2">
        <v>789390</v>
      </c>
    </row>
    <row r="915" spans="1:3" x14ac:dyDescent="0.25">
      <c r="A915" t="s">
        <v>98</v>
      </c>
      <c r="B915" s="1" t="s">
        <v>61</v>
      </c>
      <c r="C915" s="2">
        <v>826421</v>
      </c>
    </row>
    <row r="916" spans="1:3" x14ac:dyDescent="0.25">
      <c r="A916" t="s">
        <v>98</v>
      </c>
      <c r="B916" s="1" t="s">
        <v>62</v>
      </c>
      <c r="C916" s="2">
        <v>880523</v>
      </c>
    </row>
    <row r="917" spans="1:3" x14ac:dyDescent="0.25">
      <c r="A917" t="s">
        <v>98</v>
      </c>
      <c r="B917" s="1" t="s">
        <v>3</v>
      </c>
      <c r="C917" s="2">
        <v>837154</v>
      </c>
    </row>
    <row r="918" spans="1:3" x14ac:dyDescent="0.25">
      <c r="A918" t="s">
        <v>98</v>
      </c>
      <c r="B918" s="1" t="s">
        <v>4</v>
      </c>
      <c r="C918" s="2">
        <v>750122</v>
      </c>
    </row>
    <row r="919" spans="1:3" x14ac:dyDescent="0.25">
      <c r="A919" t="s">
        <v>98</v>
      </c>
      <c r="B919" s="1" t="s">
        <v>5</v>
      </c>
      <c r="C919" s="2">
        <v>758789</v>
      </c>
    </row>
    <row r="920" spans="1:3" x14ac:dyDescent="0.25">
      <c r="A920" t="s">
        <v>98</v>
      </c>
      <c r="B920" s="1" t="s">
        <v>6</v>
      </c>
      <c r="C920" s="2">
        <v>733303</v>
      </c>
    </row>
    <row r="921" spans="1:3" x14ac:dyDescent="0.25">
      <c r="A921" t="s">
        <v>98</v>
      </c>
      <c r="B921" s="1" t="s">
        <v>7</v>
      </c>
      <c r="C921" s="2">
        <v>664673</v>
      </c>
    </row>
    <row r="922" spans="1:3" x14ac:dyDescent="0.25">
      <c r="A922" t="s">
        <v>98</v>
      </c>
      <c r="B922" s="1" t="s">
        <v>8</v>
      </c>
      <c r="C922" s="2">
        <v>678937</v>
      </c>
    </row>
    <row r="923" spans="1:3" x14ac:dyDescent="0.25">
      <c r="A923" t="s">
        <v>98</v>
      </c>
      <c r="B923" s="1" t="s">
        <v>9</v>
      </c>
      <c r="C923" s="2">
        <v>694121</v>
      </c>
    </row>
    <row r="924" spans="1:3" x14ac:dyDescent="0.25">
      <c r="A924" t="s">
        <v>98</v>
      </c>
      <c r="B924" s="1" t="s">
        <v>10</v>
      </c>
      <c r="C924" s="2">
        <v>718949</v>
      </c>
    </row>
    <row r="925" spans="1:3" x14ac:dyDescent="0.25">
      <c r="A925" t="s">
        <v>98</v>
      </c>
      <c r="B925" s="1" t="s">
        <v>11</v>
      </c>
      <c r="C925" s="2">
        <v>1321057</v>
      </c>
    </row>
    <row r="926" spans="1:3" x14ac:dyDescent="0.25">
      <c r="A926" t="s">
        <v>98</v>
      </c>
      <c r="B926" s="1" t="s">
        <v>12</v>
      </c>
      <c r="C926" s="2">
        <v>1212735</v>
      </c>
    </row>
    <row r="927" spans="1:3" x14ac:dyDescent="0.25">
      <c r="A927" t="s">
        <v>98</v>
      </c>
      <c r="B927" s="1" t="s">
        <v>13</v>
      </c>
      <c r="C927" s="2">
        <v>1706564</v>
      </c>
    </row>
    <row r="928" spans="1:3" x14ac:dyDescent="0.25">
      <c r="A928" t="s">
        <v>98</v>
      </c>
      <c r="B928" s="1" t="s">
        <v>14</v>
      </c>
      <c r="C928" s="2">
        <v>1727087</v>
      </c>
    </row>
    <row r="929" spans="1:3" x14ac:dyDescent="0.25">
      <c r="A929" t="s">
        <v>98</v>
      </c>
      <c r="B929" s="1" t="s">
        <v>15</v>
      </c>
      <c r="C929" s="2">
        <v>2179873</v>
      </c>
    </row>
    <row r="930" spans="1:3" x14ac:dyDescent="0.25">
      <c r="A930" t="s">
        <v>98</v>
      </c>
      <c r="B930" s="1" t="s">
        <v>16</v>
      </c>
      <c r="C930" s="2">
        <v>9243671</v>
      </c>
    </row>
    <row r="931" spans="1:3" x14ac:dyDescent="0.25">
      <c r="A931" t="s">
        <v>98</v>
      </c>
      <c r="B931" s="1" t="s">
        <v>17</v>
      </c>
      <c r="C931" s="2">
        <v>10093317</v>
      </c>
    </row>
    <row r="932" spans="1:3" x14ac:dyDescent="0.25">
      <c r="A932" t="s">
        <v>98</v>
      </c>
      <c r="B932" s="1" t="s">
        <v>18</v>
      </c>
      <c r="C932" s="2">
        <v>10978255</v>
      </c>
    </row>
    <row r="933" spans="1:3" x14ac:dyDescent="0.25">
      <c r="A933" t="s">
        <v>98</v>
      </c>
      <c r="B933" s="1" t="s">
        <v>19</v>
      </c>
      <c r="C933" s="2">
        <v>12312422</v>
      </c>
    </row>
    <row r="934" spans="1:3" x14ac:dyDescent="0.25">
      <c r="A934" t="s">
        <v>98</v>
      </c>
      <c r="B934" s="1" t="s">
        <v>20</v>
      </c>
      <c r="C934" s="2">
        <v>12825240</v>
      </c>
    </row>
    <row r="935" spans="1:3" x14ac:dyDescent="0.25">
      <c r="A935" t="s">
        <v>98</v>
      </c>
      <c r="B935" s="1" t="s">
        <v>21</v>
      </c>
      <c r="C935" s="2">
        <v>14611943</v>
      </c>
    </row>
    <row r="936" spans="1:3" x14ac:dyDescent="0.25">
      <c r="A936" t="s">
        <v>98</v>
      </c>
      <c r="B936" s="1" t="s">
        <v>22</v>
      </c>
      <c r="C936" s="2">
        <v>15823104</v>
      </c>
    </row>
    <row r="937" spans="1:3" x14ac:dyDescent="0.25">
      <c r="A937" t="s">
        <v>98</v>
      </c>
      <c r="B937" s="1" t="s">
        <v>23</v>
      </c>
      <c r="C937" s="8">
        <v>16965295</v>
      </c>
    </row>
    <row r="938" spans="1:3" x14ac:dyDescent="0.25">
      <c r="A938" t="s">
        <v>99</v>
      </c>
      <c r="B938" s="1" t="s">
        <v>60</v>
      </c>
      <c r="C938" s="2">
        <v>25448820</v>
      </c>
    </row>
    <row r="939" spans="1:3" x14ac:dyDescent="0.25">
      <c r="A939" t="s">
        <v>99</v>
      </c>
      <c r="B939" s="1" t="s">
        <v>61</v>
      </c>
      <c r="C939" s="2">
        <v>25929092</v>
      </c>
    </row>
    <row r="940" spans="1:3" x14ac:dyDescent="0.25">
      <c r="A940" t="s">
        <v>99</v>
      </c>
      <c r="B940" s="1" t="s">
        <v>62</v>
      </c>
      <c r="C940" s="2">
        <v>26843840</v>
      </c>
    </row>
    <row r="941" spans="1:3" x14ac:dyDescent="0.25">
      <c r="A941" t="s">
        <v>99</v>
      </c>
      <c r="B941" s="1" t="s">
        <v>3</v>
      </c>
      <c r="C941" s="2">
        <v>27149914</v>
      </c>
    </row>
    <row r="942" spans="1:3" x14ac:dyDescent="0.25">
      <c r="A942" t="s">
        <v>99</v>
      </c>
      <c r="B942" s="1" t="s">
        <v>4</v>
      </c>
      <c r="C942" s="2">
        <v>28083808</v>
      </c>
    </row>
    <row r="943" spans="1:3" x14ac:dyDescent="0.25">
      <c r="A943" t="s">
        <v>99</v>
      </c>
      <c r="B943" s="1" t="s">
        <v>5</v>
      </c>
      <c r="C943" s="2">
        <v>27981409</v>
      </c>
    </row>
    <row r="944" spans="1:3" x14ac:dyDescent="0.25">
      <c r="A944" t="s">
        <v>99</v>
      </c>
      <c r="B944" s="1" t="s">
        <v>6</v>
      </c>
      <c r="C944" s="2">
        <v>25859776</v>
      </c>
    </row>
    <row r="945" spans="1:3" x14ac:dyDescent="0.25">
      <c r="A945" t="s">
        <v>99</v>
      </c>
      <c r="B945" s="1" t="s">
        <v>7</v>
      </c>
      <c r="C945" s="2">
        <v>28348692</v>
      </c>
    </row>
    <row r="946" spans="1:3" x14ac:dyDescent="0.25">
      <c r="A946" t="s">
        <v>99</v>
      </c>
      <c r="B946" s="1" t="s">
        <v>8</v>
      </c>
      <c r="C946" s="2">
        <v>26909979</v>
      </c>
    </row>
    <row r="947" spans="1:3" x14ac:dyDescent="0.25">
      <c r="A947" t="s">
        <v>99</v>
      </c>
      <c r="B947" s="1" t="s">
        <v>9</v>
      </c>
      <c r="C947" s="2">
        <v>27519034</v>
      </c>
    </row>
    <row r="948" spans="1:3" x14ac:dyDescent="0.25">
      <c r="A948" t="s">
        <v>99</v>
      </c>
      <c r="B948" s="1" t="s">
        <v>10</v>
      </c>
      <c r="C948" s="7">
        <v>29747933</v>
      </c>
    </row>
    <row r="949" spans="1:3" x14ac:dyDescent="0.25">
      <c r="A949" t="s">
        <v>99</v>
      </c>
      <c r="B949" s="1" t="s">
        <v>11</v>
      </c>
      <c r="C949" s="2">
        <v>28547933</v>
      </c>
    </row>
    <row r="950" spans="1:3" x14ac:dyDescent="0.25">
      <c r="A950" t="s">
        <v>99</v>
      </c>
      <c r="B950" s="1" t="s">
        <v>12</v>
      </c>
      <c r="C950" s="2">
        <v>25205810</v>
      </c>
    </row>
    <row r="951" spans="1:3" x14ac:dyDescent="0.25">
      <c r="A951" t="s">
        <v>99</v>
      </c>
      <c r="B951" s="1" t="s">
        <v>13</v>
      </c>
      <c r="C951" s="2">
        <v>22993363</v>
      </c>
    </row>
    <row r="952" spans="1:3" x14ac:dyDescent="0.25">
      <c r="A952" t="s">
        <v>99</v>
      </c>
      <c r="B952" s="1" t="s">
        <v>14</v>
      </c>
      <c r="C952" s="2">
        <v>22526998</v>
      </c>
    </row>
    <row r="953" spans="1:3" x14ac:dyDescent="0.25">
      <c r="A953" t="s">
        <v>99</v>
      </c>
      <c r="B953" s="1" t="s">
        <v>15</v>
      </c>
      <c r="C953" s="2">
        <v>24279916</v>
      </c>
    </row>
    <row r="954" spans="1:3" x14ac:dyDescent="0.25">
      <c r="A954" t="s">
        <v>99</v>
      </c>
      <c r="B954" s="1" t="s">
        <v>16</v>
      </c>
      <c r="C954" s="2">
        <v>22419948</v>
      </c>
    </row>
    <row r="955" spans="1:3" x14ac:dyDescent="0.25">
      <c r="A955" t="s">
        <v>99</v>
      </c>
      <c r="B955" s="1" t="s">
        <v>17</v>
      </c>
      <c r="C955" s="2">
        <v>22899717</v>
      </c>
    </row>
    <row r="956" spans="1:3" x14ac:dyDescent="0.25">
      <c r="A956" t="s">
        <v>99</v>
      </c>
      <c r="B956" s="1" t="s">
        <v>18</v>
      </c>
      <c r="C956" s="2">
        <v>22908791</v>
      </c>
    </row>
    <row r="957" spans="1:3" x14ac:dyDescent="0.25">
      <c r="A957" t="s">
        <v>99</v>
      </c>
      <c r="B957" s="1" t="s">
        <v>19</v>
      </c>
      <c r="C957" s="2">
        <v>23659941</v>
      </c>
    </row>
    <row r="958" spans="1:3" x14ac:dyDescent="0.25">
      <c r="A958" t="s">
        <v>99</v>
      </c>
      <c r="B958" s="1" t="s">
        <v>20</v>
      </c>
      <c r="C958" s="2">
        <v>24410895</v>
      </c>
    </row>
    <row r="959" spans="1:3" x14ac:dyDescent="0.25">
      <c r="A959" t="s">
        <v>99</v>
      </c>
      <c r="B959" s="1" t="s">
        <v>21</v>
      </c>
      <c r="C959" s="2">
        <v>23930534</v>
      </c>
    </row>
    <row r="960" spans="1:3" x14ac:dyDescent="0.25">
      <c r="A960" t="s">
        <v>99</v>
      </c>
      <c r="B960" s="1" t="s">
        <v>22</v>
      </c>
      <c r="C960" s="2">
        <v>24113196</v>
      </c>
    </row>
    <row r="961" spans="1:2" x14ac:dyDescent="0.25">
      <c r="A961" s="5" t="s">
        <v>99</v>
      </c>
      <c r="B961" s="1" t="s">
        <v>23</v>
      </c>
    </row>
    <row r="962" spans="1:2" x14ac:dyDescent="0.25">
      <c r="B962" s="1"/>
    </row>
    <row r="963" spans="1:2" x14ac:dyDescent="0.25">
      <c r="B963" s="1"/>
    </row>
    <row r="964" spans="1:2" x14ac:dyDescent="0.25">
      <c r="B964" s="1"/>
    </row>
    <row r="965" spans="1:2" x14ac:dyDescent="0.25">
      <c r="B965" s="1"/>
    </row>
    <row r="966" spans="1:2" x14ac:dyDescent="0.25">
      <c r="B966" s="1"/>
    </row>
    <row r="967" spans="1:2" x14ac:dyDescent="0.25">
      <c r="B967" s="1"/>
    </row>
    <row r="968" spans="1:2" x14ac:dyDescent="0.25">
      <c r="B968" s="1"/>
    </row>
    <row r="969" spans="1:2" x14ac:dyDescent="0.25">
      <c r="B969" s="1"/>
    </row>
    <row r="970" spans="1:2" x14ac:dyDescent="0.25">
      <c r="B970" s="1"/>
    </row>
    <row r="971" spans="1:2" x14ac:dyDescent="0.25">
      <c r="B971" s="1"/>
    </row>
    <row r="972" spans="1:2" x14ac:dyDescent="0.25">
      <c r="B972" s="1"/>
    </row>
    <row r="973" spans="1:2" x14ac:dyDescent="0.25">
      <c r="B973" s="1"/>
    </row>
    <row r="974" spans="1:2" x14ac:dyDescent="0.25">
      <c r="B974" s="1"/>
    </row>
    <row r="975" spans="1:2" x14ac:dyDescent="0.25">
      <c r="B975" s="1"/>
    </row>
    <row r="976" spans="1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01C8-435F-467F-909A-ACA168F37EC2}">
  <dimension ref="A1:D481"/>
  <sheetViews>
    <sheetView workbookViewId="0">
      <selection activeCell="D1" sqref="D1:D1048576"/>
    </sheetView>
  </sheetViews>
  <sheetFormatPr defaultRowHeight="15" x14ac:dyDescent="0.25"/>
  <cols>
    <col min="3" max="3" width="21.7109375" customWidth="1"/>
    <col min="4" max="4" width="25.5703125" customWidth="1"/>
  </cols>
  <sheetData>
    <row r="1" spans="1:4" x14ac:dyDescent="0.25">
      <c r="A1" t="s">
        <v>0</v>
      </c>
      <c r="B1" t="s">
        <v>1</v>
      </c>
      <c r="C1" t="s">
        <v>58</v>
      </c>
      <c r="D1" t="s">
        <v>53</v>
      </c>
    </row>
    <row r="2" spans="1:4" x14ac:dyDescent="0.25">
      <c r="A2" t="s">
        <v>24</v>
      </c>
      <c r="B2" s="1" t="s">
        <v>4</v>
      </c>
      <c r="C2" s="2">
        <v>1064732202</v>
      </c>
      <c r="D2">
        <f>LN(C2)</f>
        <v>20.785989150966934</v>
      </c>
    </row>
    <row r="3" spans="1:4" x14ac:dyDescent="0.25">
      <c r="A3" t="s">
        <v>24</v>
      </c>
      <c r="B3" s="1" t="s">
        <v>5</v>
      </c>
      <c r="C3" s="2">
        <v>1097368442</v>
      </c>
      <c r="D3">
        <f t="shared" ref="D3:D66" si="0">LN(C3)</f>
        <v>20.816180825113509</v>
      </c>
    </row>
    <row r="4" spans="1:4" x14ac:dyDescent="0.25">
      <c r="A4" t="s">
        <v>24</v>
      </c>
      <c r="B4" s="1" t="s">
        <v>6</v>
      </c>
      <c r="C4" s="2">
        <v>1125400727</v>
      </c>
      <c r="D4">
        <f t="shared" si="0"/>
        <v>20.841405010955778</v>
      </c>
    </row>
    <row r="5" spans="1:4" x14ac:dyDescent="0.25">
      <c r="A5" t="s">
        <v>24</v>
      </c>
      <c r="B5" s="1" t="s">
        <v>7</v>
      </c>
      <c r="C5" s="2">
        <v>1234200039</v>
      </c>
      <c r="D5">
        <f t="shared" si="0"/>
        <v>20.933688855450658</v>
      </c>
    </row>
    <row r="6" spans="1:4" x14ac:dyDescent="0.25">
      <c r="A6" t="s">
        <v>24</v>
      </c>
      <c r="B6" s="1" t="s">
        <v>8</v>
      </c>
      <c r="C6" s="2">
        <v>1216323558</v>
      </c>
      <c r="D6">
        <f t="shared" si="0"/>
        <v>20.919098668977927</v>
      </c>
    </row>
    <row r="7" spans="1:4" x14ac:dyDescent="0.25">
      <c r="A7" t="s">
        <v>24</v>
      </c>
      <c r="B7" s="1" t="s">
        <v>9</v>
      </c>
      <c r="C7" s="2">
        <v>1224398243</v>
      </c>
      <c r="D7">
        <f t="shared" si="0"/>
        <v>20.925715330045936</v>
      </c>
    </row>
    <row r="8" spans="1:4" x14ac:dyDescent="0.25">
      <c r="A8" t="s">
        <v>24</v>
      </c>
      <c r="B8" s="1" t="s">
        <v>10</v>
      </c>
      <c r="C8" s="2">
        <v>1238657773</v>
      </c>
      <c r="D8">
        <f t="shared" si="0"/>
        <v>20.937294189171823</v>
      </c>
    </row>
    <row r="9" spans="1:4" x14ac:dyDescent="0.25">
      <c r="A9" t="s">
        <v>24</v>
      </c>
      <c r="B9" s="1" t="s">
        <v>11</v>
      </c>
      <c r="C9" s="2">
        <v>1343077860</v>
      </c>
      <c r="D9">
        <f t="shared" si="0"/>
        <v>21.018229727490588</v>
      </c>
    </row>
    <row r="10" spans="1:4" x14ac:dyDescent="0.25">
      <c r="A10" t="s">
        <v>24</v>
      </c>
      <c r="B10" s="1" t="s">
        <v>12</v>
      </c>
      <c r="C10" s="2">
        <v>1287093817</v>
      </c>
      <c r="D10">
        <f t="shared" si="0"/>
        <v>20.975652658785521</v>
      </c>
    </row>
    <row r="11" spans="1:4" x14ac:dyDescent="0.25">
      <c r="A11" t="s">
        <v>24</v>
      </c>
      <c r="B11" s="1" t="s">
        <v>13</v>
      </c>
      <c r="C11" s="2">
        <v>1309320867</v>
      </c>
      <c r="D11">
        <f t="shared" si="0"/>
        <v>20.992774417594848</v>
      </c>
    </row>
    <row r="12" spans="1:4" x14ac:dyDescent="0.25">
      <c r="A12" t="s">
        <v>24</v>
      </c>
      <c r="B12" s="1" t="s">
        <v>14</v>
      </c>
      <c r="C12" s="2">
        <v>1359555560</v>
      </c>
      <c r="D12">
        <f t="shared" si="0"/>
        <v>21.03042368916789</v>
      </c>
    </row>
    <row r="13" spans="1:4" x14ac:dyDescent="0.25">
      <c r="A13" t="s">
        <v>24</v>
      </c>
      <c r="B13" s="1" t="s">
        <v>15</v>
      </c>
      <c r="C13" s="2">
        <v>1421785007</v>
      </c>
      <c r="D13">
        <f t="shared" si="0"/>
        <v>21.075178966320362</v>
      </c>
    </row>
    <row r="14" spans="1:4" x14ac:dyDescent="0.25">
      <c r="A14" t="s">
        <v>24</v>
      </c>
      <c r="B14" s="1" t="s">
        <v>16</v>
      </c>
      <c r="C14" s="2">
        <v>1374381233</v>
      </c>
      <c r="D14">
        <f t="shared" si="0"/>
        <v>21.041269454415357</v>
      </c>
    </row>
    <row r="15" spans="1:4" x14ac:dyDescent="0.25">
      <c r="A15" t="s">
        <v>24</v>
      </c>
      <c r="B15" s="1" t="s">
        <v>17</v>
      </c>
      <c r="C15" s="2">
        <v>1411625034</v>
      </c>
      <c r="D15">
        <f t="shared" si="0"/>
        <v>21.068007384093825</v>
      </c>
    </row>
    <row r="16" spans="1:4" x14ac:dyDescent="0.25">
      <c r="A16" t="s">
        <v>24</v>
      </c>
      <c r="B16" s="1" t="s">
        <v>18</v>
      </c>
      <c r="C16" s="2">
        <v>1538515953</v>
      </c>
      <c r="D16">
        <f t="shared" si="0"/>
        <v>21.154084121863381</v>
      </c>
    </row>
    <row r="17" spans="1:4" x14ac:dyDescent="0.25">
      <c r="A17" t="s">
        <v>24</v>
      </c>
      <c r="B17" s="1" t="s">
        <v>19</v>
      </c>
      <c r="C17" s="2">
        <v>1572761035</v>
      </c>
      <c r="D17">
        <f t="shared" si="0"/>
        <v>21.176098532762396</v>
      </c>
    </row>
    <row r="18" spans="1:4" x14ac:dyDescent="0.25">
      <c r="A18" t="s">
        <v>24</v>
      </c>
      <c r="B18" s="1" t="s">
        <v>20</v>
      </c>
      <c r="C18" s="7">
        <v>1540856138</v>
      </c>
      <c r="D18">
        <f t="shared" si="0"/>
        <v>21.155604032664254</v>
      </c>
    </row>
    <row r="19" spans="1:4" x14ac:dyDescent="0.25">
      <c r="A19" t="s">
        <v>24</v>
      </c>
      <c r="B19" s="1" t="s">
        <v>21</v>
      </c>
      <c r="C19" s="7">
        <v>1542793400</v>
      </c>
      <c r="D19">
        <f t="shared" si="0"/>
        <v>21.156860506352977</v>
      </c>
    </row>
    <row r="20" spans="1:4" x14ac:dyDescent="0.25">
      <c r="A20" t="s">
        <v>24</v>
      </c>
      <c r="B20" s="1" t="s">
        <v>22</v>
      </c>
      <c r="C20" s="7">
        <v>1575760325</v>
      </c>
      <c r="D20">
        <f t="shared" si="0"/>
        <v>21.178003738771373</v>
      </c>
    </row>
    <row r="21" spans="1:4" x14ac:dyDescent="0.25">
      <c r="A21" t="s">
        <v>24</v>
      </c>
      <c r="B21" s="1" t="s">
        <v>23</v>
      </c>
      <c r="C21" s="8">
        <v>1750994673</v>
      </c>
      <c r="D21">
        <f t="shared" si="0"/>
        <v>21.283449847983935</v>
      </c>
    </row>
    <row r="22" spans="1:4" x14ac:dyDescent="0.25">
      <c r="A22" t="s">
        <v>25</v>
      </c>
      <c r="B22" s="1" t="s">
        <v>4</v>
      </c>
      <c r="C22" s="2">
        <v>945619317</v>
      </c>
      <c r="D22">
        <f t="shared" si="0"/>
        <v>20.667350632706945</v>
      </c>
    </row>
    <row r="23" spans="1:4" x14ac:dyDescent="0.25">
      <c r="A23" t="s">
        <v>25</v>
      </c>
      <c r="B23" s="1" t="s">
        <v>5</v>
      </c>
      <c r="C23" s="2">
        <v>1003464780</v>
      </c>
      <c r="D23">
        <f t="shared" si="0"/>
        <v>20.726724628424808</v>
      </c>
    </row>
    <row r="24" spans="1:4" x14ac:dyDescent="0.25">
      <c r="A24" t="s">
        <v>25</v>
      </c>
      <c r="B24" s="1" t="s">
        <v>6</v>
      </c>
      <c r="C24" s="2">
        <v>1017323850</v>
      </c>
      <c r="D24">
        <f t="shared" si="0"/>
        <v>20.74044133990084</v>
      </c>
    </row>
    <row r="25" spans="1:4" x14ac:dyDescent="0.25">
      <c r="A25" t="s">
        <v>25</v>
      </c>
      <c r="B25" s="1" t="s">
        <v>7</v>
      </c>
      <c r="C25" s="2">
        <v>1037077806</v>
      </c>
      <c r="D25">
        <f t="shared" si="0"/>
        <v>20.759672793273126</v>
      </c>
    </row>
    <row r="26" spans="1:4" x14ac:dyDescent="0.25">
      <c r="A26" t="s">
        <v>25</v>
      </c>
      <c r="B26" s="1" t="s">
        <v>8</v>
      </c>
      <c r="C26" s="2">
        <v>1035916523</v>
      </c>
      <c r="D26">
        <f t="shared" si="0"/>
        <v>20.758552401282437</v>
      </c>
    </row>
    <row r="27" spans="1:4" x14ac:dyDescent="0.25">
      <c r="A27" t="s">
        <v>25</v>
      </c>
      <c r="B27" s="1" t="s">
        <v>9</v>
      </c>
      <c r="C27" s="2">
        <v>1058351022</v>
      </c>
      <c r="D27">
        <f t="shared" si="0"/>
        <v>20.779977894184071</v>
      </c>
    </row>
    <row r="28" spans="1:4" x14ac:dyDescent="0.25">
      <c r="A28" t="s">
        <v>25</v>
      </c>
      <c r="B28" s="1" t="s">
        <v>10</v>
      </c>
      <c r="C28" s="2">
        <v>1097658366</v>
      </c>
      <c r="D28">
        <f t="shared" si="0"/>
        <v>20.816444989542507</v>
      </c>
    </row>
    <row r="29" spans="1:4" x14ac:dyDescent="0.25">
      <c r="A29" t="s">
        <v>25</v>
      </c>
      <c r="B29" s="1" t="s">
        <v>11</v>
      </c>
      <c r="C29" s="7">
        <v>1128683875</v>
      </c>
      <c r="D29">
        <f t="shared" si="0"/>
        <v>20.844318078476679</v>
      </c>
    </row>
    <row r="30" spans="1:4" x14ac:dyDescent="0.25">
      <c r="A30" t="s">
        <v>25</v>
      </c>
      <c r="B30" s="1" t="s">
        <v>12</v>
      </c>
      <c r="C30" s="9">
        <v>1130707835</v>
      </c>
      <c r="D30">
        <f t="shared" si="0"/>
        <v>20.846109676217274</v>
      </c>
    </row>
    <row r="31" spans="1:4" x14ac:dyDescent="0.25">
      <c r="A31" t="s">
        <v>25</v>
      </c>
      <c r="B31" s="1" t="s">
        <v>13</v>
      </c>
      <c r="C31" s="9">
        <v>1168344738</v>
      </c>
      <c r="D31">
        <f t="shared" si="0"/>
        <v>20.878853830200807</v>
      </c>
    </row>
    <row r="32" spans="1:4" x14ac:dyDescent="0.25">
      <c r="A32" t="s">
        <v>25</v>
      </c>
      <c r="B32" s="1" t="s">
        <v>14</v>
      </c>
      <c r="C32" s="9">
        <v>1205616993</v>
      </c>
      <c r="D32">
        <f t="shared" si="0"/>
        <v>20.910257300233628</v>
      </c>
    </row>
    <row r="33" spans="1:4" x14ac:dyDescent="0.25">
      <c r="A33" t="s">
        <v>25</v>
      </c>
      <c r="B33" s="1" t="s">
        <v>15</v>
      </c>
      <c r="C33" s="9">
        <v>1209045441</v>
      </c>
      <c r="D33">
        <f t="shared" si="0"/>
        <v>20.913096993480686</v>
      </c>
    </row>
    <row r="34" spans="1:4" x14ac:dyDescent="0.25">
      <c r="A34" t="s">
        <v>25</v>
      </c>
      <c r="B34" s="1" t="s">
        <v>16</v>
      </c>
      <c r="C34" s="9">
        <v>1253404334</v>
      </c>
      <c r="D34">
        <f t="shared" si="0"/>
        <v>20.949129153543669</v>
      </c>
    </row>
    <row r="35" spans="1:4" x14ac:dyDescent="0.25">
      <c r="A35" t="s">
        <v>25</v>
      </c>
      <c r="B35" s="1" t="s">
        <v>17</v>
      </c>
      <c r="C35" s="9">
        <v>1237027618</v>
      </c>
      <c r="D35">
        <f t="shared" si="0"/>
        <v>20.935977256704131</v>
      </c>
    </row>
    <row r="36" spans="1:4" x14ac:dyDescent="0.25">
      <c r="A36" t="s">
        <v>25</v>
      </c>
      <c r="B36" s="1" t="s">
        <v>18</v>
      </c>
      <c r="C36" s="9">
        <v>1283320346</v>
      </c>
      <c r="D36">
        <f t="shared" si="0"/>
        <v>20.972716576526786</v>
      </c>
    </row>
    <row r="37" spans="1:4" x14ac:dyDescent="0.25">
      <c r="A37" t="s">
        <v>25</v>
      </c>
      <c r="B37" s="1" t="s">
        <v>19</v>
      </c>
      <c r="C37" s="9">
        <v>1355555571</v>
      </c>
      <c r="D37">
        <f t="shared" si="0"/>
        <v>21.027477222742846</v>
      </c>
    </row>
    <row r="38" spans="1:4" x14ac:dyDescent="0.25">
      <c r="A38" t="s">
        <v>25</v>
      </c>
      <c r="B38" s="1" t="s">
        <v>20</v>
      </c>
      <c r="C38" s="7">
        <v>1352850895</v>
      </c>
      <c r="D38">
        <f t="shared" si="0"/>
        <v>21.025479976810207</v>
      </c>
    </row>
    <row r="39" spans="1:4" x14ac:dyDescent="0.25">
      <c r="A39" t="s">
        <v>25</v>
      </c>
      <c r="B39" s="1" t="s">
        <v>21</v>
      </c>
      <c r="C39" s="7">
        <v>1393396403</v>
      </c>
      <c r="D39">
        <f t="shared" si="0"/>
        <v>21.055010059101527</v>
      </c>
    </row>
    <row r="40" spans="1:4" x14ac:dyDescent="0.25">
      <c r="A40" t="s">
        <v>25</v>
      </c>
      <c r="B40" s="1" t="s">
        <v>22</v>
      </c>
      <c r="C40" s="7">
        <v>1443000499</v>
      </c>
      <c r="D40">
        <f t="shared" si="0"/>
        <v>21.08999046254543</v>
      </c>
    </row>
    <row r="41" spans="1:4" x14ac:dyDescent="0.25">
      <c r="A41" t="s">
        <v>25</v>
      </c>
      <c r="B41" s="1" t="s">
        <v>23</v>
      </c>
      <c r="C41" s="7">
        <v>1570332063</v>
      </c>
      <c r="D41">
        <f t="shared" si="0"/>
        <v>21.174552939038119</v>
      </c>
    </row>
    <row r="42" spans="1:4" x14ac:dyDescent="0.25">
      <c r="A42" t="s">
        <v>26</v>
      </c>
      <c r="B42" s="1" t="s">
        <v>4</v>
      </c>
      <c r="C42" s="9">
        <v>648574305</v>
      </c>
      <c r="D42">
        <f t="shared" si="0"/>
        <v>20.290287134956547</v>
      </c>
    </row>
    <row r="43" spans="1:4" x14ac:dyDescent="0.25">
      <c r="A43" t="s">
        <v>26</v>
      </c>
      <c r="B43" s="1" t="s">
        <v>5</v>
      </c>
      <c r="C43" s="9">
        <v>684155458</v>
      </c>
      <c r="D43">
        <f t="shared" si="0"/>
        <v>20.343695727540922</v>
      </c>
    </row>
    <row r="44" spans="1:4" x14ac:dyDescent="0.25">
      <c r="A44" t="s">
        <v>26</v>
      </c>
      <c r="B44" s="1" t="s">
        <v>6</v>
      </c>
      <c r="C44" s="9">
        <v>712213488</v>
      </c>
      <c r="D44">
        <f t="shared" si="0"/>
        <v>20.383888267129041</v>
      </c>
    </row>
    <row r="45" spans="1:4" x14ac:dyDescent="0.25">
      <c r="A45" t="s">
        <v>26</v>
      </c>
      <c r="B45" s="1" t="s">
        <v>7</v>
      </c>
      <c r="C45" s="9">
        <v>754575210</v>
      </c>
      <c r="D45">
        <f t="shared" si="0"/>
        <v>20.441665513112817</v>
      </c>
    </row>
    <row r="46" spans="1:4" x14ac:dyDescent="0.25">
      <c r="A46" t="s">
        <v>26</v>
      </c>
      <c r="B46" s="1" t="s">
        <v>8</v>
      </c>
      <c r="C46" s="9">
        <v>744421643</v>
      </c>
      <c r="D46">
        <f t="shared" si="0"/>
        <v>20.428118156732072</v>
      </c>
    </row>
    <row r="47" spans="1:4" x14ac:dyDescent="0.25">
      <c r="A47" t="s">
        <v>26</v>
      </c>
      <c r="B47" s="1" t="s">
        <v>9</v>
      </c>
      <c r="C47" s="9">
        <v>786007093</v>
      </c>
      <c r="D47">
        <f t="shared" si="0"/>
        <v>20.482476374525792</v>
      </c>
    </row>
    <row r="48" spans="1:4" x14ac:dyDescent="0.25">
      <c r="A48" t="s">
        <v>26</v>
      </c>
      <c r="B48" s="1" t="s">
        <v>10</v>
      </c>
      <c r="C48" s="9">
        <v>756755688</v>
      </c>
      <c r="D48">
        <f t="shared" si="0"/>
        <v>20.44455102219068</v>
      </c>
    </row>
    <row r="49" spans="1:4" x14ac:dyDescent="0.25">
      <c r="A49" t="s">
        <v>26</v>
      </c>
      <c r="B49" s="1" t="s">
        <v>11</v>
      </c>
      <c r="C49" s="9">
        <v>780237387</v>
      </c>
      <c r="D49">
        <f t="shared" si="0"/>
        <v>20.475108773652877</v>
      </c>
    </row>
    <row r="50" spans="1:4" x14ac:dyDescent="0.25">
      <c r="A50" t="s">
        <v>26</v>
      </c>
      <c r="B50" s="1" t="s">
        <v>12</v>
      </c>
      <c r="C50" s="9">
        <v>803279408</v>
      </c>
      <c r="D50">
        <f t="shared" si="0"/>
        <v>20.504213166556795</v>
      </c>
    </row>
    <row r="51" spans="1:4" x14ac:dyDescent="0.25">
      <c r="A51" t="s">
        <v>26</v>
      </c>
      <c r="B51" s="1" t="s">
        <v>13</v>
      </c>
      <c r="C51" s="9">
        <v>813301436</v>
      </c>
      <c r="D51">
        <f t="shared" si="0"/>
        <v>20.516612368781576</v>
      </c>
    </row>
    <row r="52" spans="1:4" x14ac:dyDescent="0.25">
      <c r="A52" t="s">
        <v>26</v>
      </c>
      <c r="B52" s="1" t="s">
        <v>14</v>
      </c>
      <c r="C52" s="9">
        <v>847579548</v>
      </c>
      <c r="D52">
        <f t="shared" si="0"/>
        <v>20.557895254761025</v>
      </c>
    </row>
    <row r="53" spans="1:4" x14ac:dyDescent="0.25">
      <c r="A53" t="s">
        <v>26</v>
      </c>
      <c r="B53" s="1" t="s">
        <v>15</v>
      </c>
      <c r="C53" s="9">
        <v>818227668</v>
      </c>
      <c r="D53">
        <f t="shared" si="0"/>
        <v>20.522651178580819</v>
      </c>
    </row>
    <row r="54" spans="1:4" x14ac:dyDescent="0.25">
      <c r="A54" t="s">
        <v>26</v>
      </c>
      <c r="B54" s="1" t="s">
        <v>16</v>
      </c>
      <c r="C54" s="9">
        <v>840240592</v>
      </c>
      <c r="D54">
        <f t="shared" si="0"/>
        <v>20.549198827839149</v>
      </c>
    </row>
    <row r="55" spans="1:4" x14ac:dyDescent="0.25">
      <c r="A55" t="s">
        <v>26</v>
      </c>
      <c r="B55" s="1" t="s">
        <v>17</v>
      </c>
      <c r="C55" s="9">
        <v>852497109</v>
      </c>
      <c r="D55">
        <f t="shared" si="0"/>
        <v>20.563680375913851</v>
      </c>
    </row>
    <row r="56" spans="1:4" x14ac:dyDescent="0.25">
      <c r="A56" t="s">
        <v>26</v>
      </c>
      <c r="B56" s="1" t="s">
        <v>18</v>
      </c>
      <c r="C56" s="9">
        <v>894893400</v>
      </c>
      <c r="D56">
        <f t="shared" si="0"/>
        <v>20.61221516300018</v>
      </c>
    </row>
    <row r="57" spans="1:4" x14ac:dyDescent="0.25">
      <c r="A57" t="s">
        <v>26</v>
      </c>
      <c r="B57" s="1" t="s">
        <v>19</v>
      </c>
      <c r="C57" s="9">
        <v>941211128</v>
      </c>
      <c r="D57">
        <f t="shared" si="0"/>
        <v>20.662678037952009</v>
      </c>
    </row>
    <row r="58" spans="1:4" x14ac:dyDescent="0.25">
      <c r="A58" t="s">
        <v>26</v>
      </c>
      <c r="B58" s="1" t="s">
        <v>20</v>
      </c>
      <c r="C58" s="7">
        <v>908458601</v>
      </c>
      <c r="D58">
        <f t="shared" si="0"/>
        <v>20.627259876242686</v>
      </c>
    </row>
    <row r="59" spans="1:4" x14ac:dyDescent="0.25">
      <c r="A59" t="s">
        <v>26</v>
      </c>
      <c r="B59" s="1" t="s">
        <v>21</v>
      </c>
      <c r="C59" s="7">
        <v>912767267</v>
      </c>
      <c r="D59">
        <f t="shared" si="0"/>
        <v>20.631991495877919</v>
      </c>
    </row>
    <row r="60" spans="1:4" x14ac:dyDescent="0.25">
      <c r="A60" t="s">
        <v>26</v>
      </c>
      <c r="B60" s="1" t="s">
        <v>22</v>
      </c>
      <c r="C60" s="7">
        <v>909638667</v>
      </c>
      <c r="D60">
        <f t="shared" si="0"/>
        <v>20.62855800939154</v>
      </c>
    </row>
    <row r="61" spans="1:4" x14ac:dyDescent="0.25">
      <c r="A61" t="s">
        <v>26</v>
      </c>
      <c r="B61" s="1" t="s">
        <v>23</v>
      </c>
      <c r="C61" s="7">
        <v>997556847</v>
      </c>
      <c r="D61">
        <f t="shared" si="0"/>
        <v>20.72081969457814</v>
      </c>
    </row>
    <row r="62" spans="1:4" x14ac:dyDescent="0.25">
      <c r="A62" t="s">
        <v>27</v>
      </c>
      <c r="B62" s="1" t="s">
        <v>4</v>
      </c>
      <c r="C62" s="2">
        <v>258738696</v>
      </c>
      <c r="D62">
        <f t="shared" si="0"/>
        <v>19.371329214633029</v>
      </c>
    </row>
    <row r="63" spans="1:4" x14ac:dyDescent="0.25">
      <c r="A63" t="s">
        <v>27</v>
      </c>
      <c r="B63" s="1" t="s">
        <v>5</v>
      </c>
      <c r="C63" s="2">
        <v>268044394</v>
      </c>
      <c r="D63">
        <f t="shared" si="0"/>
        <v>19.406663174010539</v>
      </c>
    </row>
    <row r="64" spans="1:4" x14ac:dyDescent="0.25">
      <c r="A64" t="s">
        <v>27</v>
      </c>
      <c r="B64" s="1" t="s">
        <v>6</v>
      </c>
      <c r="C64" s="2">
        <v>272304662</v>
      </c>
      <c r="D64">
        <f t="shared" si="0"/>
        <v>19.42243207832005</v>
      </c>
    </row>
    <row r="65" spans="1:4" x14ac:dyDescent="0.25">
      <c r="A65" t="s">
        <v>27</v>
      </c>
      <c r="B65" s="1" t="s">
        <v>7</v>
      </c>
      <c r="C65" s="2">
        <v>306436194</v>
      </c>
      <c r="D65">
        <f t="shared" si="0"/>
        <v>19.540520115486164</v>
      </c>
    </row>
    <row r="66" spans="1:4" x14ac:dyDescent="0.25">
      <c r="A66" t="s">
        <v>27</v>
      </c>
      <c r="B66" s="1" t="s">
        <v>8</v>
      </c>
      <c r="C66" s="2">
        <v>301346488</v>
      </c>
      <c r="D66">
        <f t="shared" si="0"/>
        <v>19.523771283602752</v>
      </c>
    </row>
    <row r="67" spans="1:4" x14ac:dyDescent="0.25">
      <c r="A67" t="s">
        <v>27</v>
      </c>
      <c r="B67" s="1" t="s">
        <v>9</v>
      </c>
      <c r="C67" s="2">
        <v>312474892</v>
      </c>
      <c r="D67">
        <f t="shared" ref="D67:D130" si="1">LN(C67)</f>
        <v>19.560034678312849</v>
      </c>
    </row>
    <row r="68" spans="1:4" x14ac:dyDescent="0.25">
      <c r="A68" t="s">
        <v>27</v>
      </c>
      <c r="B68" s="1" t="s">
        <v>10</v>
      </c>
      <c r="C68" s="2">
        <v>316211345</v>
      </c>
      <c r="D68">
        <f t="shared" si="1"/>
        <v>19.571921361286389</v>
      </c>
    </row>
    <row r="69" spans="1:4" x14ac:dyDescent="0.25">
      <c r="A69" t="s">
        <v>27</v>
      </c>
      <c r="B69" s="1" t="s">
        <v>11</v>
      </c>
      <c r="C69" s="2">
        <v>311776828</v>
      </c>
      <c r="D69">
        <f t="shared" si="1"/>
        <v>19.557798194956526</v>
      </c>
    </row>
    <row r="70" spans="1:4" x14ac:dyDescent="0.25">
      <c r="A70" t="s">
        <v>27</v>
      </c>
      <c r="B70" s="1" t="s">
        <v>12</v>
      </c>
      <c r="C70" s="2">
        <v>308186680</v>
      </c>
      <c r="D70">
        <f t="shared" si="1"/>
        <v>19.546216261227173</v>
      </c>
    </row>
    <row r="71" spans="1:4" x14ac:dyDescent="0.25">
      <c r="A71" t="s">
        <v>27</v>
      </c>
      <c r="B71" s="1" t="s">
        <v>13</v>
      </c>
      <c r="C71" s="2">
        <v>314602871</v>
      </c>
      <c r="D71">
        <f t="shared" si="1"/>
        <v>19.566821674420936</v>
      </c>
    </row>
    <row r="72" spans="1:4" x14ac:dyDescent="0.25">
      <c r="A72" t="s">
        <v>27</v>
      </c>
      <c r="B72" s="1" t="s">
        <v>14</v>
      </c>
      <c r="C72" s="2">
        <v>356974307</v>
      </c>
      <c r="D72">
        <f t="shared" si="1"/>
        <v>19.693174367966332</v>
      </c>
    </row>
    <row r="73" spans="1:4" x14ac:dyDescent="0.25">
      <c r="A73" t="s">
        <v>27</v>
      </c>
      <c r="B73" s="1" t="s">
        <v>15</v>
      </c>
      <c r="C73" s="2">
        <v>361208406</v>
      </c>
      <c r="D73">
        <f t="shared" si="1"/>
        <v>19.704965651661556</v>
      </c>
    </row>
    <row r="74" spans="1:4" x14ac:dyDescent="0.25">
      <c r="A74" t="s">
        <v>27</v>
      </c>
      <c r="B74" s="1" t="s">
        <v>16</v>
      </c>
      <c r="C74" s="2">
        <v>375729831</v>
      </c>
      <c r="D74">
        <f t="shared" si="1"/>
        <v>19.74438090851001</v>
      </c>
    </row>
    <row r="75" spans="1:4" x14ac:dyDescent="0.25">
      <c r="A75" t="s">
        <v>27</v>
      </c>
      <c r="B75" s="1" t="s">
        <v>17</v>
      </c>
      <c r="C75" s="2">
        <v>380513594</v>
      </c>
      <c r="D75">
        <f t="shared" si="1"/>
        <v>19.757032461303258</v>
      </c>
    </row>
    <row r="76" spans="1:4" x14ac:dyDescent="0.25">
      <c r="A76" t="s">
        <v>27</v>
      </c>
      <c r="B76" s="1" t="s">
        <v>18</v>
      </c>
      <c r="C76" s="2">
        <v>368055555</v>
      </c>
      <c r="D76">
        <f t="shared" si="1"/>
        <v>19.723744449413097</v>
      </c>
    </row>
    <row r="77" spans="1:4" x14ac:dyDescent="0.25">
      <c r="A77" t="s">
        <v>27</v>
      </c>
      <c r="B77" s="1" t="s">
        <v>19</v>
      </c>
      <c r="C77" s="2">
        <v>371868311</v>
      </c>
      <c r="D77">
        <f t="shared" si="1"/>
        <v>19.734050346875506</v>
      </c>
    </row>
    <row r="78" spans="1:4" x14ac:dyDescent="0.25">
      <c r="A78" t="s">
        <v>27</v>
      </c>
      <c r="B78" s="1" t="s">
        <v>20</v>
      </c>
      <c r="C78" s="7">
        <v>367515728</v>
      </c>
      <c r="D78">
        <f t="shared" si="1"/>
        <v>19.7222766729803</v>
      </c>
    </row>
    <row r="79" spans="1:4" x14ac:dyDescent="0.25">
      <c r="A79" t="s">
        <v>27</v>
      </c>
      <c r="B79" s="1" t="s">
        <v>21</v>
      </c>
      <c r="C79" s="7">
        <v>381741249</v>
      </c>
      <c r="D79">
        <f t="shared" si="1"/>
        <v>19.760253578421096</v>
      </c>
    </row>
    <row r="80" spans="1:4" x14ac:dyDescent="0.25">
      <c r="A80" t="s">
        <v>27</v>
      </c>
      <c r="B80" s="1" t="s">
        <v>22</v>
      </c>
      <c r="C80" s="7">
        <v>389291838</v>
      </c>
      <c r="D80">
        <f t="shared" si="1"/>
        <v>19.779839846524784</v>
      </c>
    </row>
    <row r="81" spans="1:4" x14ac:dyDescent="0.25">
      <c r="A81" t="s">
        <v>27</v>
      </c>
      <c r="B81" s="1" t="s">
        <v>23</v>
      </c>
      <c r="C81" s="7">
        <v>402148312</v>
      </c>
      <c r="D81">
        <f t="shared" si="1"/>
        <v>19.812331513866777</v>
      </c>
    </row>
    <row r="82" spans="1:4" x14ac:dyDescent="0.25">
      <c r="A82" t="s">
        <v>28</v>
      </c>
      <c r="B82" s="1" t="s">
        <v>4</v>
      </c>
      <c r="C82" s="9">
        <v>151900294</v>
      </c>
      <c r="D82">
        <f t="shared" si="1"/>
        <v>18.838734903048</v>
      </c>
    </row>
    <row r="83" spans="1:4" x14ac:dyDescent="0.25">
      <c r="A83" t="s">
        <v>28</v>
      </c>
      <c r="B83" s="1" t="s">
        <v>5</v>
      </c>
      <c r="C83" s="9">
        <v>159062532</v>
      </c>
      <c r="D83">
        <f t="shared" si="1"/>
        <v>18.884807965887877</v>
      </c>
    </row>
    <row r="84" spans="1:4" x14ac:dyDescent="0.25">
      <c r="A84" t="s">
        <v>28</v>
      </c>
      <c r="B84" s="1" t="s">
        <v>6</v>
      </c>
      <c r="C84" s="9">
        <v>155534538</v>
      </c>
      <c r="D84">
        <f t="shared" si="1"/>
        <v>18.862378374245697</v>
      </c>
    </row>
    <row r="85" spans="1:4" x14ac:dyDescent="0.25">
      <c r="A85" t="s">
        <v>28</v>
      </c>
      <c r="B85" s="1" t="s">
        <v>7</v>
      </c>
      <c r="C85" s="9">
        <v>152759234</v>
      </c>
      <c r="D85">
        <f t="shared" si="1"/>
        <v>18.844373605907343</v>
      </c>
    </row>
    <row r="86" spans="1:4" x14ac:dyDescent="0.25">
      <c r="A86" t="s">
        <v>28</v>
      </c>
      <c r="B86" s="1" t="s">
        <v>8</v>
      </c>
      <c r="C86" s="9">
        <v>160250986</v>
      </c>
      <c r="D86">
        <f t="shared" si="1"/>
        <v>18.892251806632242</v>
      </c>
    </row>
    <row r="87" spans="1:4" x14ac:dyDescent="0.25">
      <c r="A87" t="s">
        <v>28</v>
      </c>
      <c r="B87" s="1" t="s">
        <v>9</v>
      </c>
      <c r="C87" s="9">
        <v>147629882</v>
      </c>
      <c r="D87">
        <f t="shared" si="1"/>
        <v>18.810218902214416</v>
      </c>
    </row>
    <row r="88" spans="1:4" x14ac:dyDescent="0.25">
      <c r="A88" t="s">
        <v>28</v>
      </c>
      <c r="B88" s="1" t="s">
        <v>10</v>
      </c>
      <c r="C88" s="9">
        <v>154908997</v>
      </c>
      <c r="D88">
        <f t="shared" si="1"/>
        <v>18.858348386334324</v>
      </c>
    </row>
    <row r="89" spans="1:4" x14ac:dyDescent="0.25">
      <c r="A89" t="s">
        <v>28</v>
      </c>
      <c r="B89" s="1" t="s">
        <v>11</v>
      </c>
      <c r="C89" s="9">
        <v>161264340</v>
      </c>
      <c r="D89">
        <f t="shared" si="1"/>
        <v>18.898555439918656</v>
      </c>
    </row>
    <row r="90" spans="1:4" x14ac:dyDescent="0.25">
      <c r="A90" t="s">
        <v>28</v>
      </c>
      <c r="B90" s="1" t="s">
        <v>12</v>
      </c>
      <c r="C90" s="9">
        <v>167261064</v>
      </c>
      <c r="D90">
        <f t="shared" si="1"/>
        <v>18.935066407251</v>
      </c>
    </row>
    <row r="91" spans="1:4" x14ac:dyDescent="0.25">
      <c r="A91" t="s">
        <v>28</v>
      </c>
      <c r="B91" s="1" t="s">
        <v>13</v>
      </c>
      <c r="C91" s="9">
        <v>157837069</v>
      </c>
      <c r="D91">
        <f t="shared" si="1"/>
        <v>18.877073850068815</v>
      </c>
    </row>
    <row r="92" spans="1:4" x14ac:dyDescent="0.25">
      <c r="A92" t="s">
        <v>28</v>
      </c>
      <c r="B92" s="1" t="s">
        <v>14</v>
      </c>
      <c r="C92" s="9">
        <v>166635675</v>
      </c>
      <c r="D92">
        <f t="shared" si="1"/>
        <v>18.931320400427513</v>
      </c>
    </row>
    <row r="93" spans="1:4" x14ac:dyDescent="0.25">
      <c r="A93" t="s">
        <v>28</v>
      </c>
      <c r="B93" s="1" t="s">
        <v>15</v>
      </c>
      <c r="C93" s="9">
        <v>197574403</v>
      </c>
      <c r="D93">
        <f t="shared" si="1"/>
        <v>19.101625795413394</v>
      </c>
    </row>
    <row r="94" spans="1:4" x14ac:dyDescent="0.25">
      <c r="A94" t="s">
        <v>28</v>
      </c>
      <c r="B94" s="1" t="s">
        <v>16</v>
      </c>
      <c r="C94" s="9">
        <v>203327872</v>
      </c>
      <c r="D94">
        <f t="shared" si="1"/>
        <v>19.130330367086419</v>
      </c>
    </row>
    <row r="95" spans="1:4" x14ac:dyDescent="0.25">
      <c r="A95" t="s">
        <v>28</v>
      </c>
      <c r="B95" s="1" t="s">
        <v>17</v>
      </c>
      <c r="C95" s="9">
        <v>212912825</v>
      </c>
      <c r="D95">
        <f t="shared" si="1"/>
        <v>19.176393367598465</v>
      </c>
    </row>
    <row r="96" spans="1:4" x14ac:dyDescent="0.25">
      <c r="A96" t="s">
        <v>28</v>
      </c>
      <c r="B96" s="1" t="s">
        <v>18</v>
      </c>
      <c r="C96" s="9">
        <v>218796253</v>
      </c>
      <c r="D96">
        <f t="shared" si="1"/>
        <v>19.203651503136943</v>
      </c>
    </row>
    <row r="97" spans="1:4" x14ac:dyDescent="0.25">
      <c r="A97" t="s">
        <v>28</v>
      </c>
      <c r="B97" s="1" t="s">
        <v>19</v>
      </c>
      <c r="C97" s="9">
        <v>234379042</v>
      </c>
      <c r="D97">
        <f t="shared" si="1"/>
        <v>19.272450200406908</v>
      </c>
    </row>
    <row r="98" spans="1:4" x14ac:dyDescent="0.25">
      <c r="A98" t="s">
        <v>28</v>
      </c>
      <c r="B98" s="1" t="s">
        <v>20</v>
      </c>
      <c r="C98" s="10" t="s">
        <v>101</v>
      </c>
      <c r="D98">
        <f t="shared" si="1"/>
        <v>19.299779368620122</v>
      </c>
    </row>
    <row r="99" spans="1:4" x14ac:dyDescent="0.25">
      <c r="A99" t="s">
        <v>28</v>
      </c>
      <c r="B99" s="1" t="s">
        <v>21</v>
      </c>
      <c r="C99" s="10" t="s">
        <v>102</v>
      </c>
      <c r="D99">
        <f t="shared" si="1"/>
        <v>19.252691372057505</v>
      </c>
    </row>
    <row r="100" spans="1:4" x14ac:dyDescent="0.25">
      <c r="A100" t="s">
        <v>28</v>
      </c>
      <c r="B100" s="1" t="s">
        <v>22</v>
      </c>
      <c r="C100" s="10" t="s">
        <v>103</v>
      </c>
      <c r="D100">
        <f t="shared" si="1"/>
        <v>19.211200462556782</v>
      </c>
    </row>
    <row r="101" spans="1:4" x14ac:dyDescent="0.25">
      <c r="A101" t="s">
        <v>28</v>
      </c>
      <c r="B101" s="1" t="s">
        <v>23</v>
      </c>
      <c r="C101" s="8">
        <v>255112471</v>
      </c>
      <c r="D101">
        <f t="shared" si="1"/>
        <v>19.357215068628218</v>
      </c>
    </row>
    <row r="102" spans="1:4" x14ac:dyDescent="0.25">
      <c r="A102" t="s">
        <v>29</v>
      </c>
      <c r="B102" s="1" t="s">
        <v>4</v>
      </c>
      <c r="C102" s="9">
        <v>745043491</v>
      </c>
      <c r="D102">
        <f t="shared" si="1"/>
        <v>20.428953151821162</v>
      </c>
    </row>
    <row r="103" spans="1:4" x14ac:dyDescent="0.25">
      <c r="A103" t="s">
        <v>29</v>
      </c>
      <c r="B103" s="1" t="s">
        <v>5</v>
      </c>
      <c r="C103" s="9">
        <v>776590042</v>
      </c>
      <c r="D103">
        <f t="shared" si="1"/>
        <v>20.470423152619755</v>
      </c>
    </row>
    <row r="104" spans="1:4" x14ac:dyDescent="0.25">
      <c r="A104" t="s">
        <v>29</v>
      </c>
      <c r="B104" s="1" t="s">
        <v>6</v>
      </c>
      <c r="C104" s="9">
        <v>783814134</v>
      </c>
      <c r="D104">
        <f t="shared" si="1"/>
        <v>20.479682476228611</v>
      </c>
    </row>
    <row r="105" spans="1:4" x14ac:dyDescent="0.25">
      <c r="A105" t="s">
        <v>29</v>
      </c>
      <c r="B105" s="1" t="s">
        <v>7</v>
      </c>
      <c r="C105" s="9">
        <v>808648119</v>
      </c>
      <c r="D105">
        <f t="shared" si="1"/>
        <v>20.510874422428302</v>
      </c>
    </row>
    <row r="106" spans="1:4" x14ac:dyDescent="0.25">
      <c r="A106" t="s">
        <v>29</v>
      </c>
      <c r="B106" s="1" t="s">
        <v>8</v>
      </c>
      <c r="C106" s="9">
        <v>814559087</v>
      </c>
      <c r="D106">
        <f t="shared" si="1"/>
        <v>20.518157527267153</v>
      </c>
    </row>
    <row r="107" spans="1:4" x14ac:dyDescent="0.25">
      <c r="A107" t="s">
        <v>29</v>
      </c>
      <c r="B107" s="1" t="s">
        <v>9</v>
      </c>
      <c r="C107" s="9">
        <v>853642798</v>
      </c>
      <c r="D107">
        <f t="shared" si="1"/>
        <v>20.565023394932989</v>
      </c>
    </row>
    <row r="108" spans="1:4" x14ac:dyDescent="0.25">
      <c r="A108" t="s">
        <v>29</v>
      </c>
      <c r="B108" s="1" t="s">
        <v>10</v>
      </c>
      <c r="C108" s="9">
        <v>875677023</v>
      </c>
      <c r="D108">
        <f t="shared" si="1"/>
        <v>20.590507885710398</v>
      </c>
    </row>
    <row r="109" spans="1:4" x14ac:dyDescent="0.25">
      <c r="A109" t="s">
        <v>29</v>
      </c>
      <c r="B109" s="1" t="s">
        <v>11</v>
      </c>
      <c r="C109" s="9">
        <v>899035962</v>
      </c>
      <c r="D109">
        <f t="shared" si="1"/>
        <v>20.61683359386052</v>
      </c>
    </row>
    <row r="110" spans="1:4" x14ac:dyDescent="0.25">
      <c r="A110" t="s">
        <v>29</v>
      </c>
      <c r="B110" s="1" t="s">
        <v>12</v>
      </c>
      <c r="C110" s="9">
        <v>953701928</v>
      </c>
      <c r="D110">
        <f t="shared" si="1"/>
        <v>20.67586173614718</v>
      </c>
    </row>
    <row r="111" spans="1:4" x14ac:dyDescent="0.25">
      <c r="A111" t="s">
        <v>29</v>
      </c>
      <c r="B111" s="1" t="s">
        <v>13</v>
      </c>
      <c r="C111" s="9">
        <v>957694444</v>
      </c>
      <c r="D111">
        <f t="shared" si="1"/>
        <v>20.680039333075833</v>
      </c>
    </row>
    <row r="112" spans="1:4" x14ac:dyDescent="0.25">
      <c r="A112" t="s">
        <v>29</v>
      </c>
      <c r="B112" s="1" t="s">
        <v>14</v>
      </c>
      <c r="C112" s="9">
        <v>985845932</v>
      </c>
      <c r="D112">
        <f t="shared" si="1"/>
        <v>20.709010644779642</v>
      </c>
    </row>
    <row r="113" spans="1:4" x14ac:dyDescent="0.25">
      <c r="A113" t="s">
        <v>29</v>
      </c>
      <c r="B113" s="1" t="s">
        <v>15</v>
      </c>
      <c r="C113" s="9">
        <v>1056362108</v>
      </c>
      <c r="D113">
        <f t="shared" si="1"/>
        <v>20.778096868754925</v>
      </c>
    </row>
    <row r="114" spans="1:4" x14ac:dyDescent="0.25">
      <c r="A114" t="s">
        <v>29</v>
      </c>
      <c r="B114" s="1" t="s">
        <v>16</v>
      </c>
      <c r="C114" s="9">
        <v>1071238142</v>
      </c>
      <c r="D114">
        <f t="shared" si="1"/>
        <v>20.792080958503448</v>
      </c>
    </row>
    <row r="115" spans="1:4" x14ac:dyDescent="0.25">
      <c r="A115" t="s">
        <v>29</v>
      </c>
      <c r="B115" s="1" t="s">
        <v>17</v>
      </c>
      <c r="C115" s="9">
        <v>1109512267</v>
      </c>
      <c r="D115">
        <f t="shared" si="1"/>
        <v>20.827186356607484</v>
      </c>
    </row>
    <row r="116" spans="1:4" x14ac:dyDescent="0.25">
      <c r="A116" t="s">
        <v>29</v>
      </c>
      <c r="B116" s="1" t="s">
        <v>18</v>
      </c>
      <c r="C116" s="9">
        <v>1148850342</v>
      </c>
      <c r="D116">
        <f t="shared" si="1"/>
        <v>20.862027576676937</v>
      </c>
    </row>
    <row r="117" spans="1:4" x14ac:dyDescent="0.25">
      <c r="A117" t="s">
        <v>29</v>
      </c>
      <c r="B117" s="1" t="s">
        <v>19</v>
      </c>
      <c r="C117" s="7">
        <v>1205491799</v>
      </c>
      <c r="D117">
        <f t="shared" si="1"/>
        <v>20.910153452576047</v>
      </c>
    </row>
    <row r="118" spans="1:4" x14ac:dyDescent="0.25">
      <c r="A118" t="s">
        <v>29</v>
      </c>
      <c r="B118" s="1" t="s">
        <v>20</v>
      </c>
      <c r="C118" s="10" t="s">
        <v>104</v>
      </c>
      <c r="D118">
        <f t="shared" si="1"/>
        <v>20.933743373489616</v>
      </c>
    </row>
    <row r="119" spans="1:4" x14ac:dyDescent="0.25">
      <c r="A119" t="s">
        <v>29</v>
      </c>
      <c r="B119" s="1" t="s">
        <v>21</v>
      </c>
      <c r="C119" s="10" t="s">
        <v>105</v>
      </c>
      <c r="D119">
        <f t="shared" si="1"/>
        <v>20.936523315278873</v>
      </c>
    </row>
    <row r="120" spans="1:4" x14ac:dyDescent="0.25">
      <c r="A120" t="s">
        <v>29</v>
      </c>
      <c r="B120" s="1" t="s">
        <v>22</v>
      </c>
      <c r="C120" s="10" t="s">
        <v>106</v>
      </c>
      <c r="D120">
        <f t="shared" si="1"/>
        <v>20.953974531467455</v>
      </c>
    </row>
    <row r="121" spans="1:4" x14ac:dyDescent="0.25">
      <c r="A121" t="s">
        <v>29</v>
      </c>
      <c r="B121" s="1" t="s">
        <v>23</v>
      </c>
      <c r="C121" s="7">
        <v>1283366355</v>
      </c>
      <c r="D121">
        <f t="shared" si="1"/>
        <v>20.972752427415784</v>
      </c>
    </row>
    <row r="122" spans="1:4" x14ac:dyDescent="0.25">
      <c r="A122" t="s">
        <v>30</v>
      </c>
      <c r="B122" s="1" t="s">
        <v>4</v>
      </c>
      <c r="C122" s="2">
        <v>160883617</v>
      </c>
      <c r="D122">
        <f t="shared" si="1"/>
        <v>18.896191785771663</v>
      </c>
    </row>
    <row r="123" spans="1:4" x14ac:dyDescent="0.25">
      <c r="A123" t="s">
        <v>30</v>
      </c>
      <c r="B123" s="1" t="s">
        <v>5</v>
      </c>
      <c r="C123" s="2">
        <v>155896565</v>
      </c>
      <c r="D123">
        <f t="shared" si="1"/>
        <v>18.864703300430552</v>
      </c>
    </row>
    <row r="124" spans="1:4" x14ac:dyDescent="0.25">
      <c r="A124" t="s">
        <v>30</v>
      </c>
      <c r="B124" s="1" t="s">
        <v>6</v>
      </c>
      <c r="C124" s="2">
        <v>157955044</v>
      </c>
      <c r="D124">
        <f t="shared" si="1"/>
        <v>18.877821018858864</v>
      </c>
    </row>
    <row r="125" spans="1:4" x14ac:dyDescent="0.25">
      <c r="A125" t="s">
        <v>30</v>
      </c>
      <c r="B125" s="1" t="s">
        <v>7</v>
      </c>
      <c r="C125" s="2">
        <v>163236041</v>
      </c>
      <c r="D125">
        <f t="shared" si="1"/>
        <v>18.91070781557362</v>
      </c>
    </row>
    <row r="126" spans="1:4" x14ac:dyDescent="0.25">
      <c r="A126" t="s">
        <v>30</v>
      </c>
      <c r="B126" s="1" t="s">
        <v>8</v>
      </c>
      <c r="C126" s="2">
        <v>173997784</v>
      </c>
      <c r="D126">
        <f t="shared" si="1"/>
        <v>18.974553121465519</v>
      </c>
    </row>
    <row r="127" spans="1:4" x14ac:dyDescent="0.25">
      <c r="A127" t="s">
        <v>30</v>
      </c>
      <c r="B127" s="1" t="s">
        <v>9</v>
      </c>
      <c r="C127" s="2">
        <v>169266124</v>
      </c>
      <c r="D127">
        <f t="shared" si="1"/>
        <v>18.946982732574995</v>
      </c>
    </row>
    <row r="128" spans="1:4" x14ac:dyDescent="0.25">
      <c r="A128" t="s">
        <v>30</v>
      </c>
      <c r="B128" s="1" t="s">
        <v>10</v>
      </c>
      <c r="C128" s="2">
        <v>163721487</v>
      </c>
      <c r="D128">
        <f t="shared" si="1"/>
        <v>18.913677292127243</v>
      </c>
    </row>
    <row r="129" spans="1:4" x14ac:dyDescent="0.25">
      <c r="A129" t="s">
        <v>30</v>
      </c>
      <c r="B129" s="1" t="s">
        <v>11</v>
      </c>
      <c r="C129" s="2">
        <v>154703225</v>
      </c>
      <c r="D129">
        <f t="shared" si="1"/>
        <v>18.85701916212626</v>
      </c>
    </row>
    <row r="130" spans="1:4" x14ac:dyDescent="0.25">
      <c r="A130" t="s">
        <v>30</v>
      </c>
      <c r="B130" s="1" t="s">
        <v>12</v>
      </c>
      <c r="C130" s="2">
        <v>167608969</v>
      </c>
      <c r="D130">
        <f t="shared" si="1"/>
        <v>18.937144258900226</v>
      </c>
    </row>
    <row r="131" spans="1:4" x14ac:dyDescent="0.25">
      <c r="A131" t="s">
        <v>30</v>
      </c>
      <c r="B131" s="1" t="s">
        <v>13</v>
      </c>
      <c r="C131" s="2">
        <v>151741055</v>
      </c>
      <c r="D131">
        <f t="shared" ref="D131:D194" si="2">LN(C131)</f>
        <v>18.837686040532251</v>
      </c>
    </row>
    <row r="132" spans="1:4" x14ac:dyDescent="0.25">
      <c r="A132" t="s">
        <v>30</v>
      </c>
      <c r="B132" s="1" t="s">
        <v>14</v>
      </c>
      <c r="C132" s="2">
        <v>166139379</v>
      </c>
      <c r="D132">
        <f t="shared" si="2"/>
        <v>18.928337626556729</v>
      </c>
    </row>
    <row r="133" spans="1:4" x14ac:dyDescent="0.25">
      <c r="A133" t="s">
        <v>30</v>
      </c>
      <c r="B133" s="1" t="s">
        <v>15</v>
      </c>
      <c r="C133" s="2">
        <v>162579069</v>
      </c>
      <c r="D133">
        <f t="shared" si="2"/>
        <v>18.906675019854692</v>
      </c>
    </row>
    <row r="134" spans="1:4" x14ac:dyDescent="0.25">
      <c r="A134" t="s">
        <v>30</v>
      </c>
      <c r="B134" s="1" t="s">
        <v>16</v>
      </c>
      <c r="C134" s="2">
        <v>164370126</v>
      </c>
      <c r="D134">
        <f t="shared" si="2"/>
        <v>18.917631308745655</v>
      </c>
    </row>
    <row r="135" spans="1:4" x14ac:dyDescent="0.25">
      <c r="A135" t="s">
        <v>30</v>
      </c>
      <c r="B135" s="1" t="s">
        <v>17</v>
      </c>
      <c r="C135" s="2">
        <v>152055984</v>
      </c>
      <c r="D135">
        <f t="shared" si="2"/>
        <v>18.839759326788414</v>
      </c>
    </row>
    <row r="136" spans="1:4" x14ac:dyDescent="0.25">
      <c r="A136" t="s">
        <v>30</v>
      </c>
      <c r="B136" s="1" t="s">
        <v>18</v>
      </c>
      <c r="C136" s="2">
        <v>144079298</v>
      </c>
      <c r="D136">
        <f t="shared" si="2"/>
        <v>18.785874386526935</v>
      </c>
    </row>
    <row r="137" spans="1:4" x14ac:dyDescent="0.25">
      <c r="A137" t="s">
        <v>30</v>
      </c>
      <c r="B137" s="1" t="s">
        <v>19</v>
      </c>
      <c r="C137" s="2">
        <v>157962140</v>
      </c>
      <c r="D137">
        <f t="shared" si="2"/>
        <v>18.877865942024556</v>
      </c>
    </row>
    <row r="138" spans="1:4" x14ac:dyDescent="0.25">
      <c r="A138" t="s">
        <v>30</v>
      </c>
      <c r="B138" s="1" t="s">
        <v>20</v>
      </c>
      <c r="C138" s="10" t="s">
        <v>107</v>
      </c>
      <c r="D138">
        <f t="shared" si="2"/>
        <v>18.823180787263968</v>
      </c>
    </row>
    <row r="139" spans="1:4" x14ac:dyDescent="0.25">
      <c r="A139" t="s">
        <v>30</v>
      </c>
      <c r="B139" s="1" t="s">
        <v>21</v>
      </c>
      <c r="C139" s="10" t="s">
        <v>108</v>
      </c>
      <c r="D139">
        <f t="shared" si="2"/>
        <v>18.872744982747562</v>
      </c>
    </row>
    <row r="140" spans="1:4" x14ac:dyDescent="0.25">
      <c r="A140" t="s">
        <v>30</v>
      </c>
      <c r="B140" s="1" t="s">
        <v>22</v>
      </c>
      <c r="C140" s="10" t="s">
        <v>109</v>
      </c>
      <c r="D140">
        <f t="shared" si="2"/>
        <v>18.8555921884311</v>
      </c>
    </row>
    <row r="141" spans="1:4" x14ac:dyDescent="0.25">
      <c r="A141" t="s">
        <v>30</v>
      </c>
      <c r="B141" s="1" t="s">
        <v>23</v>
      </c>
      <c r="C141" s="7">
        <v>148946390</v>
      </c>
      <c r="D141">
        <f t="shared" si="2"/>
        <v>18.819097000508947</v>
      </c>
    </row>
    <row r="142" spans="1:4" x14ac:dyDescent="0.25">
      <c r="A142" t="s">
        <v>31</v>
      </c>
      <c r="B142" s="1" t="s">
        <v>4</v>
      </c>
      <c r="C142" s="2">
        <v>197923174</v>
      </c>
      <c r="D142">
        <f t="shared" si="2"/>
        <v>19.103389503262402</v>
      </c>
    </row>
    <row r="143" spans="1:4" x14ac:dyDescent="0.25">
      <c r="A143" t="s">
        <v>31</v>
      </c>
      <c r="B143" s="1" t="s">
        <v>5</v>
      </c>
      <c r="C143" s="2">
        <v>189452263</v>
      </c>
      <c r="D143">
        <f t="shared" si="2"/>
        <v>19.05964764046179</v>
      </c>
    </row>
    <row r="144" spans="1:4" x14ac:dyDescent="0.25">
      <c r="A144" t="s">
        <v>31</v>
      </c>
      <c r="B144" s="1" t="s">
        <v>6</v>
      </c>
      <c r="C144" s="2">
        <v>186831938</v>
      </c>
      <c r="D144">
        <f t="shared" si="2"/>
        <v>19.045720043448643</v>
      </c>
    </row>
    <row r="145" spans="1:4" x14ac:dyDescent="0.25">
      <c r="A145" t="s">
        <v>31</v>
      </c>
      <c r="B145" s="1" t="s">
        <v>7</v>
      </c>
      <c r="C145" s="2">
        <v>188898490</v>
      </c>
      <c r="D145">
        <f t="shared" si="2"/>
        <v>19.056720338792356</v>
      </c>
    </row>
    <row r="146" spans="1:4" x14ac:dyDescent="0.25">
      <c r="A146" t="s">
        <v>31</v>
      </c>
      <c r="B146" s="1" t="s">
        <v>8</v>
      </c>
      <c r="C146" s="2">
        <v>192838094</v>
      </c>
      <c r="D146">
        <f t="shared" si="2"/>
        <v>19.077361503611325</v>
      </c>
    </row>
    <row r="147" spans="1:4" x14ac:dyDescent="0.25">
      <c r="A147" t="s">
        <v>31</v>
      </c>
      <c r="B147" s="1" t="s">
        <v>9</v>
      </c>
      <c r="C147" s="2">
        <v>193984292</v>
      </c>
      <c r="D147">
        <f t="shared" si="2"/>
        <v>19.083287744677264</v>
      </c>
    </row>
    <row r="148" spans="1:4" x14ac:dyDescent="0.25">
      <c r="A148" t="s">
        <v>31</v>
      </c>
      <c r="B148" s="1" t="s">
        <v>10</v>
      </c>
      <c r="C148" s="2">
        <v>192939358</v>
      </c>
      <c r="D148">
        <f t="shared" si="2"/>
        <v>19.077886490241831</v>
      </c>
    </row>
    <row r="149" spans="1:4" x14ac:dyDescent="0.25">
      <c r="A149" t="s">
        <v>31</v>
      </c>
      <c r="B149" s="1" t="s">
        <v>11</v>
      </c>
      <c r="C149" s="2">
        <v>190252348</v>
      </c>
      <c r="D149">
        <f t="shared" si="2"/>
        <v>19.063861896285626</v>
      </c>
    </row>
    <row r="150" spans="1:4" x14ac:dyDescent="0.25">
      <c r="A150" t="s">
        <v>31</v>
      </c>
      <c r="B150" s="1" t="s">
        <v>12</v>
      </c>
      <c r="C150" s="7">
        <v>185132358</v>
      </c>
      <c r="D150">
        <f t="shared" si="2"/>
        <v>19.036581575879868</v>
      </c>
    </row>
    <row r="151" spans="1:4" x14ac:dyDescent="0.25">
      <c r="A151" t="s">
        <v>31</v>
      </c>
      <c r="B151" s="1" t="s">
        <v>13</v>
      </c>
      <c r="C151" s="9">
        <v>192810389</v>
      </c>
      <c r="D151">
        <f t="shared" si="2"/>
        <v>19.077217823543755</v>
      </c>
    </row>
    <row r="152" spans="1:4" x14ac:dyDescent="0.25">
      <c r="A152" t="s">
        <v>31</v>
      </c>
      <c r="B152" s="1" t="s">
        <v>14</v>
      </c>
      <c r="C152" s="9">
        <v>198216614</v>
      </c>
      <c r="D152">
        <f t="shared" si="2"/>
        <v>19.10487100076687</v>
      </c>
    </row>
    <row r="153" spans="1:4" x14ac:dyDescent="0.25">
      <c r="A153" t="s">
        <v>31</v>
      </c>
      <c r="B153" s="1" t="s">
        <v>15</v>
      </c>
      <c r="C153" s="9">
        <v>201319549</v>
      </c>
      <c r="D153">
        <f t="shared" si="2"/>
        <v>19.120403999655341</v>
      </c>
    </row>
    <row r="154" spans="1:4" x14ac:dyDescent="0.25">
      <c r="A154" t="s">
        <v>31</v>
      </c>
      <c r="B154" s="1" t="s">
        <v>16</v>
      </c>
      <c r="C154" s="9">
        <v>190948316</v>
      </c>
      <c r="D154">
        <f t="shared" si="2"/>
        <v>19.067513352534331</v>
      </c>
    </row>
    <row r="155" spans="1:4" x14ac:dyDescent="0.25">
      <c r="A155" t="s">
        <v>31</v>
      </c>
      <c r="B155" s="1" t="s">
        <v>17</v>
      </c>
      <c r="C155" s="9">
        <v>189958177</v>
      </c>
      <c r="D155">
        <f t="shared" si="2"/>
        <v>19.062314484841934</v>
      </c>
    </row>
    <row r="156" spans="1:4" x14ac:dyDescent="0.25">
      <c r="A156" t="s">
        <v>31</v>
      </c>
      <c r="B156" s="1" t="s">
        <v>18</v>
      </c>
      <c r="C156" s="9">
        <v>184798507</v>
      </c>
      <c r="D156">
        <f t="shared" si="2"/>
        <v>19.034776638134893</v>
      </c>
    </row>
    <row r="157" spans="1:4" x14ac:dyDescent="0.25">
      <c r="A157" t="s">
        <v>31</v>
      </c>
      <c r="B157" s="1" t="s">
        <v>19</v>
      </c>
      <c r="C157" s="9">
        <v>190667695</v>
      </c>
      <c r="D157">
        <f t="shared" si="2"/>
        <v>19.066042654018062</v>
      </c>
    </row>
    <row r="158" spans="1:4" x14ac:dyDescent="0.25">
      <c r="A158" t="s">
        <v>31</v>
      </c>
      <c r="B158" s="1" t="s">
        <v>20</v>
      </c>
      <c r="C158" s="10" t="s">
        <v>110</v>
      </c>
      <c r="D158">
        <f t="shared" si="2"/>
        <v>19.065771470112026</v>
      </c>
    </row>
    <row r="159" spans="1:4" x14ac:dyDescent="0.25">
      <c r="A159" t="s">
        <v>31</v>
      </c>
      <c r="B159" s="1" t="s">
        <v>21</v>
      </c>
      <c r="C159" s="10" t="s">
        <v>111</v>
      </c>
      <c r="D159">
        <f t="shared" si="2"/>
        <v>19.026841603572411</v>
      </c>
    </row>
    <row r="160" spans="1:4" x14ac:dyDescent="0.25">
      <c r="A160" t="s">
        <v>31</v>
      </c>
      <c r="B160" s="1" t="s">
        <v>22</v>
      </c>
      <c r="C160" s="10" t="s">
        <v>112</v>
      </c>
      <c r="D160">
        <f t="shared" si="2"/>
        <v>19.014436679478152</v>
      </c>
    </row>
    <row r="161" spans="1:4" x14ac:dyDescent="0.25">
      <c r="A161" t="s">
        <v>31</v>
      </c>
      <c r="B161" s="1" t="s">
        <v>23</v>
      </c>
      <c r="C161" s="8">
        <v>193649452</v>
      </c>
      <c r="D161">
        <f t="shared" si="2"/>
        <v>19.081560134073367</v>
      </c>
    </row>
    <row r="162" spans="1:4" x14ac:dyDescent="0.25">
      <c r="A162" t="s">
        <v>32</v>
      </c>
      <c r="B162" s="1" t="s">
        <v>4</v>
      </c>
      <c r="C162" s="9">
        <v>255689959</v>
      </c>
      <c r="D162">
        <f t="shared" si="2"/>
        <v>19.359476170816151</v>
      </c>
    </row>
    <row r="163" spans="1:4" x14ac:dyDescent="0.25">
      <c r="A163" t="s">
        <v>32</v>
      </c>
      <c r="B163" s="1" t="s">
        <v>5</v>
      </c>
      <c r="C163" s="9">
        <v>258587594</v>
      </c>
      <c r="D163">
        <f t="shared" si="2"/>
        <v>19.370745049446693</v>
      </c>
    </row>
    <row r="164" spans="1:4" x14ac:dyDescent="0.25">
      <c r="A164" t="s">
        <v>32</v>
      </c>
      <c r="B164" s="1" t="s">
        <v>6</v>
      </c>
      <c r="C164" s="9">
        <v>259070857</v>
      </c>
      <c r="D164">
        <f t="shared" si="2"/>
        <v>19.37261216139844</v>
      </c>
    </row>
    <row r="165" spans="1:4" x14ac:dyDescent="0.25">
      <c r="A165" t="s">
        <v>32</v>
      </c>
      <c r="B165" s="1" t="s">
        <v>7</v>
      </c>
      <c r="C165" s="9">
        <v>265273866</v>
      </c>
      <c r="D165">
        <f t="shared" si="2"/>
        <v>19.396273306905631</v>
      </c>
    </row>
    <row r="166" spans="1:4" x14ac:dyDescent="0.25">
      <c r="A166" t="s">
        <v>32</v>
      </c>
      <c r="B166" s="1" t="s">
        <v>8</v>
      </c>
      <c r="C166" s="9">
        <v>261262096</v>
      </c>
      <c r="D166">
        <f t="shared" si="2"/>
        <v>19.381034660649931</v>
      </c>
    </row>
    <row r="167" spans="1:4" x14ac:dyDescent="0.25">
      <c r="A167" t="s">
        <v>32</v>
      </c>
      <c r="B167" s="1" t="s">
        <v>9</v>
      </c>
      <c r="C167" s="9">
        <v>270190664</v>
      </c>
      <c r="D167">
        <f t="shared" si="2"/>
        <v>19.414638430709864</v>
      </c>
    </row>
    <row r="168" spans="1:4" x14ac:dyDescent="0.25">
      <c r="A168" t="s">
        <v>32</v>
      </c>
      <c r="B168" s="1" t="s">
        <v>10</v>
      </c>
      <c r="C168" s="9">
        <v>260881792</v>
      </c>
      <c r="D168">
        <f t="shared" si="2"/>
        <v>19.379577958480319</v>
      </c>
    </row>
    <row r="169" spans="1:4" x14ac:dyDescent="0.25">
      <c r="A169" t="s">
        <v>32</v>
      </c>
      <c r="B169" s="1" t="s">
        <v>11</v>
      </c>
      <c r="C169" s="9">
        <v>272442016</v>
      </c>
      <c r="D169">
        <f t="shared" si="2"/>
        <v>19.422936364104462</v>
      </c>
    </row>
    <row r="170" spans="1:4" x14ac:dyDescent="0.25">
      <c r="A170" t="s">
        <v>32</v>
      </c>
      <c r="B170" s="1" t="s">
        <v>12</v>
      </c>
      <c r="C170" s="9">
        <v>271885773</v>
      </c>
      <c r="D170">
        <f t="shared" si="2"/>
        <v>19.420892583849767</v>
      </c>
    </row>
    <row r="171" spans="1:4" x14ac:dyDescent="0.25">
      <c r="A171" t="s">
        <v>32</v>
      </c>
      <c r="B171" s="1" t="s">
        <v>13</v>
      </c>
      <c r="C171" s="9">
        <v>272039821</v>
      </c>
      <c r="D171">
        <f t="shared" si="2"/>
        <v>19.421459014280025</v>
      </c>
    </row>
    <row r="172" spans="1:4" x14ac:dyDescent="0.25">
      <c r="A172" t="s">
        <v>32</v>
      </c>
      <c r="B172" s="1" t="s">
        <v>14</v>
      </c>
      <c r="C172" s="9">
        <v>279200462</v>
      </c>
      <c r="D172">
        <f t="shared" si="2"/>
        <v>19.447440583578917</v>
      </c>
    </row>
    <row r="173" spans="1:4" x14ac:dyDescent="0.25">
      <c r="A173" t="s">
        <v>32</v>
      </c>
      <c r="B173" s="1" t="s">
        <v>15</v>
      </c>
      <c r="C173" s="9">
        <v>278674061</v>
      </c>
      <c r="D173">
        <f t="shared" si="2"/>
        <v>19.445553416717821</v>
      </c>
    </row>
    <row r="174" spans="1:4" x14ac:dyDescent="0.25">
      <c r="A174" t="s">
        <v>32</v>
      </c>
      <c r="B174" s="1" t="s">
        <v>16</v>
      </c>
      <c r="C174" s="9">
        <v>270049711</v>
      </c>
      <c r="D174">
        <f t="shared" si="2"/>
        <v>19.414116614830412</v>
      </c>
    </row>
    <row r="175" spans="1:4" x14ac:dyDescent="0.25">
      <c r="A175" t="s">
        <v>32</v>
      </c>
      <c r="B175" s="1" t="s">
        <v>17</v>
      </c>
      <c r="C175" s="9">
        <v>286367574</v>
      </c>
      <c r="D175">
        <f t="shared" si="2"/>
        <v>19.472786767367236</v>
      </c>
    </row>
    <row r="176" spans="1:4" x14ac:dyDescent="0.25">
      <c r="A176" t="s">
        <v>32</v>
      </c>
      <c r="B176" s="1" t="s">
        <v>18</v>
      </c>
      <c r="C176" s="9">
        <v>292786766</v>
      </c>
      <c r="D176">
        <f t="shared" si="2"/>
        <v>19.494955140942533</v>
      </c>
    </row>
    <row r="177" spans="1:4" x14ac:dyDescent="0.25">
      <c r="A177" t="s">
        <v>32</v>
      </c>
      <c r="B177" s="1" t="s">
        <v>19</v>
      </c>
      <c r="C177" s="9">
        <v>307243611</v>
      </c>
      <c r="D177">
        <f t="shared" si="2"/>
        <v>19.543151512052638</v>
      </c>
    </row>
    <row r="178" spans="1:4" x14ac:dyDescent="0.25">
      <c r="A178" t="s">
        <v>32</v>
      </c>
      <c r="B178" s="1" t="s">
        <v>20</v>
      </c>
      <c r="C178" s="10" t="s">
        <v>113</v>
      </c>
      <c r="D178">
        <f t="shared" si="2"/>
        <v>19.528775749208638</v>
      </c>
    </row>
    <row r="179" spans="1:4" x14ac:dyDescent="0.25">
      <c r="A179" t="s">
        <v>32</v>
      </c>
      <c r="B179" s="1" t="s">
        <v>21</v>
      </c>
      <c r="C179" s="10" t="s">
        <v>114</v>
      </c>
      <c r="D179">
        <f t="shared" si="2"/>
        <v>19.539226834319454</v>
      </c>
    </row>
    <row r="180" spans="1:4" x14ac:dyDescent="0.25">
      <c r="A180" t="s">
        <v>32</v>
      </c>
      <c r="B180" s="1" t="s">
        <v>22</v>
      </c>
      <c r="C180" s="10" t="s">
        <v>115</v>
      </c>
      <c r="D180">
        <f t="shared" si="2"/>
        <v>19.525356863712425</v>
      </c>
    </row>
    <row r="181" spans="1:4" x14ac:dyDescent="0.25">
      <c r="A181" t="s">
        <v>32</v>
      </c>
      <c r="B181" s="1" t="s">
        <v>23</v>
      </c>
      <c r="C181" s="7">
        <v>301515827</v>
      </c>
      <c r="D181">
        <f t="shared" si="2"/>
        <v>19.524333066949431</v>
      </c>
    </row>
    <row r="182" spans="1:4" x14ac:dyDescent="0.25">
      <c r="A182" t="s">
        <v>33</v>
      </c>
      <c r="B182" s="1" t="s">
        <v>4</v>
      </c>
      <c r="C182" s="10" t="s">
        <v>120</v>
      </c>
      <c r="D182">
        <f t="shared" si="2"/>
        <v>18.523386292301495</v>
      </c>
    </row>
    <row r="183" spans="1:4" x14ac:dyDescent="0.25">
      <c r="A183" t="s">
        <v>33</v>
      </c>
      <c r="B183" s="1" t="s">
        <v>5</v>
      </c>
      <c r="C183" s="10" t="s">
        <v>121</v>
      </c>
      <c r="D183">
        <f t="shared" si="2"/>
        <v>18.495011077810464</v>
      </c>
    </row>
    <row r="184" spans="1:4" x14ac:dyDescent="0.25">
      <c r="A184" t="s">
        <v>33</v>
      </c>
      <c r="B184" s="1" t="s">
        <v>6</v>
      </c>
      <c r="C184" s="10" t="s">
        <v>122</v>
      </c>
      <c r="D184">
        <f t="shared" si="2"/>
        <v>18.503462460191766</v>
      </c>
    </row>
    <row r="185" spans="1:4" x14ac:dyDescent="0.25">
      <c r="A185" t="s">
        <v>33</v>
      </c>
      <c r="B185" s="1" t="s">
        <v>7</v>
      </c>
      <c r="C185" s="10" t="s">
        <v>123</v>
      </c>
      <c r="D185">
        <f t="shared" si="2"/>
        <v>18.556872721579602</v>
      </c>
    </row>
    <row r="186" spans="1:4" x14ac:dyDescent="0.25">
      <c r="A186" t="s">
        <v>33</v>
      </c>
      <c r="B186" s="1" t="s">
        <v>8</v>
      </c>
      <c r="C186" s="10" t="s">
        <v>124</v>
      </c>
      <c r="D186">
        <f t="shared" si="2"/>
        <v>18.536245578997619</v>
      </c>
    </row>
    <row r="187" spans="1:4" x14ac:dyDescent="0.25">
      <c r="A187" t="s">
        <v>33</v>
      </c>
      <c r="B187" s="1" t="s">
        <v>9</v>
      </c>
      <c r="C187" s="10" t="s">
        <v>125</v>
      </c>
      <c r="D187">
        <f t="shared" si="2"/>
        <v>18.558994446830429</v>
      </c>
    </row>
    <row r="188" spans="1:4" x14ac:dyDescent="0.25">
      <c r="A188" t="s">
        <v>33</v>
      </c>
      <c r="B188" s="1" t="s">
        <v>10</v>
      </c>
      <c r="C188" s="10" t="s">
        <v>126</v>
      </c>
      <c r="D188">
        <f t="shared" si="2"/>
        <v>18.580640205805501</v>
      </c>
    </row>
    <row r="189" spans="1:4" x14ac:dyDescent="0.25">
      <c r="A189" t="s">
        <v>33</v>
      </c>
      <c r="B189" s="1" t="s">
        <v>11</v>
      </c>
      <c r="C189" s="10" t="s">
        <v>127</v>
      </c>
      <c r="D189">
        <f t="shared" si="2"/>
        <v>18.577653526470613</v>
      </c>
    </row>
    <row r="190" spans="1:4" x14ac:dyDescent="0.25">
      <c r="A190" t="s">
        <v>33</v>
      </c>
      <c r="B190" s="1" t="s">
        <v>12</v>
      </c>
      <c r="C190" s="10" t="s">
        <v>128</v>
      </c>
      <c r="D190">
        <f t="shared" si="2"/>
        <v>18.575962095757653</v>
      </c>
    </row>
    <row r="191" spans="1:4" x14ac:dyDescent="0.25">
      <c r="A191" t="s">
        <v>33</v>
      </c>
      <c r="B191" s="1" t="s">
        <v>13</v>
      </c>
      <c r="C191" s="10" t="s">
        <v>129</v>
      </c>
      <c r="D191">
        <f t="shared" si="2"/>
        <v>18.595915800712238</v>
      </c>
    </row>
    <row r="192" spans="1:4" x14ac:dyDescent="0.25">
      <c r="A192" t="s">
        <v>33</v>
      </c>
      <c r="B192" s="1" t="s">
        <v>14</v>
      </c>
      <c r="C192" s="10" t="s">
        <v>130</v>
      </c>
      <c r="D192">
        <f t="shared" si="2"/>
        <v>18.762945010053382</v>
      </c>
    </row>
    <row r="193" spans="1:4" x14ac:dyDescent="0.25">
      <c r="A193" t="s">
        <v>33</v>
      </c>
      <c r="B193" s="1" t="s">
        <v>15</v>
      </c>
      <c r="C193" s="10" t="s">
        <v>131</v>
      </c>
      <c r="D193">
        <f t="shared" si="2"/>
        <v>18.710060886366954</v>
      </c>
    </row>
    <row r="194" spans="1:4" x14ac:dyDescent="0.25">
      <c r="A194" t="s">
        <v>33</v>
      </c>
      <c r="B194" s="1" t="s">
        <v>16</v>
      </c>
      <c r="C194" s="10" t="s">
        <v>132</v>
      </c>
      <c r="D194">
        <f t="shared" si="2"/>
        <v>18.734121662804196</v>
      </c>
    </row>
    <row r="195" spans="1:4" x14ac:dyDescent="0.25">
      <c r="A195" t="s">
        <v>33</v>
      </c>
      <c r="B195" s="1" t="s">
        <v>17</v>
      </c>
      <c r="C195" s="10" t="s">
        <v>133</v>
      </c>
      <c r="D195">
        <f t="shared" ref="D195:D258" si="3">LN(C195)</f>
        <v>18.778402292009886</v>
      </c>
    </row>
    <row r="196" spans="1:4" x14ac:dyDescent="0.25">
      <c r="A196" t="s">
        <v>33</v>
      </c>
      <c r="B196" s="1" t="s">
        <v>18</v>
      </c>
      <c r="C196" s="10" t="s">
        <v>134</v>
      </c>
      <c r="D196">
        <f t="shared" si="3"/>
        <v>18.835782054372572</v>
      </c>
    </row>
    <row r="197" spans="1:4" x14ac:dyDescent="0.25">
      <c r="A197" t="s">
        <v>33</v>
      </c>
      <c r="B197" s="1" t="s">
        <v>19</v>
      </c>
      <c r="C197" s="10" t="s">
        <v>135</v>
      </c>
      <c r="D197">
        <f t="shared" si="3"/>
        <v>18.822274862772993</v>
      </c>
    </row>
    <row r="198" spans="1:4" x14ac:dyDescent="0.25">
      <c r="A198" t="s">
        <v>33</v>
      </c>
      <c r="B198" s="1" t="s">
        <v>20</v>
      </c>
      <c r="C198" s="10" t="s">
        <v>136</v>
      </c>
      <c r="D198">
        <f t="shared" si="3"/>
        <v>18.882898309066707</v>
      </c>
    </row>
    <row r="199" spans="1:4" x14ac:dyDescent="0.25">
      <c r="A199" t="s">
        <v>33</v>
      </c>
      <c r="B199" s="1" t="s">
        <v>21</v>
      </c>
      <c r="C199" s="10" t="s">
        <v>137</v>
      </c>
      <c r="D199">
        <f t="shared" si="3"/>
        <v>18.909184596361552</v>
      </c>
    </row>
    <row r="200" spans="1:4" x14ac:dyDescent="0.25">
      <c r="A200" t="s">
        <v>33</v>
      </c>
      <c r="B200" s="1" t="s">
        <v>22</v>
      </c>
      <c r="C200" s="10" t="s">
        <v>138</v>
      </c>
      <c r="D200">
        <f t="shared" si="3"/>
        <v>18.894448978172267</v>
      </c>
    </row>
    <row r="201" spans="1:4" x14ac:dyDescent="0.25">
      <c r="A201" t="s">
        <v>33</v>
      </c>
      <c r="B201" s="1" t="s">
        <v>23</v>
      </c>
      <c r="C201" s="8">
        <v>170338680</v>
      </c>
      <c r="D201">
        <f t="shared" si="3"/>
        <v>18.953299248439716</v>
      </c>
    </row>
    <row r="202" spans="1:4" x14ac:dyDescent="0.25">
      <c r="A202" t="s">
        <v>34</v>
      </c>
      <c r="B202" s="1" t="s">
        <v>4</v>
      </c>
      <c r="C202" s="2">
        <v>161554444</v>
      </c>
      <c r="D202">
        <f t="shared" si="3"/>
        <v>18.900352758367728</v>
      </c>
    </row>
    <row r="203" spans="1:4" x14ac:dyDescent="0.25">
      <c r="A203" t="s">
        <v>34</v>
      </c>
      <c r="B203" s="1" t="s">
        <v>5</v>
      </c>
      <c r="C203" s="2">
        <v>170301607</v>
      </c>
      <c r="D203">
        <f t="shared" si="3"/>
        <v>18.953081581877296</v>
      </c>
    </row>
    <row r="204" spans="1:4" x14ac:dyDescent="0.25">
      <c r="A204" t="s">
        <v>34</v>
      </c>
      <c r="B204" s="1" t="s">
        <v>6</v>
      </c>
      <c r="C204" s="2">
        <v>163994740</v>
      </c>
      <c r="D204">
        <f t="shared" si="3"/>
        <v>18.915344912103386</v>
      </c>
    </row>
    <row r="205" spans="1:4" x14ac:dyDescent="0.25">
      <c r="A205" t="s">
        <v>34</v>
      </c>
      <c r="B205" s="1" t="s">
        <v>7</v>
      </c>
      <c r="C205" s="2">
        <v>173582894</v>
      </c>
      <c r="D205">
        <f t="shared" si="3"/>
        <v>18.97216581846909</v>
      </c>
    </row>
    <row r="206" spans="1:4" x14ac:dyDescent="0.25">
      <c r="A206" t="s">
        <v>34</v>
      </c>
      <c r="B206" s="1" t="s">
        <v>8</v>
      </c>
      <c r="C206" s="2">
        <v>177528984</v>
      </c>
      <c r="D206">
        <f t="shared" si="3"/>
        <v>18.994644443690206</v>
      </c>
    </row>
    <row r="207" spans="1:4" x14ac:dyDescent="0.25">
      <c r="A207" t="s">
        <v>34</v>
      </c>
      <c r="B207" s="1" t="s">
        <v>9</v>
      </c>
      <c r="C207" s="2">
        <v>178044586</v>
      </c>
      <c r="D207">
        <f t="shared" si="3"/>
        <v>18.997544560036761</v>
      </c>
    </row>
    <row r="208" spans="1:4" x14ac:dyDescent="0.25">
      <c r="A208" t="s">
        <v>34</v>
      </c>
      <c r="B208" s="1" t="s">
        <v>10</v>
      </c>
      <c r="C208" s="2">
        <v>175449266</v>
      </c>
      <c r="D208">
        <f t="shared" si="3"/>
        <v>18.982860476456676</v>
      </c>
    </row>
    <row r="209" spans="1:4" x14ac:dyDescent="0.25">
      <c r="A209" t="s">
        <v>34</v>
      </c>
      <c r="B209" s="1" t="s">
        <v>11</v>
      </c>
      <c r="C209" s="2">
        <v>180809253</v>
      </c>
      <c r="D209">
        <f t="shared" si="3"/>
        <v>19.012953182710142</v>
      </c>
    </row>
    <row r="210" spans="1:4" x14ac:dyDescent="0.25">
      <c r="A210" t="s">
        <v>34</v>
      </c>
      <c r="B210" s="1" t="s">
        <v>12</v>
      </c>
      <c r="C210" s="2">
        <v>191542602</v>
      </c>
      <c r="D210">
        <f t="shared" si="3"/>
        <v>19.070620806595318</v>
      </c>
    </row>
    <row r="211" spans="1:4" x14ac:dyDescent="0.25">
      <c r="A211" t="s">
        <v>34</v>
      </c>
      <c r="B211" s="1" t="s">
        <v>13</v>
      </c>
      <c r="C211" s="2">
        <v>182216046</v>
      </c>
      <c r="D211">
        <f t="shared" si="3"/>
        <v>19.020703606969448</v>
      </c>
    </row>
    <row r="212" spans="1:4" x14ac:dyDescent="0.25">
      <c r="A212" t="s">
        <v>34</v>
      </c>
      <c r="B212" s="1" t="s">
        <v>14</v>
      </c>
      <c r="C212" s="2">
        <v>197971797</v>
      </c>
      <c r="D212">
        <f t="shared" si="3"/>
        <v>19.103635139119415</v>
      </c>
    </row>
    <row r="213" spans="1:4" x14ac:dyDescent="0.25">
      <c r="A213" t="s">
        <v>34</v>
      </c>
      <c r="B213" s="1" t="s">
        <v>15</v>
      </c>
      <c r="C213" s="2">
        <v>206340908</v>
      </c>
      <c r="D213">
        <f t="shared" si="3"/>
        <v>19.145040252130844</v>
      </c>
    </row>
    <row r="214" spans="1:4" x14ac:dyDescent="0.25">
      <c r="A214" t="s">
        <v>34</v>
      </c>
      <c r="B214" s="1" t="s">
        <v>16</v>
      </c>
      <c r="C214" s="2">
        <v>207783766</v>
      </c>
      <c r="D214">
        <f t="shared" si="3"/>
        <v>19.152008510382245</v>
      </c>
    </row>
    <row r="215" spans="1:4" x14ac:dyDescent="0.25">
      <c r="A215" t="s">
        <v>34</v>
      </c>
      <c r="B215" s="1" t="s">
        <v>17</v>
      </c>
      <c r="C215" s="2">
        <v>201135481</v>
      </c>
      <c r="D215">
        <f t="shared" si="3"/>
        <v>19.119489273789771</v>
      </c>
    </row>
    <row r="216" spans="1:4" x14ac:dyDescent="0.25">
      <c r="A216" t="s">
        <v>34</v>
      </c>
      <c r="B216" s="1" t="s">
        <v>18</v>
      </c>
      <c r="C216" s="2">
        <v>211346011</v>
      </c>
      <c r="D216">
        <f t="shared" si="3"/>
        <v>19.169007210893117</v>
      </c>
    </row>
    <row r="217" spans="1:4" x14ac:dyDescent="0.25">
      <c r="A217" t="s">
        <v>34</v>
      </c>
      <c r="B217" s="1" t="s">
        <v>19</v>
      </c>
      <c r="C217" s="2">
        <v>214436988</v>
      </c>
      <c r="D217">
        <f t="shared" si="3"/>
        <v>19.183526490938004</v>
      </c>
    </row>
    <row r="218" spans="1:4" x14ac:dyDescent="0.25">
      <c r="A218" t="s">
        <v>34</v>
      </c>
      <c r="B218" s="1" t="s">
        <v>20</v>
      </c>
      <c r="C218" s="10" t="s">
        <v>139</v>
      </c>
      <c r="D218">
        <f t="shared" si="3"/>
        <v>19.234891240827167</v>
      </c>
    </row>
    <row r="219" spans="1:4" x14ac:dyDescent="0.25">
      <c r="A219" t="s">
        <v>34</v>
      </c>
      <c r="B219" s="1" t="s">
        <v>21</v>
      </c>
      <c r="C219" s="10" t="s">
        <v>140</v>
      </c>
      <c r="D219">
        <f t="shared" si="3"/>
        <v>19.22473007888723</v>
      </c>
    </row>
    <row r="220" spans="1:4" x14ac:dyDescent="0.25">
      <c r="A220" t="s">
        <v>34</v>
      </c>
      <c r="B220" s="1" t="s">
        <v>22</v>
      </c>
      <c r="C220" s="10" t="s">
        <v>141</v>
      </c>
      <c r="D220">
        <f t="shared" si="3"/>
        <v>19.21115799931815</v>
      </c>
    </row>
    <row r="221" spans="1:4" x14ac:dyDescent="0.25">
      <c r="A221" t="s">
        <v>34</v>
      </c>
      <c r="B221" s="1" t="s">
        <v>23</v>
      </c>
      <c r="C221" s="11" t="s">
        <v>142</v>
      </c>
      <c r="D221">
        <f t="shared" si="3"/>
        <v>19.290063407003966</v>
      </c>
    </row>
    <row r="222" spans="1:4" x14ac:dyDescent="0.25">
      <c r="A222" t="s">
        <v>35</v>
      </c>
      <c r="B222" s="1" t="s">
        <v>4</v>
      </c>
      <c r="C222" s="9">
        <v>7155757</v>
      </c>
      <c r="D222">
        <f t="shared" si="3"/>
        <v>15.783427765516011</v>
      </c>
    </row>
    <row r="223" spans="1:4" x14ac:dyDescent="0.25">
      <c r="A223" t="s">
        <v>35</v>
      </c>
      <c r="B223" s="1" t="s">
        <v>5</v>
      </c>
      <c r="C223" s="9">
        <v>7396242</v>
      </c>
      <c r="D223">
        <f t="shared" si="3"/>
        <v>15.816482591343252</v>
      </c>
    </row>
    <row r="224" spans="1:4" x14ac:dyDescent="0.25">
      <c r="A224" t="s">
        <v>35</v>
      </c>
      <c r="B224" s="1" t="s">
        <v>6</v>
      </c>
      <c r="C224" s="9">
        <v>7121266</v>
      </c>
      <c r="D224">
        <f t="shared" si="3"/>
        <v>15.778596076570778</v>
      </c>
    </row>
    <row r="225" spans="1:4" x14ac:dyDescent="0.25">
      <c r="A225" t="s">
        <v>35</v>
      </c>
      <c r="B225" s="1" t="s">
        <v>7</v>
      </c>
      <c r="C225" s="9">
        <v>7297274</v>
      </c>
      <c r="D225">
        <f t="shared" si="3"/>
        <v>15.803011411720735</v>
      </c>
    </row>
    <row r="226" spans="1:4" x14ac:dyDescent="0.25">
      <c r="A226" t="s">
        <v>35</v>
      </c>
      <c r="B226" s="1" t="s">
        <v>8</v>
      </c>
      <c r="C226" s="9">
        <v>7698672</v>
      </c>
      <c r="D226">
        <f t="shared" si="3"/>
        <v>15.856558404417209</v>
      </c>
    </row>
    <row r="227" spans="1:4" x14ac:dyDescent="0.25">
      <c r="A227" t="s">
        <v>35</v>
      </c>
      <c r="B227" s="1" t="s">
        <v>9</v>
      </c>
      <c r="C227" s="9">
        <v>7379818</v>
      </c>
      <c r="D227">
        <f t="shared" si="3"/>
        <v>15.814259535025949</v>
      </c>
    </row>
    <row r="228" spans="1:4" x14ac:dyDescent="0.25">
      <c r="A228" t="s">
        <v>35</v>
      </c>
      <c r="B228" s="1" t="s">
        <v>10</v>
      </c>
      <c r="C228" s="9">
        <v>7148922</v>
      </c>
      <c r="D228">
        <f t="shared" si="3"/>
        <v>15.782472134072599</v>
      </c>
    </row>
    <row r="229" spans="1:4" x14ac:dyDescent="0.25">
      <c r="A229" t="s">
        <v>35</v>
      </c>
      <c r="B229" s="1" t="s">
        <v>11</v>
      </c>
      <c r="C229" s="9">
        <v>7607654</v>
      </c>
      <c r="D229">
        <f t="shared" si="3"/>
        <v>15.844665403729444</v>
      </c>
    </row>
    <row r="230" spans="1:4" x14ac:dyDescent="0.25">
      <c r="A230" t="s">
        <v>35</v>
      </c>
      <c r="B230" s="1" t="s">
        <v>12</v>
      </c>
      <c r="C230" s="9">
        <v>7917744</v>
      </c>
      <c r="D230">
        <f t="shared" si="3"/>
        <v>15.884616874728724</v>
      </c>
    </row>
    <row r="231" spans="1:4" x14ac:dyDescent="0.25">
      <c r="A231" t="s">
        <v>35</v>
      </c>
      <c r="B231" s="1" t="s">
        <v>13</v>
      </c>
      <c r="C231" s="9">
        <v>7686327</v>
      </c>
      <c r="D231">
        <f t="shared" si="3"/>
        <v>15.854953594088725</v>
      </c>
    </row>
    <row r="232" spans="1:4" x14ac:dyDescent="0.25">
      <c r="A232" t="s">
        <v>35</v>
      </c>
      <c r="B232" s="1" t="s">
        <v>14</v>
      </c>
      <c r="C232" s="9">
        <v>8043256</v>
      </c>
      <c r="D232">
        <f t="shared" si="3"/>
        <v>15.900344534299235</v>
      </c>
    </row>
    <row r="233" spans="1:4" x14ac:dyDescent="0.25">
      <c r="A233" t="s">
        <v>35</v>
      </c>
      <c r="B233" s="1" t="s">
        <v>15</v>
      </c>
      <c r="C233" s="9">
        <v>7637523</v>
      </c>
      <c r="D233">
        <f t="shared" si="3"/>
        <v>15.848583893914082</v>
      </c>
    </row>
    <row r="234" spans="1:4" x14ac:dyDescent="0.25">
      <c r="A234" t="s">
        <v>35</v>
      </c>
      <c r="B234" s="1" t="s">
        <v>16</v>
      </c>
      <c r="C234" s="9">
        <v>7601659</v>
      </c>
      <c r="D234">
        <f t="shared" si="3"/>
        <v>15.843877070908563</v>
      </c>
    </row>
    <row r="235" spans="1:4" x14ac:dyDescent="0.25">
      <c r="A235" t="s">
        <v>35</v>
      </c>
      <c r="B235" s="1" t="s">
        <v>17</v>
      </c>
      <c r="C235" s="7">
        <v>7545988</v>
      </c>
      <c r="D235">
        <f t="shared" si="3"/>
        <v>15.836526589258639</v>
      </c>
    </row>
    <row r="236" spans="1:4" x14ac:dyDescent="0.25">
      <c r="A236" t="s">
        <v>35</v>
      </c>
      <c r="B236" s="1" t="s">
        <v>18</v>
      </c>
      <c r="C236" s="9">
        <v>7251694</v>
      </c>
      <c r="D236">
        <f t="shared" si="3"/>
        <v>15.796745654710152</v>
      </c>
    </row>
    <row r="237" spans="1:4" x14ac:dyDescent="0.25">
      <c r="A237" t="s">
        <v>35</v>
      </c>
      <c r="B237" s="1" t="s">
        <v>19</v>
      </c>
      <c r="C237" s="9">
        <v>8666526</v>
      </c>
      <c r="D237">
        <f t="shared" si="3"/>
        <v>15.974978576416696</v>
      </c>
    </row>
    <row r="238" spans="1:4" x14ac:dyDescent="0.25">
      <c r="A238" t="s">
        <v>35</v>
      </c>
      <c r="B238" s="1" t="s">
        <v>20</v>
      </c>
      <c r="C238" s="10" t="s">
        <v>146</v>
      </c>
      <c r="D238">
        <f t="shared" si="3"/>
        <v>15.963779807492299</v>
      </c>
    </row>
    <row r="239" spans="1:4" x14ac:dyDescent="0.25">
      <c r="A239" t="s">
        <v>35</v>
      </c>
      <c r="B239" s="1" t="s">
        <v>21</v>
      </c>
      <c r="C239" s="9">
        <v>8791457</v>
      </c>
      <c r="D239">
        <f t="shared" si="3"/>
        <v>15.989291012466786</v>
      </c>
    </row>
    <row r="240" spans="1:4" x14ac:dyDescent="0.25">
      <c r="A240" t="s">
        <v>35</v>
      </c>
      <c r="B240" s="1" t="s">
        <v>22</v>
      </c>
      <c r="C240" s="10" t="s">
        <v>147</v>
      </c>
      <c r="D240">
        <f t="shared" si="3"/>
        <v>15.924877582223017</v>
      </c>
    </row>
    <row r="241" spans="1:4" x14ac:dyDescent="0.25">
      <c r="A241" t="s">
        <v>35</v>
      </c>
      <c r="B241" s="1" t="s">
        <v>23</v>
      </c>
      <c r="C241" s="8">
        <v>8211292</v>
      </c>
      <c r="D241">
        <f t="shared" si="3"/>
        <v>15.921020838109518</v>
      </c>
    </row>
    <row r="242" spans="1:4" x14ac:dyDescent="0.25">
      <c r="A242" t="s">
        <v>36</v>
      </c>
      <c r="B242" s="1" t="s">
        <v>4</v>
      </c>
      <c r="C242" s="2">
        <v>55313192</v>
      </c>
      <c r="D242">
        <f t="shared" si="3"/>
        <v>17.828521991388627</v>
      </c>
    </row>
    <row r="243" spans="1:4" x14ac:dyDescent="0.25">
      <c r="A243" t="s">
        <v>36</v>
      </c>
      <c r="B243" s="1" t="s">
        <v>5</v>
      </c>
      <c r="C243" s="2">
        <v>59537033</v>
      </c>
      <c r="D243">
        <f t="shared" si="3"/>
        <v>17.902109080264562</v>
      </c>
    </row>
    <row r="244" spans="1:4" x14ac:dyDescent="0.25">
      <c r="A244" t="s">
        <v>36</v>
      </c>
      <c r="B244" s="1" t="s">
        <v>6</v>
      </c>
      <c r="C244" s="2">
        <v>63427447</v>
      </c>
      <c r="D244">
        <f t="shared" si="3"/>
        <v>17.965407243706576</v>
      </c>
    </row>
    <row r="245" spans="1:4" x14ac:dyDescent="0.25">
      <c r="A245" t="s">
        <v>36</v>
      </c>
      <c r="B245" s="1" t="s">
        <v>7</v>
      </c>
      <c r="C245" s="2">
        <v>62689118</v>
      </c>
      <c r="D245">
        <f t="shared" si="3"/>
        <v>17.953698433921637</v>
      </c>
    </row>
    <row r="246" spans="1:4" x14ac:dyDescent="0.25">
      <c r="A246" t="s">
        <v>36</v>
      </c>
      <c r="B246" s="1" t="s">
        <v>8</v>
      </c>
      <c r="C246" s="2">
        <v>63091469</v>
      </c>
      <c r="D246">
        <f t="shared" si="3"/>
        <v>17.960096120273096</v>
      </c>
    </row>
    <row r="247" spans="1:4" x14ac:dyDescent="0.25">
      <c r="A247" t="s">
        <v>36</v>
      </c>
      <c r="B247" s="1" t="s">
        <v>9</v>
      </c>
      <c r="C247" s="2">
        <v>68951774</v>
      </c>
      <c r="D247">
        <f t="shared" si="3"/>
        <v>18.048917890661581</v>
      </c>
    </row>
    <row r="248" spans="1:4" x14ac:dyDescent="0.25">
      <c r="A248" t="s">
        <v>36</v>
      </c>
      <c r="B248" s="1" t="s">
        <v>10</v>
      </c>
      <c r="C248" s="2">
        <v>72128316</v>
      </c>
      <c r="D248">
        <f t="shared" si="3"/>
        <v>18.093957257472255</v>
      </c>
    </row>
    <row r="249" spans="1:4" x14ac:dyDescent="0.25">
      <c r="A249" t="s">
        <v>36</v>
      </c>
      <c r="B249" s="1" t="s">
        <v>11</v>
      </c>
      <c r="C249" s="2">
        <v>76715290</v>
      </c>
      <c r="D249">
        <f t="shared" si="3"/>
        <v>18.15561159457981</v>
      </c>
    </row>
    <row r="250" spans="1:4" x14ac:dyDescent="0.25">
      <c r="A250" t="s">
        <v>36</v>
      </c>
      <c r="B250" s="1" t="s">
        <v>12</v>
      </c>
      <c r="C250" s="2">
        <v>69720706</v>
      </c>
      <c r="D250">
        <f t="shared" si="3"/>
        <v>18.060007904783987</v>
      </c>
    </row>
    <row r="251" spans="1:4" x14ac:dyDescent="0.25">
      <c r="A251" t="s">
        <v>36</v>
      </c>
      <c r="B251" s="1" t="s">
        <v>13</v>
      </c>
      <c r="C251" s="2">
        <v>75240142</v>
      </c>
      <c r="D251">
        <f t="shared" si="3"/>
        <v>18.136195449689314</v>
      </c>
    </row>
    <row r="252" spans="1:4" x14ac:dyDescent="0.25">
      <c r="A252" t="s">
        <v>36</v>
      </c>
      <c r="B252" s="1" t="s">
        <v>14</v>
      </c>
      <c r="C252" s="2">
        <v>82080977</v>
      </c>
      <c r="D252">
        <f t="shared" si="3"/>
        <v>18.223216842337337</v>
      </c>
    </row>
    <row r="253" spans="1:4" x14ac:dyDescent="0.25">
      <c r="A253" t="s">
        <v>36</v>
      </c>
      <c r="B253" s="1" t="s">
        <v>15</v>
      </c>
      <c r="C253" s="2">
        <v>83619452</v>
      </c>
      <c r="D253">
        <f t="shared" si="3"/>
        <v>18.241786730415107</v>
      </c>
    </row>
    <row r="254" spans="1:4" x14ac:dyDescent="0.25">
      <c r="A254" t="s">
        <v>36</v>
      </c>
      <c r="B254" s="1" t="s">
        <v>16</v>
      </c>
      <c r="C254" s="2">
        <v>89647568</v>
      </c>
      <c r="D254">
        <f t="shared" si="3"/>
        <v>18.311396629928545</v>
      </c>
    </row>
    <row r="255" spans="1:4" x14ac:dyDescent="0.25">
      <c r="A255" t="s">
        <v>36</v>
      </c>
      <c r="B255" s="1" t="s">
        <v>17</v>
      </c>
      <c r="C255" s="2">
        <v>95478871</v>
      </c>
      <c r="D255">
        <f t="shared" si="3"/>
        <v>18.374415534899136</v>
      </c>
    </row>
    <row r="256" spans="1:4" x14ac:dyDescent="0.25">
      <c r="A256" t="s">
        <v>36</v>
      </c>
      <c r="B256" s="1" t="s">
        <v>18</v>
      </c>
      <c r="C256" s="2">
        <v>101002784</v>
      </c>
      <c r="D256">
        <f t="shared" si="3"/>
        <v>18.430658638782081</v>
      </c>
    </row>
    <row r="257" spans="1:4" x14ac:dyDescent="0.25">
      <c r="A257" t="s">
        <v>36</v>
      </c>
      <c r="B257" s="1" t="s">
        <v>19</v>
      </c>
      <c r="C257" s="2">
        <v>100723330</v>
      </c>
      <c r="D257">
        <f t="shared" si="3"/>
        <v>18.427888009107765</v>
      </c>
    </row>
    <row r="258" spans="1:4" x14ac:dyDescent="0.25">
      <c r="A258" t="s">
        <v>36</v>
      </c>
      <c r="B258" s="1" t="s">
        <v>20</v>
      </c>
      <c r="C258" s="10" t="s">
        <v>148</v>
      </c>
      <c r="D258">
        <f t="shared" si="3"/>
        <v>18.475680483976056</v>
      </c>
    </row>
    <row r="259" spans="1:4" x14ac:dyDescent="0.25">
      <c r="A259" t="s">
        <v>36</v>
      </c>
      <c r="B259" s="1" t="s">
        <v>21</v>
      </c>
      <c r="C259" s="10" t="s">
        <v>149</v>
      </c>
      <c r="D259">
        <f t="shared" ref="D259:D322" si="4">LN(C259)</f>
        <v>18.506170304399713</v>
      </c>
    </row>
    <row r="260" spans="1:4" x14ac:dyDescent="0.25">
      <c r="A260" t="s">
        <v>36</v>
      </c>
      <c r="B260" s="1" t="s">
        <v>22</v>
      </c>
      <c r="C260" s="10" t="s">
        <v>150</v>
      </c>
      <c r="D260">
        <f t="shared" si="4"/>
        <v>18.405335688504376</v>
      </c>
    </row>
    <row r="261" spans="1:4" x14ac:dyDescent="0.25">
      <c r="A261" t="s">
        <v>36</v>
      </c>
      <c r="B261" s="1" t="s">
        <v>23</v>
      </c>
      <c r="C261" s="8">
        <v>103031367</v>
      </c>
      <c r="D261">
        <f t="shared" si="4"/>
        <v>18.450544033813433</v>
      </c>
    </row>
    <row r="262" spans="1:4" x14ac:dyDescent="0.25">
      <c r="A262" t="s">
        <v>37</v>
      </c>
      <c r="B262" s="1" t="s">
        <v>4</v>
      </c>
      <c r="C262" s="2">
        <v>22434585</v>
      </c>
      <c r="D262">
        <f t="shared" si="4"/>
        <v>16.926114299338359</v>
      </c>
    </row>
    <row r="263" spans="1:4" x14ac:dyDescent="0.25">
      <c r="A263" t="s">
        <v>37</v>
      </c>
      <c r="B263" s="1" t="s">
        <v>5</v>
      </c>
      <c r="C263" s="2">
        <v>20573665</v>
      </c>
      <c r="D263">
        <f t="shared" si="4"/>
        <v>16.839522417853662</v>
      </c>
    </row>
    <row r="264" spans="1:4" x14ac:dyDescent="0.25">
      <c r="A264" t="s">
        <v>37</v>
      </c>
      <c r="B264" s="1" t="s">
        <v>6</v>
      </c>
      <c r="C264" s="2">
        <v>21095742</v>
      </c>
      <c r="D264">
        <f t="shared" si="4"/>
        <v>16.864581777133875</v>
      </c>
    </row>
    <row r="265" spans="1:4" x14ac:dyDescent="0.25">
      <c r="A265" t="s">
        <v>37</v>
      </c>
      <c r="B265" s="1" t="s">
        <v>7</v>
      </c>
      <c r="C265" s="2">
        <v>20486926</v>
      </c>
      <c r="D265">
        <f t="shared" si="4"/>
        <v>16.835297484558147</v>
      </c>
    </row>
    <row r="266" spans="1:4" x14ac:dyDescent="0.25">
      <c r="A266" t="s">
        <v>37</v>
      </c>
      <c r="B266" s="1" t="s">
        <v>8</v>
      </c>
      <c r="C266" s="2">
        <v>18785634</v>
      </c>
      <c r="D266">
        <f t="shared" si="4"/>
        <v>16.74860298675339</v>
      </c>
    </row>
    <row r="267" spans="1:4" x14ac:dyDescent="0.25">
      <c r="A267" t="s">
        <v>37</v>
      </c>
      <c r="B267" s="1" t="s">
        <v>9</v>
      </c>
      <c r="C267" s="2">
        <v>21218758</v>
      </c>
      <c r="D267">
        <f t="shared" si="4"/>
        <v>16.870396159748211</v>
      </c>
    </row>
    <row r="268" spans="1:4" x14ac:dyDescent="0.25">
      <c r="A268" t="s">
        <v>37</v>
      </c>
      <c r="B268" s="1" t="s">
        <v>10</v>
      </c>
      <c r="C268" s="2">
        <v>21621173</v>
      </c>
      <c r="D268">
        <f t="shared" si="4"/>
        <v>16.889183624022717</v>
      </c>
    </row>
    <row r="269" spans="1:4" x14ac:dyDescent="0.25">
      <c r="A269" t="s">
        <v>37</v>
      </c>
      <c r="B269" s="1" t="s">
        <v>11</v>
      </c>
      <c r="C269" s="2">
        <v>23021785</v>
      </c>
      <c r="D269">
        <f t="shared" si="4"/>
        <v>16.951951499520305</v>
      </c>
    </row>
    <row r="270" spans="1:4" x14ac:dyDescent="0.25">
      <c r="A270" t="s">
        <v>37</v>
      </c>
      <c r="B270" s="1" t="s">
        <v>12</v>
      </c>
      <c r="C270" s="2">
        <v>21324429</v>
      </c>
      <c r="D270">
        <f t="shared" si="4"/>
        <v>16.875363874899122</v>
      </c>
    </row>
    <row r="271" spans="1:4" x14ac:dyDescent="0.25">
      <c r="A271" t="s">
        <v>37</v>
      </c>
      <c r="B271" s="1" t="s">
        <v>13</v>
      </c>
      <c r="C271" s="2">
        <v>21394130</v>
      </c>
      <c r="D271">
        <f t="shared" si="4"/>
        <v>16.878627143299791</v>
      </c>
    </row>
    <row r="272" spans="1:4" x14ac:dyDescent="0.25">
      <c r="A272" t="s">
        <v>37</v>
      </c>
      <c r="B272" s="1" t="s">
        <v>14</v>
      </c>
      <c r="C272" s="2">
        <v>20971901</v>
      </c>
      <c r="D272">
        <f t="shared" si="4"/>
        <v>16.8586940520836</v>
      </c>
    </row>
    <row r="273" spans="1:4" x14ac:dyDescent="0.25">
      <c r="A273" t="s">
        <v>37</v>
      </c>
      <c r="B273" s="1" t="s">
        <v>15</v>
      </c>
      <c r="C273" s="9">
        <v>18297700</v>
      </c>
      <c r="D273">
        <f t="shared" si="4"/>
        <v>16.722285926852763</v>
      </c>
    </row>
    <row r="274" spans="1:4" x14ac:dyDescent="0.25">
      <c r="A274" t="s">
        <v>37</v>
      </c>
      <c r="B274" s="1" t="s">
        <v>16</v>
      </c>
      <c r="C274" s="9">
        <v>18438704</v>
      </c>
      <c r="D274">
        <f t="shared" si="4"/>
        <v>16.729962491627166</v>
      </c>
    </row>
    <row r="275" spans="1:4" x14ac:dyDescent="0.25">
      <c r="A275" t="s">
        <v>37</v>
      </c>
      <c r="B275" s="1" t="s">
        <v>17</v>
      </c>
      <c r="C275" s="9">
        <v>17025906</v>
      </c>
      <c r="D275">
        <f t="shared" si="4"/>
        <v>16.650246624442968</v>
      </c>
    </row>
    <row r="276" spans="1:4" x14ac:dyDescent="0.25">
      <c r="A276" t="s">
        <v>37</v>
      </c>
      <c r="B276" s="1" t="s">
        <v>18</v>
      </c>
      <c r="C276" s="9">
        <v>16851777</v>
      </c>
      <c r="D276">
        <f t="shared" si="4"/>
        <v>16.63996666914279</v>
      </c>
    </row>
    <row r="277" spans="1:4" x14ac:dyDescent="0.25">
      <c r="A277" t="s">
        <v>37</v>
      </c>
      <c r="B277" s="1" t="s">
        <v>19</v>
      </c>
      <c r="C277" s="9">
        <v>17701527</v>
      </c>
      <c r="D277">
        <f t="shared" si="4"/>
        <v>16.689161465009352</v>
      </c>
    </row>
    <row r="278" spans="1:4" x14ac:dyDescent="0.25">
      <c r="A278" t="s">
        <v>37</v>
      </c>
      <c r="B278" s="1" t="s">
        <v>20</v>
      </c>
      <c r="C278" s="10" t="s">
        <v>172</v>
      </c>
      <c r="D278">
        <f t="shared" si="4"/>
        <v>16.676906543623865</v>
      </c>
    </row>
    <row r="279" spans="1:4" x14ac:dyDescent="0.25">
      <c r="A279" t="s">
        <v>37</v>
      </c>
      <c r="B279" s="1" t="s">
        <v>21</v>
      </c>
      <c r="C279" s="10" t="s">
        <v>173</v>
      </c>
      <c r="D279">
        <f t="shared" si="4"/>
        <v>16.575179490493657</v>
      </c>
    </row>
    <row r="280" spans="1:4" x14ac:dyDescent="0.25">
      <c r="A280" t="s">
        <v>37</v>
      </c>
      <c r="B280" s="1" t="s">
        <v>22</v>
      </c>
      <c r="C280" s="10" t="s">
        <v>174</v>
      </c>
      <c r="D280">
        <f t="shared" si="4"/>
        <v>16.586087445320718</v>
      </c>
    </row>
    <row r="281" spans="1:4" x14ac:dyDescent="0.25">
      <c r="A281" t="s">
        <v>37</v>
      </c>
      <c r="B281" s="1" t="s">
        <v>23</v>
      </c>
      <c r="C281" s="7">
        <v>16717087</v>
      </c>
      <c r="D281">
        <f t="shared" si="4"/>
        <v>16.631941927954291</v>
      </c>
    </row>
    <row r="282" spans="1:4" x14ac:dyDescent="0.25">
      <c r="A282" t="s">
        <v>38</v>
      </c>
      <c r="B282" s="1" t="s">
        <v>4</v>
      </c>
      <c r="C282" s="9">
        <v>28185185</v>
      </c>
      <c r="D282">
        <f t="shared" si="4"/>
        <v>17.154307043251329</v>
      </c>
    </row>
    <row r="283" spans="1:4" x14ac:dyDescent="0.25">
      <c r="A283" t="s">
        <v>38</v>
      </c>
      <c r="B283" s="1" t="s">
        <v>5</v>
      </c>
      <c r="C283" s="9">
        <v>27961844</v>
      </c>
      <c r="D283">
        <f t="shared" si="4"/>
        <v>17.146351424514272</v>
      </c>
    </row>
    <row r="284" spans="1:4" x14ac:dyDescent="0.25">
      <c r="A284" t="s">
        <v>38</v>
      </c>
      <c r="B284" s="1" t="s">
        <v>6</v>
      </c>
      <c r="C284" s="9">
        <v>28879204</v>
      </c>
      <c r="D284">
        <f t="shared" si="4"/>
        <v>17.178632309282182</v>
      </c>
    </row>
    <row r="285" spans="1:4" x14ac:dyDescent="0.25">
      <c r="A285" t="s">
        <v>38</v>
      </c>
      <c r="B285" s="1" t="s">
        <v>7</v>
      </c>
      <c r="C285" s="9">
        <v>29631693</v>
      </c>
      <c r="D285">
        <f t="shared" si="4"/>
        <v>17.204355055953208</v>
      </c>
    </row>
    <row r="286" spans="1:4" x14ac:dyDescent="0.25">
      <c r="A286" t="s">
        <v>38</v>
      </c>
      <c r="B286" s="1" t="s">
        <v>8</v>
      </c>
      <c r="C286" s="9">
        <v>31682518</v>
      </c>
      <c r="D286">
        <f t="shared" si="4"/>
        <v>17.271275604075178</v>
      </c>
    </row>
    <row r="287" spans="1:4" x14ac:dyDescent="0.25">
      <c r="A287" t="s">
        <v>38</v>
      </c>
      <c r="B287" s="1" t="s">
        <v>9</v>
      </c>
      <c r="C287" s="9">
        <v>37114722</v>
      </c>
      <c r="D287">
        <f t="shared" si="4"/>
        <v>17.429524268272672</v>
      </c>
    </row>
    <row r="288" spans="1:4" x14ac:dyDescent="0.25">
      <c r="A288" t="s">
        <v>38</v>
      </c>
      <c r="B288" s="1" t="s">
        <v>10</v>
      </c>
      <c r="C288" s="9">
        <v>39065823</v>
      </c>
      <c r="D288">
        <f t="shared" si="4"/>
        <v>17.480758550642751</v>
      </c>
    </row>
    <row r="289" spans="1:4" x14ac:dyDescent="0.25">
      <c r="A289" t="s">
        <v>38</v>
      </c>
      <c r="B289" s="1" t="s">
        <v>11</v>
      </c>
      <c r="C289" s="9">
        <v>36936262</v>
      </c>
      <c r="D289">
        <f t="shared" si="4"/>
        <v>17.424704336494464</v>
      </c>
    </row>
    <row r="290" spans="1:4" x14ac:dyDescent="0.25">
      <c r="A290" t="s">
        <v>38</v>
      </c>
      <c r="B290" s="1" t="s">
        <v>12</v>
      </c>
      <c r="C290" s="9">
        <v>38260154</v>
      </c>
      <c r="D290">
        <f t="shared" si="4"/>
        <v>17.459919547059759</v>
      </c>
    </row>
    <row r="291" spans="1:4" x14ac:dyDescent="0.25">
      <c r="A291" t="s">
        <v>38</v>
      </c>
      <c r="B291" s="1" t="s">
        <v>13</v>
      </c>
      <c r="C291" s="9">
        <v>36118896</v>
      </c>
      <c r="D291">
        <f t="shared" si="4"/>
        <v>17.402326721261893</v>
      </c>
    </row>
    <row r="292" spans="1:4" x14ac:dyDescent="0.25">
      <c r="A292" t="s">
        <v>38</v>
      </c>
      <c r="B292" s="1" t="s">
        <v>14</v>
      </c>
      <c r="C292" s="9">
        <v>39411352</v>
      </c>
      <c r="D292">
        <f t="shared" si="4"/>
        <v>17.489564454596451</v>
      </c>
    </row>
    <row r="293" spans="1:4" x14ac:dyDescent="0.25">
      <c r="A293" t="s">
        <v>38</v>
      </c>
      <c r="B293" s="1" t="s">
        <v>15</v>
      </c>
      <c r="C293" s="9">
        <v>38053939</v>
      </c>
      <c r="D293">
        <f t="shared" si="4"/>
        <v>17.454515158595967</v>
      </c>
    </row>
    <row r="294" spans="1:4" x14ac:dyDescent="0.25">
      <c r="A294" t="s">
        <v>38</v>
      </c>
      <c r="B294" s="1" t="s">
        <v>16</v>
      </c>
      <c r="C294" s="9">
        <v>40053044</v>
      </c>
      <c r="D294">
        <f t="shared" si="4"/>
        <v>17.505715233584166</v>
      </c>
    </row>
    <row r="295" spans="1:4" x14ac:dyDescent="0.25">
      <c r="A295" t="s">
        <v>38</v>
      </c>
      <c r="B295" s="1" t="s">
        <v>17</v>
      </c>
      <c r="C295" s="9">
        <v>40666380</v>
      </c>
      <c r="D295">
        <f t="shared" si="4"/>
        <v>17.520912264824247</v>
      </c>
    </row>
    <row r="296" spans="1:4" x14ac:dyDescent="0.25">
      <c r="A296" t="s">
        <v>38</v>
      </c>
      <c r="B296" s="1" t="s">
        <v>18</v>
      </c>
      <c r="C296" s="9">
        <v>41266849</v>
      </c>
      <c r="D296">
        <f t="shared" si="4"/>
        <v>17.535570047953701</v>
      </c>
    </row>
    <row r="297" spans="1:4" x14ac:dyDescent="0.25">
      <c r="A297" t="s">
        <v>38</v>
      </c>
      <c r="B297" s="1" t="s">
        <v>19</v>
      </c>
      <c r="C297" s="9">
        <v>43801571</v>
      </c>
      <c r="D297">
        <f t="shared" si="4"/>
        <v>17.595180242283355</v>
      </c>
    </row>
    <row r="298" spans="1:4" x14ac:dyDescent="0.25">
      <c r="A298" t="s">
        <v>38</v>
      </c>
      <c r="B298" s="1" t="s">
        <v>20</v>
      </c>
      <c r="C298" s="10" t="s">
        <v>175</v>
      </c>
      <c r="D298">
        <f t="shared" si="4"/>
        <v>17.643192059118604</v>
      </c>
    </row>
    <row r="299" spans="1:4" x14ac:dyDescent="0.25">
      <c r="A299" t="s">
        <v>38</v>
      </c>
      <c r="B299" s="1" t="s">
        <v>21</v>
      </c>
      <c r="C299" s="9">
        <v>47780374</v>
      </c>
      <c r="D299">
        <f t="shared" si="4"/>
        <v>17.682125527374208</v>
      </c>
    </row>
    <row r="300" spans="1:4" x14ac:dyDescent="0.25">
      <c r="A300" t="s">
        <v>38</v>
      </c>
      <c r="B300" s="1" t="s">
        <v>22</v>
      </c>
      <c r="C300" s="7">
        <v>48994215</v>
      </c>
      <c r="D300">
        <f t="shared" si="4"/>
        <v>17.707212787880636</v>
      </c>
    </row>
    <row r="301" spans="1:4" x14ac:dyDescent="0.25">
      <c r="A301" t="s">
        <v>38</v>
      </c>
      <c r="B301" s="1" t="s">
        <v>23</v>
      </c>
      <c r="C301" s="8">
        <v>51499424</v>
      </c>
      <c r="D301">
        <f t="shared" si="4"/>
        <v>17.757081181105399</v>
      </c>
    </row>
    <row r="302" spans="1:4" x14ac:dyDescent="0.25">
      <c r="A302" t="s">
        <v>39</v>
      </c>
      <c r="B302" s="1" t="s">
        <v>4</v>
      </c>
      <c r="C302" s="2">
        <v>84142259</v>
      </c>
      <c r="D302">
        <f t="shared" si="4"/>
        <v>18.248019483876536</v>
      </c>
    </row>
    <row r="303" spans="1:4" x14ac:dyDescent="0.25">
      <c r="A303" t="s">
        <v>39</v>
      </c>
      <c r="B303" s="1" t="s">
        <v>5</v>
      </c>
      <c r="C303" s="2">
        <v>82963039</v>
      </c>
      <c r="D303">
        <f t="shared" si="4"/>
        <v>18.233905753326468</v>
      </c>
    </row>
    <row r="304" spans="1:4" x14ac:dyDescent="0.25">
      <c r="A304" t="s">
        <v>39</v>
      </c>
      <c r="B304" s="1" t="s">
        <v>6</v>
      </c>
      <c r="C304" s="2">
        <v>77362176</v>
      </c>
      <c r="D304">
        <f t="shared" si="4"/>
        <v>18.164008536945367</v>
      </c>
    </row>
    <row r="305" spans="1:4" x14ac:dyDescent="0.25">
      <c r="A305" t="s">
        <v>39</v>
      </c>
      <c r="B305" s="1" t="s">
        <v>7</v>
      </c>
      <c r="C305" s="2">
        <v>83761946</v>
      </c>
      <c r="D305">
        <f t="shared" si="4"/>
        <v>18.243489357303474</v>
      </c>
    </row>
    <row r="306" spans="1:4" x14ac:dyDescent="0.25">
      <c r="A306" t="s">
        <v>39</v>
      </c>
      <c r="B306" s="1" t="s">
        <v>8</v>
      </c>
      <c r="C306" s="2">
        <v>83972460</v>
      </c>
      <c r="D306">
        <f t="shared" si="4"/>
        <v>18.245999445907827</v>
      </c>
    </row>
    <row r="307" spans="1:4" x14ac:dyDescent="0.25">
      <c r="A307" t="s">
        <v>39</v>
      </c>
      <c r="B307" s="1" t="s">
        <v>9</v>
      </c>
      <c r="C307" s="2">
        <v>84277675</v>
      </c>
      <c r="D307">
        <f t="shared" si="4"/>
        <v>18.249627559903704</v>
      </c>
    </row>
    <row r="308" spans="1:4" x14ac:dyDescent="0.25">
      <c r="A308" t="s">
        <v>39</v>
      </c>
      <c r="B308" s="1" t="s">
        <v>10</v>
      </c>
      <c r="C308" s="2">
        <v>87808884</v>
      </c>
      <c r="D308">
        <f t="shared" si="4"/>
        <v>18.290673237996788</v>
      </c>
    </row>
    <row r="309" spans="1:4" x14ac:dyDescent="0.25">
      <c r="A309" t="s">
        <v>39</v>
      </c>
      <c r="B309" s="1" t="s">
        <v>11</v>
      </c>
      <c r="C309" s="2">
        <v>100803831</v>
      </c>
      <c r="D309">
        <f t="shared" si="4"/>
        <v>18.428686918831716</v>
      </c>
    </row>
    <row r="310" spans="1:4" x14ac:dyDescent="0.25">
      <c r="A310" t="s">
        <v>39</v>
      </c>
      <c r="B310" s="1" t="s">
        <v>12</v>
      </c>
      <c r="C310" s="2">
        <v>99260211</v>
      </c>
      <c r="D310">
        <f t="shared" si="4"/>
        <v>18.413255353851714</v>
      </c>
    </row>
    <row r="311" spans="1:4" x14ac:dyDescent="0.25">
      <c r="A311" t="s">
        <v>39</v>
      </c>
      <c r="B311" s="1" t="s">
        <v>13</v>
      </c>
      <c r="C311" s="2">
        <v>99236119</v>
      </c>
      <c r="D311">
        <f t="shared" si="4"/>
        <v>18.413012608808334</v>
      </c>
    </row>
    <row r="312" spans="1:4" x14ac:dyDescent="0.25">
      <c r="A312" t="s">
        <v>39</v>
      </c>
      <c r="B312" s="1" t="s">
        <v>14</v>
      </c>
      <c r="C312" s="2">
        <v>103824073</v>
      </c>
      <c r="D312">
        <f t="shared" si="4"/>
        <v>18.458208418955799</v>
      </c>
    </row>
    <row r="313" spans="1:4" x14ac:dyDescent="0.25">
      <c r="A313" t="s">
        <v>39</v>
      </c>
      <c r="B313" s="1" t="s">
        <v>15</v>
      </c>
      <c r="C313" s="2">
        <v>112202653</v>
      </c>
      <c r="D313">
        <f t="shared" si="4"/>
        <v>18.535817196049617</v>
      </c>
    </row>
    <row r="314" spans="1:4" x14ac:dyDescent="0.25">
      <c r="A314" t="s">
        <v>39</v>
      </c>
      <c r="B314" s="1" t="s">
        <v>16</v>
      </c>
      <c r="C314" s="2">
        <v>111592194</v>
      </c>
      <c r="D314">
        <f t="shared" si="4"/>
        <v>18.530361659228575</v>
      </c>
    </row>
    <row r="315" spans="1:4" x14ac:dyDescent="0.25">
      <c r="A315" t="s">
        <v>39</v>
      </c>
      <c r="B315" s="1" t="s">
        <v>17</v>
      </c>
      <c r="C315" s="2">
        <v>115865775</v>
      </c>
      <c r="D315">
        <f t="shared" si="4"/>
        <v>18.567942967030632</v>
      </c>
    </row>
    <row r="316" spans="1:4" x14ac:dyDescent="0.25">
      <c r="A316" t="s">
        <v>39</v>
      </c>
      <c r="B316" s="1" t="s">
        <v>18</v>
      </c>
      <c r="C316" s="2">
        <v>119765037</v>
      </c>
      <c r="D316">
        <f t="shared" si="4"/>
        <v>18.601042356309424</v>
      </c>
    </row>
    <row r="317" spans="1:4" x14ac:dyDescent="0.25">
      <c r="A317" t="s">
        <v>39</v>
      </c>
      <c r="B317" s="1" t="s">
        <v>19</v>
      </c>
      <c r="C317" s="2">
        <v>132879390</v>
      </c>
      <c r="D317">
        <f t="shared" si="4"/>
        <v>18.70495243265071</v>
      </c>
    </row>
    <row r="318" spans="1:4" x14ac:dyDescent="0.25">
      <c r="A318" t="s">
        <v>39</v>
      </c>
      <c r="B318" s="1" t="s">
        <v>20</v>
      </c>
      <c r="C318" s="2">
        <v>113196061</v>
      </c>
      <c r="D318">
        <f t="shared" si="4"/>
        <v>18.544631926308146</v>
      </c>
    </row>
    <row r="319" spans="1:4" x14ac:dyDescent="0.25">
      <c r="A319" t="s">
        <v>39</v>
      </c>
      <c r="B319" s="1" t="s">
        <v>21</v>
      </c>
      <c r="C319" s="2">
        <v>123549904</v>
      </c>
      <c r="D319">
        <f t="shared" si="4"/>
        <v>18.632155713385238</v>
      </c>
    </row>
    <row r="320" spans="1:4" x14ac:dyDescent="0.25">
      <c r="A320" t="s">
        <v>39</v>
      </c>
      <c r="B320" s="1" t="s">
        <v>22</v>
      </c>
      <c r="C320" s="2">
        <v>126173172</v>
      </c>
      <c r="D320">
        <f t="shared" si="4"/>
        <v>18.653165902271109</v>
      </c>
    </row>
    <row r="321" spans="1:4" x14ac:dyDescent="0.25">
      <c r="A321" t="s">
        <v>39</v>
      </c>
      <c r="B321" s="1" t="s">
        <v>23</v>
      </c>
      <c r="C321" s="8">
        <v>141750449</v>
      </c>
      <c r="D321">
        <f t="shared" si="4"/>
        <v>18.769578668115621</v>
      </c>
    </row>
    <row r="322" spans="1:4" x14ac:dyDescent="0.25">
      <c r="A322" t="s">
        <v>40</v>
      </c>
      <c r="B322" s="1" t="s">
        <v>4</v>
      </c>
      <c r="C322" s="14">
        <v>2400706</v>
      </c>
      <c r="D322">
        <f t="shared" si="4"/>
        <v>14.691273418726309</v>
      </c>
    </row>
    <row r="323" spans="1:4" x14ac:dyDescent="0.25">
      <c r="A323" t="s">
        <v>40</v>
      </c>
      <c r="B323" s="1" t="s">
        <v>5</v>
      </c>
      <c r="C323" s="14">
        <v>2408175</v>
      </c>
      <c r="D323">
        <f t="shared" ref="D323:D386" si="5">LN(C323)</f>
        <v>14.694379757188795</v>
      </c>
    </row>
    <row r="324" spans="1:4" x14ac:dyDescent="0.25">
      <c r="A324" t="s">
        <v>40</v>
      </c>
      <c r="B324" s="1" t="s">
        <v>6</v>
      </c>
      <c r="C324" s="14">
        <v>2446722</v>
      </c>
      <c r="D324">
        <f t="shared" si="5"/>
        <v>14.710259727470669</v>
      </c>
    </row>
    <row r="325" spans="1:4" x14ac:dyDescent="0.25">
      <c r="A325" t="s">
        <v>40</v>
      </c>
      <c r="B325" s="1" t="s">
        <v>7</v>
      </c>
      <c r="C325" s="14">
        <v>2264173</v>
      </c>
      <c r="D325">
        <f t="shared" si="5"/>
        <v>14.632720128813416</v>
      </c>
    </row>
    <row r="326" spans="1:4" x14ac:dyDescent="0.25">
      <c r="A326" t="s">
        <v>40</v>
      </c>
      <c r="B326" s="1" t="s">
        <v>8</v>
      </c>
      <c r="C326" s="14">
        <v>2287153</v>
      </c>
      <c r="D326">
        <f t="shared" si="5"/>
        <v>14.642818370636046</v>
      </c>
    </row>
    <row r="327" spans="1:4" x14ac:dyDescent="0.25">
      <c r="A327" t="s">
        <v>40</v>
      </c>
      <c r="B327" s="1" t="s">
        <v>9</v>
      </c>
      <c r="C327" s="15">
        <v>2768699</v>
      </c>
      <c r="D327">
        <f t="shared" si="5"/>
        <v>14.833888092741375</v>
      </c>
    </row>
    <row r="328" spans="1:4" x14ac:dyDescent="0.25">
      <c r="A328" t="s">
        <v>40</v>
      </c>
      <c r="B328" s="1" t="s">
        <v>10</v>
      </c>
      <c r="C328" s="14">
        <v>2512842</v>
      </c>
      <c r="D328">
        <f t="shared" si="5"/>
        <v>14.736924941489049</v>
      </c>
    </row>
    <row r="329" spans="1:4" x14ac:dyDescent="0.25">
      <c r="A329" t="s">
        <v>40</v>
      </c>
      <c r="B329" s="1" t="s">
        <v>11</v>
      </c>
      <c r="C329" s="14">
        <v>2527173</v>
      </c>
      <c r="D329">
        <f t="shared" si="5"/>
        <v>14.742611844652258</v>
      </c>
    </row>
    <row r="330" spans="1:4" x14ac:dyDescent="0.25">
      <c r="A330" t="s">
        <v>40</v>
      </c>
      <c r="B330" s="1" t="s">
        <v>12</v>
      </c>
      <c r="C330" s="14">
        <v>2321800</v>
      </c>
      <c r="D330">
        <f t="shared" si="5"/>
        <v>14.657853304886073</v>
      </c>
    </row>
    <row r="331" spans="1:4" x14ac:dyDescent="0.25">
      <c r="A331" t="s">
        <v>40</v>
      </c>
      <c r="B331" s="1" t="s">
        <v>13</v>
      </c>
      <c r="C331" s="14">
        <v>2203513</v>
      </c>
      <c r="D331">
        <f t="shared" si="5"/>
        <v>14.605563462951791</v>
      </c>
    </row>
    <row r="332" spans="1:4" x14ac:dyDescent="0.25">
      <c r="A332" t="s">
        <v>40</v>
      </c>
      <c r="B332" s="1" t="s">
        <v>14</v>
      </c>
      <c r="C332" s="14">
        <v>2128998</v>
      </c>
      <c r="D332">
        <f t="shared" si="5"/>
        <v>14.571162004467002</v>
      </c>
    </row>
    <row r="333" spans="1:4" x14ac:dyDescent="0.25">
      <c r="A333" t="s">
        <v>40</v>
      </c>
      <c r="B333" s="1" t="s">
        <v>15</v>
      </c>
      <c r="C333" s="14">
        <v>2586663</v>
      </c>
      <c r="D333">
        <f t="shared" si="5"/>
        <v>14.765879185964513</v>
      </c>
    </row>
    <row r="334" spans="1:4" x14ac:dyDescent="0.25">
      <c r="A334" t="s">
        <v>40</v>
      </c>
      <c r="B334" s="1" t="s">
        <v>16</v>
      </c>
      <c r="C334" s="15">
        <v>3981142</v>
      </c>
      <c r="D334">
        <f t="shared" si="5"/>
        <v>15.197079270776106</v>
      </c>
    </row>
    <row r="335" spans="1:4" x14ac:dyDescent="0.25">
      <c r="A335" t="s">
        <v>40</v>
      </c>
      <c r="B335" s="1" t="s">
        <v>17</v>
      </c>
      <c r="C335" s="14">
        <v>4222206</v>
      </c>
      <c r="D335">
        <f t="shared" si="5"/>
        <v>15.255868298241797</v>
      </c>
    </row>
    <row r="336" spans="1:4" x14ac:dyDescent="0.25">
      <c r="A336" t="s">
        <v>40</v>
      </c>
      <c r="B336" s="1" t="s">
        <v>18</v>
      </c>
      <c r="C336" s="14">
        <v>6898588</v>
      </c>
      <c r="D336">
        <f t="shared" si="5"/>
        <v>15.74682731094518</v>
      </c>
    </row>
    <row r="337" spans="1:4" x14ac:dyDescent="0.25">
      <c r="A337" t="s">
        <v>40</v>
      </c>
      <c r="B337" s="1" t="s">
        <v>19</v>
      </c>
      <c r="C337" s="14">
        <v>4649357</v>
      </c>
      <c r="D337">
        <f t="shared" si="5"/>
        <v>15.352239488432145</v>
      </c>
    </row>
    <row r="338" spans="1:4" x14ac:dyDescent="0.25">
      <c r="A338" t="s">
        <v>40</v>
      </c>
      <c r="B338" s="1" t="s">
        <v>20</v>
      </c>
      <c r="C338" s="14">
        <v>9416588</v>
      </c>
      <c r="D338">
        <f t="shared" si="5"/>
        <v>16.057983372871419</v>
      </c>
    </row>
    <row r="339" spans="1:4" x14ac:dyDescent="0.25">
      <c r="A339" t="s">
        <v>40</v>
      </c>
      <c r="B339" s="1" t="s">
        <v>21</v>
      </c>
      <c r="C339" s="14">
        <v>9772945</v>
      </c>
      <c r="D339">
        <f t="shared" si="5"/>
        <v>16.095128411555212</v>
      </c>
    </row>
    <row r="340" spans="1:4" x14ac:dyDescent="0.25">
      <c r="A340" t="s">
        <v>40</v>
      </c>
      <c r="B340" s="1" t="s">
        <v>22</v>
      </c>
      <c r="C340" s="14">
        <v>10598944</v>
      </c>
      <c r="D340">
        <f t="shared" si="5"/>
        <v>16.176264931478123</v>
      </c>
    </row>
    <row r="341" spans="1:4" x14ac:dyDescent="0.25">
      <c r="A341" t="s">
        <v>40</v>
      </c>
      <c r="B341" s="1" t="s">
        <v>23</v>
      </c>
      <c r="C341" s="8">
        <v>11058956</v>
      </c>
      <c r="D341">
        <f t="shared" si="5"/>
        <v>16.218751155389668</v>
      </c>
    </row>
    <row r="342" spans="1:4" x14ac:dyDescent="0.25">
      <c r="A342" t="s">
        <v>41</v>
      </c>
      <c r="B342" s="1" t="s">
        <v>4</v>
      </c>
      <c r="C342" s="2">
        <v>17787021</v>
      </c>
      <c r="D342">
        <f t="shared" si="5"/>
        <v>16.693979591994463</v>
      </c>
    </row>
    <row r="343" spans="1:4" x14ac:dyDescent="0.25">
      <c r="A343" t="s">
        <v>41</v>
      </c>
      <c r="B343" s="1" t="s">
        <v>5</v>
      </c>
      <c r="C343" s="2">
        <v>18772417</v>
      </c>
      <c r="D343">
        <f t="shared" si="5"/>
        <v>16.74789916958537</v>
      </c>
    </row>
    <row r="344" spans="1:4" x14ac:dyDescent="0.25">
      <c r="A344" t="s">
        <v>41</v>
      </c>
      <c r="B344" s="1" t="s">
        <v>6</v>
      </c>
      <c r="C344" s="2">
        <v>20905827</v>
      </c>
      <c r="D344">
        <f t="shared" si="5"/>
        <v>16.855538481904226</v>
      </c>
    </row>
    <row r="345" spans="1:4" x14ac:dyDescent="0.25">
      <c r="A345" t="s">
        <v>41</v>
      </c>
      <c r="B345" s="1" t="s">
        <v>7</v>
      </c>
      <c r="C345" s="2">
        <v>23313671</v>
      </c>
      <c r="D345">
        <f t="shared" si="5"/>
        <v>16.9645504846698</v>
      </c>
    </row>
    <row r="346" spans="1:4" x14ac:dyDescent="0.25">
      <c r="A346" t="s">
        <v>41</v>
      </c>
      <c r="B346" s="1" t="s">
        <v>8</v>
      </c>
      <c r="C346" s="7">
        <v>22976903</v>
      </c>
      <c r="D346">
        <f t="shared" si="5"/>
        <v>16.950000051938012</v>
      </c>
    </row>
    <row r="347" spans="1:4" x14ac:dyDescent="0.25">
      <c r="A347" t="s">
        <v>41</v>
      </c>
      <c r="B347" s="1" t="s">
        <v>9</v>
      </c>
      <c r="C347" s="2">
        <v>24818174</v>
      </c>
      <c r="D347">
        <f t="shared" si="5"/>
        <v>17.027086765332498</v>
      </c>
    </row>
    <row r="348" spans="1:4" x14ac:dyDescent="0.25">
      <c r="A348" t="s">
        <v>41</v>
      </c>
      <c r="B348" s="1" t="s">
        <v>10</v>
      </c>
      <c r="C348" s="2">
        <v>24924164</v>
      </c>
      <c r="D348">
        <f t="shared" si="5"/>
        <v>17.031348332627811</v>
      </c>
    </row>
    <row r="349" spans="1:4" x14ac:dyDescent="0.25">
      <c r="A349" t="s">
        <v>41</v>
      </c>
      <c r="B349" s="1" t="s">
        <v>11</v>
      </c>
      <c r="C349" s="2">
        <v>27067923</v>
      </c>
      <c r="D349">
        <f t="shared" si="5"/>
        <v>17.113859931642754</v>
      </c>
    </row>
    <row r="350" spans="1:4" x14ac:dyDescent="0.25">
      <c r="A350" t="s">
        <v>41</v>
      </c>
      <c r="B350" s="1" t="s">
        <v>12</v>
      </c>
      <c r="C350" s="2">
        <v>26601258</v>
      </c>
      <c r="D350">
        <f t="shared" si="5"/>
        <v>17.096469065866721</v>
      </c>
    </row>
    <row r="351" spans="1:4" x14ac:dyDescent="0.25">
      <c r="A351" t="s">
        <v>41</v>
      </c>
      <c r="B351" s="1" t="s">
        <v>13</v>
      </c>
      <c r="C351" s="7">
        <v>26183539</v>
      </c>
      <c r="D351">
        <f t="shared" si="5"/>
        <v>17.080641488836456</v>
      </c>
    </row>
    <row r="352" spans="1:4" x14ac:dyDescent="0.25">
      <c r="A352" t="s">
        <v>41</v>
      </c>
      <c r="B352" s="1" t="s">
        <v>14</v>
      </c>
      <c r="C352" s="2">
        <v>27935096</v>
      </c>
      <c r="D352">
        <f t="shared" si="5"/>
        <v>17.145394377418611</v>
      </c>
    </row>
    <row r="353" spans="1:4" x14ac:dyDescent="0.25">
      <c r="A353" t="s">
        <v>41</v>
      </c>
      <c r="B353" s="1" t="s">
        <v>15</v>
      </c>
      <c r="C353" s="2">
        <v>28015492</v>
      </c>
      <c r="D353">
        <f t="shared" si="5"/>
        <v>17.148268200847657</v>
      </c>
    </row>
    <row r="354" spans="1:4" x14ac:dyDescent="0.25">
      <c r="A354" t="s">
        <v>41</v>
      </c>
      <c r="B354" s="1" t="s">
        <v>16</v>
      </c>
      <c r="C354" s="2">
        <v>24908842</v>
      </c>
      <c r="D354">
        <f t="shared" si="5"/>
        <v>17.030733398803317</v>
      </c>
    </row>
    <row r="355" spans="1:4" x14ac:dyDescent="0.25">
      <c r="A355" t="s">
        <v>41</v>
      </c>
      <c r="B355" s="1" t="s">
        <v>17</v>
      </c>
      <c r="C355" s="2">
        <v>25403477</v>
      </c>
      <c r="D355">
        <f t="shared" si="5"/>
        <v>17.050396612383995</v>
      </c>
    </row>
    <row r="356" spans="1:4" x14ac:dyDescent="0.25">
      <c r="A356" t="s">
        <v>41</v>
      </c>
      <c r="B356" s="1" t="s">
        <v>18</v>
      </c>
      <c r="C356" s="2">
        <v>20534582</v>
      </c>
      <c r="D356">
        <f t="shared" si="5"/>
        <v>16.837620949674996</v>
      </c>
    </row>
    <row r="357" spans="1:4" x14ac:dyDescent="0.25">
      <c r="A357" t="s">
        <v>41</v>
      </c>
      <c r="B357" s="1" t="s">
        <v>19</v>
      </c>
      <c r="C357" s="2">
        <v>16866523</v>
      </c>
      <c r="D357">
        <f t="shared" si="5"/>
        <v>16.640841327766747</v>
      </c>
    </row>
    <row r="358" spans="1:4" x14ac:dyDescent="0.25">
      <c r="A358" t="s">
        <v>41</v>
      </c>
      <c r="B358" s="1" t="s">
        <v>20</v>
      </c>
      <c r="C358" s="2">
        <v>13193287</v>
      </c>
      <c r="D358">
        <f t="shared" si="5"/>
        <v>16.395218697589733</v>
      </c>
    </row>
    <row r="359" spans="1:4" x14ac:dyDescent="0.25">
      <c r="A359" t="s">
        <v>41</v>
      </c>
      <c r="B359" s="1" t="s">
        <v>21</v>
      </c>
      <c r="C359" s="2">
        <v>14500676</v>
      </c>
      <c r="D359">
        <f t="shared" si="5"/>
        <v>16.489705826993749</v>
      </c>
    </row>
    <row r="360" spans="1:4" x14ac:dyDescent="0.25">
      <c r="A360" t="s">
        <v>41</v>
      </c>
      <c r="B360" s="1" t="s">
        <v>22</v>
      </c>
      <c r="C360" s="2">
        <v>12985038</v>
      </c>
      <c r="D360">
        <f t="shared" si="5"/>
        <v>16.379308329528303</v>
      </c>
    </row>
    <row r="361" spans="1:4" x14ac:dyDescent="0.25">
      <c r="A361" t="s">
        <v>41</v>
      </c>
      <c r="B361" s="1" t="s">
        <v>23</v>
      </c>
      <c r="C361" s="8">
        <v>13898775</v>
      </c>
      <c r="D361">
        <f t="shared" si="5"/>
        <v>16.447311264720884</v>
      </c>
    </row>
    <row r="362" spans="1:4" x14ac:dyDescent="0.25">
      <c r="A362" t="s">
        <v>42</v>
      </c>
      <c r="B362" s="1" t="s">
        <v>4</v>
      </c>
      <c r="C362" s="2">
        <v>15987385</v>
      </c>
      <c r="D362">
        <f t="shared" si="5"/>
        <v>16.587310531723741</v>
      </c>
    </row>
    <row r="363" spans="1:4" x14ac:dyDescent="0.25">
      <c r="A363" t="s">
        <v>42</v>
      </c>
      <c r="B363" s="1" t="s">
        <v>5</v>
      </c>
      <c r="C363" s="2">
        <v>15609436</v>
      </c>
      <c r="D363">
        <f t="shared" si="5"/>
        <v>16.563386161153428</v>
      </c>
    </row>
    <row r="364" spans="1:4" x14ac:dyDescent="0.25">
      <c r="A364" t="s">
        <v>42</v>
      </c>
      <c r="B364" s="1" t="s">
        <v>6</v>
      </c>
      <c r="C364" s="2">
        <v>15592687</v>
      </c>
      <c r="D364">
        <f t="shared" si="5"/>
        <v>16.562312580255828</v>
      </c>
    </row>
    <row r="365" spans="1:4" x14ac:dyDescent="0.25">
      <c r="A365" t="s">
        <v>42</v>
      </c>
      <c r="B365" s="1" t="s">
        <v>7</v>
      </c>
      <c r="C365" s="2">
        <v>15992475</v>
      </c>
      <c r="D365">
        <f t="shared" si="5"/>
        <v>16.587628857072442</v>
      </c>
    </row>
    <row r="366" spans="1:4" x14ac:dyDescent="0.25">
      <c r="A366" t="s">
        <v>42</v>
      </c>
      <c r="B366" s="1" t="s">
        <v>8</v>
      </c>
      <c r="C366" s="2">
        <v>15559675</v>
      </c>
      <c r="D366">
        <f t="shared" si="5"/>
        <v>16.560193189606924</v>
      </c>
    </row>
    <row r="367" spans="1:4" x14ac:dyDescent="0.25">
      <c r="A367" t="s">
        <v>42</v>
      </c>
      <c r="B367" s="1" t="s">
        <v>9</v>
      </c>
      <c r="C367" s="2">
        <v>16182137</v>
      </c>
      <c r="D367">
        <f t="shared" si="5"/>
        <v>16.599418537511092</v>
      </c>
    </row>
    <row r="368" spans="1:4" x14ac:dyDescent="0.25">
      <c r="A368" t="s">
        <v>42</v>
      </c>
      <c r="B368" s="1" t="s">
        <v>10</v>
      </c>
      <c r="C368" s="2">
        <v>18098687</v>
      </c>
      <c r="D368">
        <f t="shared" si="5"/>
        <v>16.711349952168334</v>
      </c>
    </row>
    <row r="369" spans="1:4" x14ac:dyDescent="0.25">
      <c r="A369" t="s">
        <v>42</v>
      </c>
      <c r="B369" s="1" t="s">
        <v>11</v>
      </c>
      <c r="C369" s="2">
        <v>18893684</v>
      </c>
      <c r="D369">
        <f t="shared" si="5"/>
        <v>16.754338244285147</v>
      </c>
    </row>
    <row r="370" spans="1:4" x14ac:dyDescent="0.25">
      <c r="A370" t="s">
        <v>42</v>
      </c>
      <c r="B370" s="1" t="s">
        <v>12</v>
      </c>
      <c r="C370" s="2">
        <v>20096332</v>
      </c>
      <c r="D370">
        <f t="shared" si="5"/>
        <v>16.816047868814234</v>
      </c>
    </row>
    <row r="371" spans="1:4" x14ac:dyDescent="0.25">
      <c r="A371" t="s">
        <v>42</v>
      </c>
      <c r="B371" s="1" t="s">
        <v>13</v>
      </c>
      <c r="C371" s="2">
        <v>19080739</v>
      </c>
      <c r="D371">
        <f t="shared" si="5"/>
        <v>16.764189954890547</v>
      </c>
    </row>
    <row r="372" spans="1:4" x14ac:dyDescent="0.25">
      <c r="A372" t="s">
        <v>42</v>
      </c>
      <c r="B372" s="1" t="s">
        <v>14</v>
      </c>
      <c r="C372" s="2">
        <v>25203507</v>
      </c>
      <c r="D372">
        <f t="shared" si="5"/>
        <v>17.042493709465536</v>
      </c>
    </row>
    <row r="373" spans="1:4" x14ac:dyDescent="0.25">
      <c r="A373" t="s">
        <v>42</v>
      </c>
      <c r="B373" s="1" t="s">
        <v>15</v>
      </c>
      <c r="C373" s="2">
        <v>25235573</v>
      </c>
      <c r="D373">
        <f t="shared" si="5"/>
        <v>17.043765184057062</v>
      </c>
    </row>
    <row r="374" spans="1:4" x14ac:dyDescent="0.25">
      <c r="A374" t="s">
        <v>42</v>
      </c>
      <c r="B374" s="1" t="s">
        <v>16</v>
      </c>
      <c r="C374" s="2">
        <v>25185291</v>
      </c>
      <c r="D374">
        <f t="shared" si="5"/>
        <v>17.041770691591861</v>
      </c>
    </row>
    <row r="375" spans="1:4" x14ac:dyDescent="0.25">
      <c r="A375" t="s">
        <v>42</v>
      </c>
      <c r="B375" s="1" t="s">
        <v>17</v>
      </c>
      <c r="C375" s="2">
        <v>25864195</v>
      </c>
      <c r="D375">
        <f t="shared" si="5"/>
        <v>17.068370137796041</v>
      </c>
    </row>
    <row r="376" spans="1:4" x14ac:dyDescent="0.25">
      <c r="A376" t="s">
        <v>42</v>
      </c>
      <c r="B376" s="1" t="s">
        <v>18</v>
      </c>
      <c r="C376" s="2">
        <v>26114159</v>
      </c>
      <c r="D376">
        <f t="shared" si="5"/>
        <v>17.077988215619644</v>
      </c>
    </row>
    <row r="377" spans="1:4" x14ac:dyDescent="0.25">
      <c r="A377" t="s">
        <v>42</v>
      </c>
      <c r="B377" s="1" t="s">
        <v>19</v>
      </c>
      <c r="C377" s="2">
        <v>26194548</v>
      </c>
      <c r="D377">
        <f t="shared" si="5"/>
        <v>17.081061855474211</v>
      </c>
    </row>
    <row r="378" spans="1:4" x14ac:dyDescent="0.25">
      <c r="A378" t="s">
        <v>42</v>
      </c>
      <c r="B378" s="1" t="s">
        <v>20</v>
      </c>
      <c r="C378" s="2">
        <v>26696706</v>
      </c>
      <c r="D378">
        <f t="shared" si="5"/>
        <v>17.10005074497316</v>
      </c>
    </row>
    <row r="379" spans="1:4" x14ac:dyDescent="0.25">
      <c r="A379" t="s">
        <v>42</v>
      </c>
      <c r="B379" s="1" t="s">
        <v>21</v>
      </c>
      <c r="C379" s="2">
        <v>25538254</v>
      </c>
      <c r="D379">
        <f t="shared" si="5"/>
        <v>17.055688042880181</v>
      </c>
    </row>
    <row r="380" spans="1:4" x14ac:dyDescent="0.25">
      <c r="A380" t="s">
        <v>42</v>
      </c>
      <c r="B380" s="1" t="s">
        <v>22</v>
      </c>
      <c r="C380" s="2">
        <v>24297260</v>
      </c>
      <c r="D380">
        <f t="shared" si="5"/>
        <v>17.005874144751559</v>
      </c>
    </row>
    <row r="381" spans="1:4" x14ac:dyDescent="0.25">
      <c r="A381" t="s">
        <v>42</v>
      </c>
      <c r="B381" s="1" t="s">
        <v>23</v>
      </c>
      <c r="C381" s="8">
        <v>25022953</v>
      </c>
      <c r="D381">
        <f t="shared" si="5"/>
        <v>17.035304081618104</v>
      </c>
    </row>
    <row r="382" spans="1:4" x14ac:dyDescent="0.25">
      <c r="A382" t="s">
        <v>43</v>
      </c>
      <c r="B382" s="1" t="s">
        <v>4</v>
      </c>
      <c r="C382" s="2">
        <v>4001326</v>
      </c>
      <c r="D382">
        <f t="shared" si="5"/>
        <v>15.20213636415018</v>
      </c>
    </row>
    <row r="383" spans="1:4" x14ac:dyDescent="0.25">
      <c r="A383" t="s">
        <v>43</v>
      </c>
      <c r="B383" s="1" t="s">
        <v>5</v>
      </c>
      <c r="C383" s="2">
        <v>4205730</v>
      </c>
      <c r="D383">
        <f t="shared" si="5"/>
        <v>15.251958439175699</v>
      </c>
    </row>
    <row r="384" spans="1:4" x14ac:dyDescent="0.25">
      <c r="A384" t="s">
        <v>43</v>
      </c>
      <c r="B384" s="1" t="s">
        <v>6</v>
      </c>
      <c r="C384" s="2">
        <v>3960060</v>
      </c>
      <c r="D384">
        <f t="shared" si="5"/>
        <v>15.191769734631032</v>
      </c>
    </row>
    <row r="385" spans="1:4" x14ac:dyDescent="0.25">
      <c r="A385" t="s">
        <v>43</v>
      </c>
      <c r="B385" s="1" t="s">
        <v>7</v>
      </c>
      <c r="C385" s="2">
        <v>4151151</v>
      </c>
      <c r="D385">
        <f t="shared" si="5"/>
        <v>15.238896203150237</v>
      </c>
    </row>
    <row r="386" spans="1:4" x14ac:dyDescent="0.25">
      <c r="A386" t="s">
        <v>43</v>
      </c>
      <c r="B386" s="1" t="s">
        <v>8</v>
      </c>
      <c r="C386" s="2">
        <v>4744593</v>
      </c>
      <c r="D386">
        <f t="shared" si="5"/>
        <v>15.372516211847849</v>
      </c>
    </row>
    <row r="387" spans="1:4" x14ac:dyDescent="0.25">
      <c r="A387" t="s">
        <v>43</v>
      </c>
      <c r="B387" s="1" t="s">
        <v>9</v>
      </c>
      <c r="C387" s="2">
        <v>4796302</v>
      </c>
      <c r="D387">
        <f t="shared" ref="D387:D450" si="6">LN(C387)</f>
        <v>15.383355762288019</v>
      </c>
    </row>
    <row r="388" spans="1:4" x14ac:dyDescent="0.25">
      <c r="A388" t="s">
        <v>43</v>
      </c>
      <c r="B388" s="1" t="s">
        <v>10</v>
      </c>
      <c r="C388" s="2">
        <v>7519690</v>
      </c>
      <c r="D388">
        <f t="shared" si="6"/>
        <v>15.833035471672058</v>
      </c>
    </row>
    <row r="389" spans="1:4" x14ac:dyDescent="0.25">
      <c r="A389" t="s">
        <v>43</v>
      </c>
      <c r="B389" s="1" t="s">
        <v>11</v>
      </c>
      <c r="C389" s="2">
        <v>6421844</v>
      </c>
      <c r="D389">
        <f t="shared" si="6"/>
        <v>15.675215861838577</v>
      </c>
    </row>
    <row r="390" spans="1:4" x14ac:dyDescent="0.25">
      <c r="A390" t="s">
        <v>43</v>
      </c>
      <c r="B390" s="1" t="s">
        <v>12</v>
      </c>
      <c r="C390" s="2">
        <v>6650706</v>
      </c>
      <c r="D390">
        <f t="shared" si="6"/>
        <v>15.710233572410422</v>
      </c>
    </row>
    <row r="391" spans="1:4" x14ac:dyDescent="0.25">
      <c r="A391" t="s">
        <v>43</v>
      </c>
      <c r="B391" s="1" t="s">
        <v>13</v>
      </c>
      <c r="C391" s="2">
        <v>6988894</v>
      </c>
      <c r="D391">
        <f t="shared" si="6"/>
        <v>15.759832875653737</v>
      </c>
    </row>
    <row r="392" spans="1:4" x14ac:dyDescent="0.25">
      <c r="A392" t="s">
        <v>43</v>
      </c>
      <c r="B392" s="1" t="s">
        <v>14</v>
      </c>
      <c r="C392" s="2">
        <v>8257403</v>
      </c>
      <c r="D392">
        <f t="shared" si="6"/>
        <v>15.926620689281325</v>
      </c>
    </row>
    <row r="393" spans="1:4" x14ac:dyDescent="0.25">
      <c r="A393" t="s">
        <v>43</v>
      </c>
      <c r="B393" s="1" t="s">
        <v>15</v>
      </c>
      <c r="C393" s="2">
        <v>9854035</v>
      </c>
      <c r="D393">
        <f t="shared" si="6"/>
        <v>16.10339157393685</v>
      </c>
    </row>
    <row r="394" spans="1:4" x14ac:dyDescent="0.25">
      <c r="A394" t="s">
        <v>43</v>
      </c>
      <c r="B394" s="1" t="s">
        <v>16</v>
      </c>
      <c r="C394" s="2">
        <v>10954831</v>
      </c>
      <c r="D394">
        <f t="shared" si="6"/>
        <v>16.209291104146931</v>
      </c>
    </row>
    <row r="395" spans="1:4" x14ac:dyDescent="0.25">
      <c r="A395" t="s">
        <v>43</v>
      </c>
      <c r="B395" s="1" t="s">
        <v>17</v>
      </c>
      <c r="C395" s="2">
        <v>11632495</v>
      </c>
      <c r="D395">
        <f t="shared" si="6"/>
        <v>16.269313032870631</v>
      </c>
    </row>
    <row r="396" spans="1:4" x14ac:dyDescent="0.25">
      <c r="A396" t="s">
        <v>43</v>
      </c>
      <c r="B396" s="1" t="s">
        <v>18</v>
      </c>
      <c r="C396" s="2">
        <v>12726871</v>
      </c>
      <c r="D396">
        <f t="shared" si="6"/>
        <v>16.359226142991332</v>
      </c>
    </row>
    <row r="397" spans="1:4" x14ac:dyDescent="0.25">
      <c r="A397" t="s">
        <v>43</v>
      </c>
      <c r="B397" s="1" t="s">
        <v>19</v>
      </c>
      <c r="C397" s="2">
        <v>14286910</v>
      </c>
      <c r="D397">
        <f t="shared" si="6"/>
        <v>16.474854291394404</v>
      </c>
    </row>
    <row r="398" spans="1:4" x14ac:dyDescent="0.25">
      <c r="A398" t="s">
        <v>43</v>
      </c>
      <c r="B398" s="1" t="s">
        <v>20</v>
      </c>
      <c r="C398" s="2">
        <v>14691788</v>
      </c>
      <c r="D398">
        <f t="shared" si="6"/>
        <v>16.502799256196024</v>
      </c>
    </row>
    <row r="399" spans="1:4" x14ac:dyDescent="0.25">
      <c r="A399" t="s">
        <v>43</v>
      </c>
      <c r="B399" s="1" t="s">
        <v>21</v>
      </c>
      <c r="C399" s="2">
        <v>15704747</v>
      </c>
      <c r="D399">
        <f t="shared" si="6"/>
        <v>16.569473581305864</v>
      </c>
    </row>
    <row r="400" spans="1:4" x14ac:dyDescent="0.25">
      <c r="A400" t="s">
        <v>43</v>
      </c>
      <c r="B400" s="1" t="s">
        <v>22</v>
      </c>
      <c r="C400" s="2">
        <v>16630906</v>
      </c>
      <c r="D400">
        <f t="shared" si="6"/>
        <v>16.626773329540818</v>
      </c>
    </row>
    <row r="401" spans="1:4" x14ac:dyDescent="0.25">
      <c r="A401" t="s">
        <v>43</v>
      </c>
      <c r="B401" s="1" t="s">
        <v>23</v>
      </c>
      <c r="C401" s="8">
        <v>18304587</v>
      </c>
      <c r="D401">
        <f t="shared" si="6"/>
        <v>16.722662242140455</v>
      </c>
    </row>
    <row r="402" spans="1:4" x14ac:dyDescent="0.25">
      <c r="A402" t="s">
        <v>44</v>
      </c>
      <c r="B402" s="1" t="s">
        <v>4</v>
      </c>
      <c r="C402" s="2">
        <v>87038389</v>
      </c>
      <c r="D402">
        <f t="shared" si="6"/>
        <v>18.281859832169001</v>
      </c>
    </row>
    <row r="403" spans="1:4" x14ac:dyDescent="0.25">
      <c r="A403" t="s">
        <v>44</v>
      </c>
      <c r="B403" s="1" t="s">
        <v>5</v>
      </c>
      <c r="C403" s="2">
        <v>90422307</v>
      </c>
      <c r="D403">
        <f t="shared" si="6"/>
        <v>18.320001553772006</v>
      </c>
    </row>
    <row r="404" spans="1:4" x14ac:dyDescent="0.25">
      <c r="A404" t="s">
        <v>44</v>
      </c>
      <c r="B404" s="1" t="s">
        <v>6</v>
      </c>
      <c r="C404" s="2">
        <v>88010091</v>
      </c>
      <c r="D404">
        <f t="shared" si="6"/>
        <v>18.292962036322873</v>
      </c>
    </row>
    <row r="405" spans="1:4" x14ac:dyDescent="0.25">
      <c r="A405" t="s">
        <v>44</v>
      </c>
      <c r="B405" s="1" t="s">
        <v>7</v>
      </c>
      <c r="C405" s="2">
        <v>91129570</v>
      </c>
      <c r="D405">
        <f t="shared" si="6"/>
        <v>18.327792897927214</v>
      </c>
    </row>
    <row r="406" spans="1:4" x14ac:dyDescent="0.25">
      <c r="A406" t="s">
        <v>44</v>
      </c>
      <c r="B406" s="1" t="s">
        <v>8</v>
      </c>
      <c r="C406" s="2">
        <v>180862270</v>
      </c>
      <c r="D406">
        <f t="shared" si="6"/>
        <v>19.013246360342375</v>
      </c>
    </row>
    <row r="407" spans="1:4" x14ac:dyDescent="0.25">
      <c r="A407" t="s">
        <v>44</v>
      </c>
      <c r="B407" s="1" t="s">
        <v>9</v>
      </c>
      <c r="C407" s="2">
        <v>174361099</v>
      </c>
      <c r="D407">
        <f t="shared" si="6"/>
        <v>18.97663898836576</v>
      </c>
    </row>
    <row r="408" spans="1:4" x14ac:dyDescent="0.25">
      <c r="A408" t="s">
        <v>44</v>
      </c>
      <c r="B408" s="1" t="s">
        <v>10</v>
      </c>
      <c r="C408" s="2">
        <v>168918673</v>
      </c>
      <c r="D408">
        <f t="shared" si="6"/>
        <v>18.944927932209438</v>
      </c>
    </row>
    <row r="409" spans="1:4" x14ac:dyDescent="0.25">
      <c r="A409" t="s">
        <v>44</v>
      </c>
      <c r="B409" s="1" t="s">
        <v>11</v>
      </c>
      <c r="C409" s="2">
        <v>167492734</v>
      </c>
      <c r="D409">
        <f t="shared" si="6"/>
        <v>18.936450529184018</v>
      </c>
    </row>
    <row r="410" spans="1:4" x14ac:dyDescent="0.25">
      <c r="A410" t="s">
        <v>44</v>
      </c>
      <c r="B410" s="1" t="s">
        <v>12</v>
      </c>
      <c r="C410" s="2">
        <v>184954549</v>
      </c>
      <c r="D410">
        <f t="shared" si="6"/>
        <v>19.035620671776979</v>
      </c>
    </row>
    <row r="411" spans="1:4" x14ac:dyDescent="0.25">
      <c r="A411" t="s">
        <v>44</v>
      </c>
      <c r="B411" s="1" t="s">
        <v>13</v>
      </c>
      <c r="C411" s="2">
        <v>171167512</v>
      </c>
      <c r="D411">
        <f t="shared" si="6"/>
        <v>18.958153237308863</v>
      </c>
    </row>
    <row r="412" spans="1:4" x14ac:dyDescent="0.25">
      <c r="A412" t="s">
        <v>44</v>
      </c>
      <c r="B412" s="1" t="s">
        <v>14</v>
      </c>
      <c r="C412" s="2">
        <v>172873156</v>
      </c>
      <c r="D412">
        <f t="shared" si="6"/>
        <v>18.968068681225642</v>
      </c>
    </row>
    <row r="413" spans="1:4" x14ac:dyDescent="0.25">
      <c r="A413" t="s">
        <v>44</v>
      </c>
      <c r="B413" s="1" t="s">
        <v>15</v>
      </c>
      <c r="C413" s="2">
        <v>168178044</v>
      </c>
      <c r="D413">
        <f t="shared" si="6"/>
        <v>18.940533761905389</v>
      </c>
    </row>
    <row r="414" spans="1:4" x14ac:dyDescent="0.25">
      <c r="A414" t="s">
        <v>44</v>
      </c>
      <c r="B414" s="1" t="s">
        <v>16</v>
      </c>
      <c r="C414" s="2">
        <v>158693638</v>
      </c>
      <c r="D414">
        <f t="shared" si="6"/>
        <v>18.882486096476324</v>
      </c>
    </row>
    <row r="415" spans="1:4" x14ac:dyDescent="0.25">
      <c r="A415" t="s">
        <v>44</v>
      </c>
      <c r="B415" s="1" t="s">
        <v>17</v>
      </c>
      <c r="C415" s="2">
        <v>159757227</v>
      </c>
      <c r="D415">
        <f t="shared" si="6"/>
        <v>18.889165889635265</v>
      </c>
    </row>
    <row r="416" spans="1:4" x14ac:dyDescent="0.25">
      <c r="A416" t="s">
        <v>44</v>
      </c>
      <c r="B416" s="1" t="s">
        <v>18</v>
      </c>
      <c r="C416" s="2">
        <v>166453972</v>
      </c>
      <c r="D416">
        <f t="shared" si="6"/>
        <v>18.930229384722519</v>
      </c>
    </row>
    <row r="417" spans="1:4" x14ac:dyDescent="0.25">
      <c r="A417" t="s">
        <v>44</v>
      </c>
      <c r="B417" s="1" t="s">
        <v>19</v>
      </c>
      <c r="C417" s="2">
        <v>174601315</v>
      </c>
      <c r="D417">
        <f t="shared" si="6"/>
        <v>18.978015732841985</v>
      </c>
    </row>
    <row r="418" spans="1:4" x14ac:dyDescent="0.25">
      <c r="A418" t="s">
        <v>44</v>
      </c>
      <c r="B418" s="1" t="s">
        <v>20</v>
      </c>
      <c r="C418" s="2">
        <v>174447329</v>
      </c>
      <c r="D418">
        <f t="shared" si="6"/>
        <v>18.977133414502486</v>
      </c>
    </row>
    <row r="419" spans="1:4" x14ac:dyDescent="0.25">
      <c r="A419" t="s">
        <v>44</v>
      </c>
      <c r="B419" s="1" t="s">
        <v>21</v>
      </c>
      <c r="C419" s="2">
        <v>176694824</v>
      </c>
      <c r="D419">
        <f t="shared" si="6"/>
        <v>18.989934644274584</v>
      </c>
    </row>
    <row r="420" spans="1:4" x14ac:dyDescent="0.25">
      <c r="A420" t="s">
        <v>44</v>
      </c>
      <c r="B420" s="1" t="s">
        <v>22</v>
      </c>
      <c r="C420" s="2">
        <v>180585841</v>
      </c>
      <c r="D420">
        <f t="shared" si="6"/>
        <v>19.011716796095222</v>
      </c>
    </row>
    <row r="421" spans="1:4" x14ac:dyDescent="0.25">
      <c r="A421" t="s">
        <v>44</v>
      </c>
      <c r="B421" s="1" t="s">
        <v>23</v>
      </c>
      <c r="C421" s="7">
        <v>189241556</v>
      </c>
      <c r="D421">
        <f t="shared" si="6"/>
        <v>19.058534831056555</v>
      </c>
    </row>
    <row r="422" spans="1:4" x14ac:dyDescent="0.25">
      <c r="A422" t="s">
        <v>45</v>
      </c>
      <c r="B422" s="1" t="s">
        <v>4</v>
      </c>
      <c r="C422" s="2">
        <v>10508569</v>
      </c>
      <c r="D422">
        <f t="shared" si="6"/>
        <v>16.167701577541195</v>
      </c>
    </row>
    <row r="423" spans="1:4" x14ac:dyDescent="0.25">
      <c r="A423" t="s">
        <v>45</v>
      </c>
      <c r="B423" s="1" t="s">
        <v>5</v>
      </c>
      <c r="C423" s="2">
        <v>10042003</v>
      </c>
      <c r="D423">
        <f t="shared" si="6"/>
        <v>16.122287154322013</v>
      </c>
    </row>
    <row r="424" spans="1:4" x14ac:dyDescent="0.25">
      <c r="A424" t="s">
        <v>45</v>
      </c>
      <c r="B424" s="1" t="s">
        <v>6</v>
      </c>
      <c r="C424" s="2">
        <v>10407053</v>
      </c>
      <c r="D424">
        <f t="shared" si="6"/>
        <v>16.157994307333077</v>
      </c>
    </row>
    <row r="425" spans="1:4" x14ac:dyDescent="0.25">
      <c r="A425" t="s">
        <v>45</v>
      </c>
      <c r="B425" s="1" t="s">
        <v>7</v>
      </c>
      <c r="C425" s="2">
        <v>11793981</v>
      </c>
      <c r="D425">
        <f t="shared" si="6"/>
        <v>16.283099874552651</v>
      </c>
    </row>
    <row r="426" spans="1:4" x14ac:dyDescent="0.25">
      <c r="A426" t="s">
        <v>45</v>
      </c>
      <c r="B426" s="1" t="s">
        <v>8</v>
      </c>
      <c r="C426" s="2">
        <v>11989767</v>
      </c>
      <c r="D426">
        <f t="shared" si="6"/>
        <v>16.29956409395416</v>
      </c>
    </row>
    <row r="427" spans="1:4" x14ac:dyDescent="0.25">
      <c r="A427" t="s">
        <v>45</v>
      </c>
      <c r="B427" s="1" t="s">
        <v>9</v>
      </c>
      <c r="C427" s="2">
        <v>12084529</v>
      </c>
      <c r="D427">
        <f t="shared" si="6"/>
        <v>16.307436597425585</v>
      </c>
    </row>
    <row r="428" spans="1:4" x14ac:dyDescent="0.25">
      <c r="A428" t="s">
        <v>45</v>
      </c>
      <c r="B428" s="1" t="s">
        <v>10</v>
      </c>
      <c r="C428" s="2">
        <v>12079029</v>
      </c>
      <c r="D428">
        <f t="shared" si="6"/>
        <v>16.30698136644553</v>
      </c>
    </row>
    <row r="429" spans="1:4" x14ac:dyDescent="0.25">
      <c r="A429" t="s">
        <v>45</v>
      </c>
      <c r="B429" s="1" t="s">
        <v>11</v>
      </c>
      <c r="C429" s="2">
        <v>13147503</v>
      </c>
      <c r="D429">
        <f t="shared" si="6"/>
        <v>16.391742412625874</v>
      </c>
    </row>
    <row r="430" spans="1:4" x14ac:dyDescent="0.25">
      <c r="A430" t="s">
        <v>45</v>
      </c>
      <c r="B430" s="1" t="s">
        <v>12</v>
      </c>
      <c r="C430" s="2">
        <v>12811325</v>
      </c>
      <c r="D430">
        <f t="shared" si="6"/>
        <v>16.365840103340453</v>
      </c>
    </row>
    <row r="431" spans="1:4" x14ac:dyDescent="0.25">
      <c r="A431" t="s">
        <v>45</v>
      </c>
      <c r="B431" s="1" t="s">
        <v>13</v>
      </c>
      <c r="C431" s="2">
        <v>12675712</v>
      </c>
      <c r="D431">
        <f t="shared" si="6"/>
        <v>16.355198279433864</v>
      </c>
    </row>
    <row r="432" spans="1:4" x14ac:dyDescent="0.25">
      <c r="A432" t="s">
        <v>45</v>
      </c>
      <c r="B432" s="1" t="s">
        <v>14</v>
      </c>
      <c r="C432" s="2">
        <v>12274400</v>
      </c>
      <c r="D432">
        <f t="shared" si="6"/>
        <v>16.323026350613134</v>
      </c>
    </row>
    <row r="433" spans="1:4" x14ac:dyDescent="0.25">
      <c r="A433" t="s">
        <v>45</v>
      </c>
      <c r="B433" s="1" t="s">
        <v>15</v>
      </c>
      <c r="C433" s="2">
        <v>13737934</v>
      </c>
      <c r="D433">
        <f t="shared" si="6"/>
        <v>16.435671469551675</v>
      </c>
    </row>
    <row r="434" spans="1:4" x14ac:dyDescent="0.25">
      <c r="A434" t="s">
        <v>45</v>
      </c>
      <c r="B434" s="1" t="s">
        <v>16</v>
      </c>
      <c r="C434" s="2">
        <v>14466968</v>
      </c>
      <c r="D434">
        <f t="shared" si="6"/>
        <v>16.48737853967868</v>
      </c>
    </row>
    <row r="435" spans="1:4" x14ac:dyDescent="0.25">
      <c r="A435" t="s">
        <v>45</v>
      </c>
      <c r="B435" s="1" t="s">
        <v>17</v>
      </c>
      <c r="C435" s="2">
        <v>15668143</v>
      </c>
      <c r="D435">
        <f t="shared" si="6"/>
        <v>16.567140100609027</v>
      </c>
    </row>
    <row r="436" spans="1:4" x14ac:dyDescent="0.25">
      <c r="A436" t="s">
        <v>45</v>
      </c>
      <c r="B436" s="1" t="s">
        <v>18</v>
      </c>
      <c r="C436" s="2">
        <v>16356627</v>
      </c>
      <c r="D436">
        <f t="shared" si="6"/>
        <v>16.610143694288045</v>
      </c>
    </row>
    <row r="437" spans="1:4" x14ac:dyDescent="0.25">
      <c r="A437" t="s">
        <v>45</v>
      </c>
      <c r="B437" s="1" t="s">
        <v>19</v>
      </c>
      <c r="C437" s="2">
        <v>20742643</v>
      </c>
      <c r="D437">
        <f t="shared" si="6"/>
        <v>16.847702187554908</v>
      </c>
    </row>
    <row r="438" spans="1:4" x14ac:dyDescent="0.25">
      <c r="A438" t="s">
        <v>45</v>
      </c>
      <c r="B438" s="1" t="s">
        <v>20</v>
      </c>
      <c r="C438" s="2">
        <v>20543807</v>
      </c>
      <c r="D438">
        <f t="shared" si="6"/>
        <v>16.838070090957292</v>
      </c>
    </row>
    <row r="439" spans="1:4" x14ac:dyDescent="0.25">
      <c r="A439" t="s">
        <v>45</v>
      </c>
      <c r="B439" s="1" t="s">
        <v>21</v>
      </c>
      <c r="C439" s="2">
        <v>21433136</v>
      </c>
      <c r="D439">
        <f t="shared" si="6"/>
        <v>16.880448693654429</v>
      </c>
    </row>
    <row r="440" spans="1:4" x14ac:dyDescent="0.25">
      <c r="A440" t="s">
        <v>45</v>
      </c>
      <c r="B440" s="1" t="s">
        <v>22</v>
      </c>
      <c r="C440" s="2">
        <v>21257655</v>
      </c>
      <c r="D440">
        <f t="shared" si="6"/>
        <v>16.872227623759663</v>
      </c>
    </row>
    <row r="441" spans="1:4" x14ac:dyDescent="0.25">
      <c r="A441" t="s">
        <v>45</v>
      </c>
      <c r="B441" s="1" t="s">
        <v>23</v>
      </c>
      <c r="C441" s="2">
        <v>22116366</v>
      </c>
      <c r="D441">
        <f t="shared" si="6"/>
        <v>16.911828435407745</v>
      </c>
    </row>
    <row r="442" spans="1:4" x14ac:dyDescent="0.25">
      <c r="A442" t="s">
        <v>46</v>
      </c>
      <c r="B442" s="1" t="s">
        <v>4</v>
      </c>
      <c r="C442" s="2">
        <v>2471729</v>
      </c>
      <c r="D442">
        <f t="shared" si="6"/>
        <v>14.720428463718433</v>
      </c>
    </row>
    <row r="443" spans="1:4" x14ac:dyDescent="0.25">
      <c r="A443" t="s">
        <v>46</v>
      </c>
      <c r="B443" s="1" t="s">
        <v>5</v>
      </c>
      <c r="C443" s="2">
        <v>2460269</v>
      </c>
      <c r="D443">
        <f t="shared" si="6"/>
        <v>14.715781251523811</v>
      </c>
    </row>
    <row r="444" spans="1:4" x14ac:dyDescent="0.25">
      <c r="A444" t="s">
        <v>46</v>
      </c>
      <c r="B444" s="1" t="s">
        <v>6</v>
      </c>
      <c r="C444" s="2">
        <v>2352896</v>
      </c>
      <c r="D444">
        <f t="shared" si="6"/>
        <v>14.671157467837672</v>
      </c>
    </row>
    <row r="445" spans="1:4" x14ac:dyDescent="0.25">
      <c r="A445" t="s">
        <v>46</v>
      </c>
      <c r="B445" s="1" t="s">
        <v>7</v>
      </c>
      <c r="C445" s="2">
        <v>2534266</v>
      </c>
      <c r="D445">
        <f t="shared" si="6"/>
        <v>14.745414606729698</v>
      </c>
    </row>
    <row r="446" spans="1:4" x14ac:dyDescent="0.25">
      <c r="A446" t="s">
        <v>46</v>
      </c>
      <c r="B446" s="1" t="s">
        <v>8</v>
      </c>
      <c r="C446" s="2">
        <v>2351547</v>
      </c>
      <c r="D446">
        <f t="shared" si="6"/>
        <v>14.670583967409684</v>
      </c>
    </row>
    <row r="447" spans="1:4" x14ac:dyDescent="0.25">
      <c r="A447" t="s">
        <v>46</v>
      </c>
      <c r="B447" s="1" t="s">
        <v>9</v>
      </c>
      <c r="C447" s="2">
        <v>2420296</v>
      </c>
      <c r="D447">
        <f t="shared" si="6"/>
        <v>14.699400404702702</v>
      </c>
    </row>
    <row r="448" spans="1:4" x14ac:dyDescent="0.25">
      <c r="A448" t="s">
        <v>46</v>
      </c>
      <c r="B448" s="1" t="s">
        <v>10</v>
      </c>
      <c r="C448" s="2">
        <v>4522928</v>
      </c>
      <c r="D448">
        <f t="shared" si="6"/>
        <v>15.324670129695205</v>
      </c>
    </row>
    <row r="449" spans="1:4" x14ac:dyDescent="0.25">
      <c r="A449" t="s">
        <v>46</v>
      </c>
      <c r="B449" s="1" t="s">
        <v>11</v>
      </c>
      <c r="C449" s="2">
        <v>5108848</v>
      </c>
      <c r="D449">
        <f t="shared" si="6"/>
        <v>15.446484496451289</v>
      </c>
    </row>
    <row r="450" spans="1:4" x14ac:dyDescent="0.25">
      <c r="A450" t="s">
        <v>46</v>
      </c>
      <c r="B450" s="1" t="s">
        <v>12</v>
      </c>
      <c r="C450" s="2">
        <v>4838999</v>
      </c>
      <c r="D450">
        <f t="shared" si="6"/>
        <v>15.392218439121168</v>
      </c>
    </row>
    <row r="451" spans="1:4" x14ac:dyDescent="0.25">
      <c r="A451" t="s">
        <v>46</v>
      </c>
      <c r="B451" s="1" t="s">
        <v>13</v>
      </c>
      <c r="C451" s="2">
        <v>5020968</v>
      </c>
      <c r="D451">
        <f t="shared" ref="D451:D481" si="7">LN(C451)</f>
        <v>15.429133301764109</v>
      </c>
    </row>
    <row r="452" spans="1:4" x14ac:dyDescent="0.25">
      <c r="A452" t="s">
        <v>46</v>
      </c>
      <c r="B452" s="1" t="s">
        <v>14</v>
      </c>
      <c r="C452" s="2">
        <v>5316027</v>
      </c>
      <c r="D452">
        <f t="shared" si="7"/>
        <v>15.486236777809147</v>
      </c>
    </row>
    <row r="453" spans="1:4" x14ac:dyDescent="0.25">
      <c r="A453" t="s">
        <v>46</v>
      </c>
      <c r="B453" s="1" t="s">
        <v>15</v>
      </c>
      <c r="C453" s="2">
        <v>6275182</v>
      </c>
      <c r="D453">
        <f t="shared" si="7"/>
        <v>15.652113046545578</v>
      </c>
    </row>
    <row r="454" spans="1:4" x14ac:dyDescent="0.25">
      <c r="A454" t="s">
        <v>46</v>
      </c>
      <c r="B454" s="1" t="s">
        <v>16</v>
      </c>
      <c r="C454" s="2">
        <v>6466745</v>
      </c>
      <c r="D454">
        <f t="shared" si="7"/>
        <v>15.682183448694142</v>
      </c>
    </row>
    <row r="455" spans="1:4" x14ac:dyDescent="0.25">
      <c r="A455" t="s">
        <v>46</v>
      </c>
      <c r="B455" s="1" t="s">
        <v>17</v>
      </c>
      <c r="C455" s="2">
        <v>6802935</v>
      </c>
      <c r="D455">
        <f t="shared" si="7"/>
        <v>15.732864694673291</v>
      </c>
    </row>
    <row r="456" spans="1:4" x14ac:dyDescent="0.25">
      <c r="A456" t="s">
        <v>46</v>
      </c>
      <c r="B456" s="1" t="s">
        <v>18</v>
      </c>
      <c r="C456" s="2">
        <v>6752158</v>
      </c>
      <c r="D456">
        <f t="shared" si="7"/>
        <v>15.725372715458077</v>
      </c>
    </row>
    <row r="457" spans="1:4" x14ac:dyDescent="0.25">
      <c r="A457" t="s">
        <v>46</v>
      </c>
      <c r="B457" s="1" t="s">
        <v>19</v>
      </c>
      <c r="C457" s="2">
        <v>7721345</v>
      </c>
      <c r="D457">
        <f t="shared" si="7"/>
        <v>15.859499129623858</v>
      </c>
    </row>
    <row r="458" spans="1:4" x14ac:dyDescent="0.25">
      <c r="A458" t="s">
        <v>46</v>
      </c>
      <c r="B458" s="1" t="s">
        <v>20</v>
      </c>
      <c r="C458" s="2">
        <v>7081912</v>
      </c>
      <c r="D458">
        <f t="shared" si="7"/>
        <v>15.773054485708386</v>
      </c>
    </row>
    <row r="459" spans="1:4" x14ac:dyDescent="0.25">
      <c r="A459" t="s">
        <v>46</v>
      </c>
      <c r="B459" s="1" t="s">
        <v>21</v>
      </c>
      <c r="C459" s="2">
        <v>8510614</v>
      </c>
      <c r="D459">
        <f t="shared" si="7"/>
        <v>15.956824648358122</v>
      </c>
    </row>
    <row r="460" spans="1:4" x14ac:dyDescent="0.25">
      <c r="A460" t="s">
        <v>46</v>
      </c>
      <c r="B460" s="1" t="s">
        <v>22</v>
      </c>
      <c r="C460" s="2">
        <v>9449631</v>
      </c>
      <c r="D460">
        <f t="shared" si="7"/>
        <v>16.0614862510885</v>
      </c>
    </row>
    <row r="461" spans="1:4" x14ac:dyDescent="0.25">
      <c r="A461" t="s">
        <v>46</v>
      </c>
      <c r="B461" s="1" t="s">
        <v>23</v>
      </c>
      <c r="C461" s="8">
        <v>10183411</v>
      </c>
      <c r="D461">
        <f t="shared" si="7"/>
        <v>16.136270581725928</v>
      </c>
    </row>
    <row r="462" spans="1:4" x14ac:dyDescent="0.25">
      <c r="A462" t="s">
        <v>47</v>
      </c>
      <c r="B462" s="1" t="s">
        <v>4</v>
      </c>
      <c r="C462" s="2">
        <v>750122</v>
      </c>
      <c r="D462">
        <f t="shared" si="7"/>
        <v>13.527991138950371</v>
      </c>
    </row>
    <row r="463" spans="1:4" x14ac:dyDescent="0.25">
      <c r="A463" t="s">
        <v>47</v>
      </c>
      <c r="B463" s="1" t="s">
        <v>5</v>
      </c>
      <c r="C463" s="2">
        <v>758789</v>
      </c>
      <c r="D463">
        <f t="shared" si="7"/>
        <v>13.539479020364382</v>
      </c>
    </row>
    <row r="464" spans="1:4" x14ac:dyDescent="0.25">
      <c r="A464" t="s">
        <v>47</v>
      </c>
      <c r="B464" s="1" t="s">
        <v>6</v>
      </c>
      <c r="C464" s="2">
        <v>733303</v>
      </c>
      <c r="D464">
        <f t="shared" si="7"/>
        <v>13.505314265168572</v>
      </c>
    </row>
    <row r="465" spans="1:4" x14ac:dyDescent="0.25">
      <c r="A465" t="s">
        <v>47</v>
      </c>
      <c r="B465" s="1" t="s">
        <v>7</v>
      </c>
      <c r="C465" s="2">
        <v>664673</v>
      </c>
      <c r="D465">
        <f t="shared" si="7"/>
        <v>13.407050469376172</v>
      </c>
    </row>
    <row r="466" spans="1:4" x14ac:dyDescent="0.25">
      <c r="A466" t="s">
        <v>47</v>
      </c>
      <c r="B466" s="1" t="s">
        <v>8</v>
      </c>
      <c r="C466" s="2">
        <v>678937</v>
      </c>
      <c r="D466">
        <f t="shared" si="7"/>
        <v>13.428283618731022</v>
      </c>
    </row>
    <row r="467" spans="1:4" x14ac:dyDescent="0.25">
      <c r="A467" t="s">
        <v>47</v>
      </c>
      <c r="B467" s="1" t="s">
        <v>9</v>
      </c>
      <c r="C467" s="2">
        <v>694121</v>
      </c>
      <c r="D467">
        <f t="shared" si="7"/>
        <v>13.450401575876485</v>
      </c>
    </row>
    <row r="468" spans="1:4" x14ac:dyDescent="0.25">
      <c r="A468" t="s">
        <v>47</v>
      </c>
      <c r="B468" s="1" t="s">
        <v>10</v>
      </c>
      <c r="C468" s="2">
        <v>718949</v>
      </c>
      <c r="D468">
        <f t="shared" si="7"/>
        <v>13.48554570233761</v>
      </c>
    </row>
    <row r="469" spans="1:4" x14ac:dyDescent="0.25">
      <c r="A469" t="s">
        <v>47</v>
      </c>
      <c r="B469" s="1" t="s">
        <v>11</v>
      </c>
      <c r="C469" s="2">
        <v>1321057</v>
      </c>
      <c r="D469">
        <f t="shared" si="7"/>
        <v>14.093942731703013</v>
      </c>
    </row>
    <row r="470" spans="1:4" x14ac:dyDescent="0.25">
      <c r="A470" t="s">
        <v>47</v>
      </c>
      <c r="B470" s="1" t="s">
        <v>12</v>
      </c>
      <c r="C470" s="2">
        <v>1212735</v>
      </c>
      <c r="D470">
        <f t="shared" si="7"/>
        <v>14.008388697447174</v>
      </c>
    </row>
    <row r="471" spans="1:4" x14ac:dyDescent="0.25">
      <c r="A471" t="s">
        <v>47</v>
      </c>
      <c r="B471" s="1" t="s">
        <v>13</v>
      </c>
      <c r="C471" s="2">
        <v>1706564</v>
      </c>
      <c r="D471">
        <f t="shared" si="7"/>
        <v>14.349992550288121</v>
      </c>
    </row>
    <row r="472" spans="1:4" x14ac:dyDescent="0.25">
      <c r="A472" t="s">
        <v>47</v>
      </c>
      <c r="B472" s="1" t="s">
        <v>14</v>
      </c>
      <c r="C472" s="2">
        <v>1727087</v>
      </c>
      <c r="D472">
        <f t="shared" si="7"/>
        <v>14.361946732235186</v>
      </c>
    </row>
    <row r="473" spans="1:4" x14ac:dyDescent="0.25">
      <c r="A473" t="s">
        <v>47</v>
      </c>
      <c r="B473" s="1" t="s">
        <v>15</v>
      </c>
      <c r="C473" s="2">
        <v>2179873</v>
      </c>
      <c r="D473">
        <f t="shared" si="7"/>
        <v>14.59477717618754</v>
      </c>
    </row>
    <row r="474" spans="1:4" x14ac:dyDescent="0.25">
      <c r="A474" t="s">
        <v>47</v>
      </c>
      <c r="B474" s="1" t="s">
        <v>16</v>
      </c>
      <c r="C474" s="2">
        <v>9243671</v>
      </c>
      <c r="D474">
        <f t="shared" si="7"/>
        <v>16.039449659089648</v>
      </c>
    </row>
    <row r="475" spans="1:4" x14ac:dyDescent="0.25">
      <c r="A475" t="s">
        <v>47</v>
      </c>
      <c r="B475" s="1" t="s">
        <v>17</v>
      </c>
      <c r="C475" s="2">
        <v>10093317</v>
      </c>
      <c r="D475">
        <f t="shared" si="7"/>
        <v>16.127384079634247</v>
      </c>
    </row>
    <row r="476" spans="1:4" x14ac:dyDescent="0.25">
      <c r="A476" t="s">
        <v>47</v>
      </c>
      <c r="B476" s="1" t="s">
        <v>18</v>
      </c>
      <c r="C476" s="2">
        <v>10978255</v>
      </c>
      <c r="D476">
        <f t="shared" si="7"/>
        <v>16.21142705609693</v>
      </c>
    </row>
    <row r="477" spans="1:4" x14ac:dyDescent="0.25">
      <c r="A477" t="s">
        <v>47</v>
      </c>
      <c r="B477" s="1" t="s">
        <v>19</v>
      </c>
      <c r="C477" s="2">
        <v>12312422</v>
      </c>
      <c r="D477">
        <f t="shared" si="7"/>
        <v>16.326119229417035</v>
      </c>
    </row>
    <row r="478" spans="1:4" x14ac:dyDescent="0.25">
      <c r="A478" t="s">
        <v>47</v>
      </c>
      <c r="B478" s="1" t="s">
        <v>20</v>
      </c>
      <c r="C478" s="2">
        <v>12825240</v>
      </c>
      <c r="D478">
        <f t="shared" si="7"/>
        <v>16.366925662296307</v>
      </c>
    </row>
    <row r="479" spans="1:4" x14ac:dyDescent="0.25">
      <c r="A479" t="s">
        <v>47</v>
      </c>
      <c r="B479" s="1" t="s">
        <v>21</v>
      </c>
      <c r="C479" s="2">
        <v>14611943</v>
      </c>
      <c r="D479">
        <f t="shared" si="7"/>
        <v>16.497349765986336</v>
      </c>
    </row>
    <row r="480" spans="1:4" x14ac:dyDescent="0.25">
      <c r="A480" t="s">
        <v>47</v>
      </c>
      <c r="B480" s="1" t="s">
        <v>22</v>
      </c>
      <c r="C480" s="2">
        <v>15823104</v>
      </c>
      <c r="D480">
        <f t="shared" si="7"/>
        <v>16.576981708390132</v>
      </c>
    </row>
    <row r="481" spans="1:4" x14ac:dyDescent="0.25">
      <c r="A481" t="s">
        <v>47</v>
      </c>
      <c r="B481" s="1" t="s">
        <v>23</v>
      </c>
      <c r="C481" s="8">
        <v>16965295</v>
      </c>
      <c r="D481">
        <f t="shared" si="7"/>
        <v>16.646680344790813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F5CF-80B0-48FC-80CD-81E99D3C951D}">
  <dimension ref="A1:C842"/>
  <sheetViews>
    <sheetView workbookViewId="0">
      <selection activeCell="D2" sqref="D2"/>
    </sheetView>
  </sheetViews>
  <sheetFormatPr defaultRowHeight="15" x14ac:dyDescent="0.25"/>
  <cols>
    <col min="1" max="1" width="41.5703125" customWidth="1"/>
    <col min="3" max="3" width="19.85546875" style="16" customWidth="1"/>
    <col min="4" max="4" width="18.5703125" customWidth="1"/>
  </cols>
  <sheetData>
    <row r="1" spans="1:3" x14ac:dyDescent="0.25">
      <c r="A1" s="4" t="s">
        <v>0</v>
      </c>
      <c r="B1" s="4" t="s">
        <v>1</v>
      </c>
      <c r="C1" s="4" t="s">
        <v>100</v>
      </c>
    </row>
    <row r="2" spans="1:3" x14ac:dyDescent="0.25">
      <c r="A2" t="s">
        <v>59</v>
      </c>
      <c r="B2" s="1" t="s">
        <v>4</v>
      </c>
      <c r="C2" s="2">
        <v>1064732202</v>
      </c>
    </row>
    <row r="3" spans="1:3" x14ac:dyDescent="0.25">
      <c r="A3" t="s">
        <v>59</v>
      </c>
      <c r="B3" s="1" t="s">
        <v>5</v>
      </c>
      <c r="C3" s="2">
        <v>1097368442</v>
      </c>
    </row>
    <row r="4" spans="1:3" x14ac:dyDescent="0.25">
      <c r="A4" t="s">
        <v>59</v>
      </c>
      <c r="B4" s="1" t="s">
        <v>6</v>
      </c>
      <c r="C4" s="2">
        <v>1125400727</v>
      </c>
    </row>
    <row r="5" spans="1:3" x14ac:dyDescent="0.25">
      <c r="A5" t="s">
        <v>59</v>
      </c>
      <c r="B5" s="1" t="s">
        <v>7</v>
      </c>
      <c r="C5" s="2">
        <v>1234200039</v>
      </c>
    </row>
    <row r="6" spans="1:3" x14ac:dyDescent="0.25">
      <c r="A6" t="s">
        <v>59</v>
      </c>
      <c r="B6" s="1" t="s">
        <v>8</v>
      </c>
      <c r="C6" s="2">
        <v>1216323558</v>
      </c>
    </row>
    <row r="7" spans="1:3" x14ac:dyDescent="0.25">
      <c r="A7" t="s">
        <v>59</v>
      </c>
      <c r="B7" s="1" t="s">
        <v>9</v>
      </c>
      <c r="C7" s="2">
        <v>1224398243</v>
      </c>
    </row>
    <row r="8" spans="1:3" x14ac:dyDescent="0.25">
      <c r="A8" t="s">
        <v>59</v>
      </c>
      <c r="B8" s="1" t="s">
        <v>10</v>
      </c>
      <c r="C8" s="2">
        <v>1238657773</v>
      </c>
    </row>
    <row r="9" spans="1:3" x14ac:dyDescent="0.25">
      <c r="A9" t="s">
        <v>59</v>
      </c>
      <c r="B9" s="1" t="s">
        <v>11</v>
      </c>
      <c r="C9" s="2">
        <v>1343077860</v>
      </c>
    </row>
    <row r="10" spans="1:3" x14ac:dyDescent="0.25">
      <c r="A10" t="s">
        <v>59</v>
      </c>
      <c r="B10" s="1" t="s">
        <v>12</v>
      </c>
      <c r="C10" s="2">
        <v>1287093817</v>
      </c>
    </row>
    <row r="11" spans="1:3" x14ac:dyDescent="0.25">
      <c r="A11" t="s">
        <v>59</v>
      </c>
      <c r="B11" s="1" t="s">
        <v>13</v>
      </c>
      <c r="C11" s="2">
        <v>1309320867</v>
      </c>
    </row>
    <row r="12" spans="1:3" x14ac:dyDescent="0.25">
      <c r="A12" t="s">
        <v>59</v>
      </c>
      <c r="B12" s="1" t="s">
        <v>14</v>
      </c>
      <c r="C12" s="2">
        <v>1359555560</v>
      </c>
    </row>
    <row r="13" spans="1:3" x14ac:dyDescent="0.25">
      <c r="A13" t="s">
        <v>59</v>
      </c>
      <c r="B13" s="1" t="s">
        <v>15</v>
      </c>
      <c r="C13" s="2">
        <v>1421785007</v>
      </c>
    </row>
    <row r="14" spans="1:3" x14ac:dyDescent="0.25">
      <c r="A14" t="s">
        <v>59</v>
      </c>
      <c r="B14" s="1" t="s">
        <v>16</v>
      </c>
      <c r="C14" s="2">
        <v>1374381233</v>
      </c>
    </row>
    <row r="15" spans="1:3" x14ac:dyDescent="0.25">
      <c r="A15" t="s">
        <v>59</v>
      </c>
      <c r="B15" s="1" t="s">
        <v>17</v>
      </c>
      <c r="C15" s="2">
        <v>1411625034</v>
      </c>
    </row>
    <row r="16" spans="1:3" x14ac:dyDescent="0.25">
      <c r="A16" t="s">
        <v>59</v>
      </c>
      <c r="B16" s="1" t="s">
        <v>18</v>
      </c>
      <c r="C16" s="2">
        <v>1538515953</v>
      </c>
    </row>
    <row r="17" spans="1:3" x14ac:dyDescent="0.25">
      <c r="A17" t="s">
        <v>59</v>
      </c>
      <c r="B17" s="1" t="s">
        <v>19</v>
      </c>
      <c r="C17" s="2">
        <v>1572761035</v>
      </c>
    </row>
    <row r="18" spans="1:3" x14ac:dyDescent="0.25">
      <c r="A18" t="s">
        <v>59</v>
      </c>
      <c r="B18" s="1" t="s">
        <v>20</v>
      </c>
      <c r="C18" s="7">
        <v>1540856138</v>
      </c>
    </row>
    <row r="19" spans="1:3" x14ac:dyDescent="0.25">
      <c r="A19" t="s">
        <v>59</v>
      </c>
      <c r="B19" s="1" t="s">
        <v>21</v>
      </c>
      <c r="C19" s="7">
        <v>1542793400</v>
      </c>
    </row>
    <row r="20" spans="1:3" x14ac:dyDescent="0.25">
      <c r="A20" t="s">
        <v>59</v>
      </c>
      <c r="B20" s="1" t="s">
        <v>22</v>
      </c>
      <c r="C20" s="7">
        <v>1575760325</v>
      </c>
    </row>
    <row r="21" spans="1:3" x14ac:dyDescent="0.25">
      <c r="A21" t="s">
        <v>59</v>
      </c>
      <c r="B21" s="1" t="s">
        <v>23</v>
      </c>
      <c r="C21" s="8">
        <v>1750994673</v>
      </c>
    </row>
    <row r="22" spans="1:3" x14ac:dyDescent="0.25">
      <c r="A22" t="s">
        <v>63</v>
      </c>
      <c r="B22" s="1" t="s">
        <v>4</v>
      </c>
      <c r="C22" s="2">
        <v>945619317</v>
      </c>
    </row>
    <row r="23" spans="1:3" x14ac:dyDescent="0.25">
      <c r="A23" t="s">
        <v>63</v>
      </c>
      <c r="B23" s="1" t="s">
        <v>5</v>
      </c>
      <c r="C23" s="2">
        <v>1003464780</v>
      </c>
    </row>
    <row r="24" spans="1:3" x14ac:dyDescent="0.25">
      <c r="A24" t="s">
        <v>63</v>
      </c>
      <c r="B24" s="1" t="s">
        <v>6</v>
      </c>
      <c r="C24" s="2">
        <v>1017323850</v>
      </c>
    </row>
    <row r="25" spans="1:3" x14ac:dyDescent="0.25">
      <c r="A25" t="s">
        <v>63</v>
      </c>
      <c r="B25" s="1" t="s">
        <v>7</v>
      </c>
      <c r="C25" s="2">
        <v>1037077806</v>
      </c>
    </row>
    <row r="26" spans="1:3" x14ac:dyDescent="0.25">
      <c r="A26" t="s">
        <v>63</v>
      </c>
      <c r="B26" s="1" t="s">
        <v>8</v>
      </c>
      <c r="C26" s="2">
        <v>1035916523</v>
      </c>
    </row>
    <row r="27" spans="1:3" x14ac:dyDescent="0.25">
      <c r="A27" t="s">
        <v>63</v>
      </c>
      <c r="B27" s="1" t="s">
        <v>9</v>
      </c>
      <c r="C27" s="2">
        <v>1058351022</v>
      </c>
    </row>
    <row r="28" spans="1:3" x14ac:dyDescent="0.25">
      <c r="A28" t="s">
        <v>63</v>
      </c>
      <c r="B28" s="1" t="s">
        <v>10</v>
      </c>
      <c r="C28" s="2">
        <v>1097658366</v>
      </c>
    </row>
    <row r="29" spans="1:3" x14ac:dyDescent="0.25">
      <c r="A29" t="s">
        <v>63</v>
      </c>
      <c r="B29" s="1" t="s">
        <v>11</v>
      </c>
      <c r="C29" s="7">
        <v>1128683875</v>
      </c>
    </row>
    <row r="30" spans="1:3" x14ac:dyDescent="0.25">
      <c r="A30" t="s">
        <v>63</v>
      </c>
      <c r="B30" s="1" t="s">
        <v>12</v>
      </c>
      <c r="C30" s="9">
        <v>1130707835</v>
      </c>
    </row>
    <row r="31" spans="1:3" x14ac:dyDescent="0.25">
      <c r="A31" t="s">
        <v>63</v>
      </c>
      <c r="B31" s="1" t="s">
        <v>13</v>
      </c>
      <c r="C31" s="9">
        <v>1168344738</v>
      </c>
    </row>
    <row r="32" spans="1:3" x14ac:dyDescent="0.25">
      <c r="A32" t="s">
        <v>63</v>
      </c>
      <c r="B32" s="1" t="s">
        <v>14</v>
      </c>
      <c r="C32" s="9">
        <v>1205616993</v>
      </c>
    </row>
    <row r="33" spans="1:3" x14ac:dyDescent="0.25">
      <c r="A33" t="s">
        <v>63</v>
      </c>
      <c r="B33" s="1" t="s">
        <v>15</v>
      </c>
      <c r="C33" s="9">
        <v>1209045441</v>
      </c>
    </row>
    <row r="34" spans="1:3" x14ac:dyDescent="0.25">
      <c r="A34" t="s">
        <v>63</v>
      </c>
      <c r="B34" s="1" t="s">
        <v>16</v>
      </c>
      <c r="C34" s="9">
        <v>1253404334</v>
      </c>
    </row>
    <row r="35" spans="1:3" x14ac:dyDescent="0.25">
      <c r="A35" t="s">
        <v>63</v>
      </c>
      <c r="B35" s="1" t="s">
        <v>17</v>
      </c>
      <c r="C35" s="9">
        <v>1237027618</v>
      </c>
    </row>
    <row r="36" spans="1:3" x14ac:dyDescent="0.25">
      <c r="A36" t="s">
        <v>63</v>
      </c>
      <c r="B36" s="1" t="s">
        <v>18</v>
      </c>
      <c r="C36" s="9">
        <v>1283320346</v>
      </c>
    </row>
    <row r="37" spans="1:3" x14ac:dyDescent="0.25">
      <c r="A37" t="s">
        <v>63</v>
      </c>
      <c r="B37" s="1" t="s">
        <v>19</v>
      </c>
      <c r="C37" s="9">
        <v>1355555571</v>
      </c>
    </row>
    <row r="38" spans="1:3" x14ac:dyDescent="0.25">
      <c r="A38" t="s">
        <v>63</v>
      </c>
      <c r="B38" s="1" t="s">
        <v>20</v>
      </c>
      <c r="C38" s="7">
        <v>1352850895</v>
      </c>
    </row>
    <row r="39" spans="1:3" x14ac:dyDescent="0.25">
      <c r="A39" t="s">
        <v>63</v>
      </c>
      <c r="B39" s="1" t="s">
        <v>21</v>
      </c>
      <c r="C39" s="7">
        <v>1393396403</v>
      </c>
    </row>
    <row r="40" spans="1:3" x14ac:dyDescent="0.25">
      <c r="A40" t="s">
        <v>63</v>
      </c>
      <c r="B40" s="1" t="s">
        <v>22</v>
      </c>
      <c r="C40" s="7">
        <v>1443000499</v>
      </c>
    </row>
    <row r="41" spans="1:3" x14ac:dyDescent="0.25">
      <c r="A41" t="s">
        <v>63</v>
      </c>
      <c r="B41" s="1" t="s">
        <v>23</v>
      </c>
      <c r="C41" s="7">
        <v>1570332063</v>
      </c>
    </row>
    <row r="42" spans="1:3" x14ac:dyDescent="0.25">
      <c r="A42" t="s">
        <v>64</v>
      </c>
      <c r="B42" s="1" t="s">
        <v>4</v>
      </c>
      <c r="C42" s="9">
        <v>648574305</v>
      </c>
    </row>
    <row r="43" spans="1:3" x14ac:dyDescent="0.25">
      <c r="A43" t="s">
        <v>64</v>
      </c>
      <c r="B43" s="1" t="s">
        <v>5</v>
      </c>
      <c r="C43" s="9">
        <v>684155458</v>
      </c>
    </row>
    <row r="44" spans="1:3" x14ac:dyDescent="0.25">
      <c r="A44" t="s">
        <v>64</v>
      </c>
      <c r="B44" s="1" t="s">
        <v>6</v>
      </c>
      <c r="C44" s="9">
        <v>712213488</v>
      </c>
    </row>
    <row r="45" spans="1:3" x14ac:dyDescent="0.25">
      <c r="A45" t="s">
        <v>64</v>
      </c>
      <c r="B45" s="1" t="s">
        <v>7</v>
      </c>
      <c r="C45" s="9">
        <v>754575210</v>
      </c>
    </row>
    <row r="46" spans="1:3" x14ac:dyDescent="0.25">
      <c r="A46" t="s">
        <v>64</v>
      </c>
      <c r="B46" s="1" t="s">
        <v>8</v>
      </c>
      <c r="C46" s="9">
        <v>744421643</v>
      </c>
    </row>
    <row r="47" spans="1:3" x14ac:dyDescent="0.25">
      <c r="A47" t="s">
        <v>64</v>
      </c>
      <c r="B47" s="1" t="s">
        <v>9</v>
      </c>
      <c r="C47" s="9">
        <v>786007093</v>
      </c>
    </row>
    <row r="48" spans="1:3" x14ac:dyDescent="0.25">
      <c r="A48" t="s">
        <v>64</v>
      </c>
      <c r="B48" s="1" t="s">
        <v>10</v>
      </c>
      <c r="C48" s="9">
        <v>756755688</v>
      </c>
    </row>
    <row r="49" spans="1:3" x14ac:dyDescent="0.25">
      <c r="A49" t="s">
        <v>64</v>
      </c>
      <c r="B49" s="1" t="s">
        <v>11</v>
      </c>
      <c r="C49" s="9">
        <v>780237387</v>
      </c>
    </row>
    <row r="50" spans="1:3" x14ac:dyDescent="0.25">
      <c r="A50" t="s">
        <v>64</v>
      </c>
      <c r="B50" s="1" t="s">
        <v>12</v>
      </c>
      <c r="C50" s="9">
        <v>803279408</v>
      </c>
    </row>
    <row r="51" spans="1:3" x14ac:dyDescent="0.25">
      <c r="A51" t="s">
        <v>64</v>
      </c>
      <c r="B51" s="1" t="s">
        <v>13</v>
      </c>
      <c r="C51" s="9">
        <v>813301436</v>
      </c>
    </row>
    <row r="52" spans="1:3" x14ac:dyDescent="0.25">
      <c r="A52" t="s">
        <v>64</v>
      </c>
      <c r="B52" s="1" t="s">
        <v>14</v>
      </c>
      <c r="C52" s="9">
        <v>847579548</v>
      </c>
    </row>
    <row r="53" spans="1:3" x14ac:dyDescent="0.25">
      <c r="A53" t="s">
        <v>64</v>
      </c>
      <c r="B53" s="1" t="s">
        <v>15</v>
      </c>
      <c r="C53" s="9">
        <v>818227668</v>
      </c>
    </row>
    <row r="54" spans="1:3" x14ac:dyDescent="0.25">
      <c r="A54" t="s">
        <v>64</v>
      </c>
      <c r="B54" s="1" t="s">
        <v>16</v>
      </c>
      <c r="C54" s="9">
        <v>840240592</v>
      </c>
    </row>
    <row r="55" spans="1:3" x14ac:dyDescent="0.25">
      <c r="A55" t="s">
        <v>64</v>
      </c>
      <c r="B55" s="1" t="s">
        <v>17</v>
      </c>
      <c r="C55" s="9">
        <v>852497109</v>
      </c>
    </row>
    <row r="56" spans="1:3" x14ac:dyDescent="0.25">
      <c r="A56" t="s">
        <v>64</v>
      </c>
      <c r="B56" s="1" t="s">
        <v>18</v>
      </c>
      <c r="C56" s="9">
        <v>894893400</v>
      </c>
    </row>
    <row r="57" spans="1:3" x14ac:dyDescent="0.25">
      <c r="A57" t="s">
        <v>64</v>
      </c>
      <c r="B57" s="1" t="s">
        <v>19</v>
      </c>
      <c r="C57" s="9">
        <v>941211128</v>
      </c>
    </row>
    <row r="58" spans="1:3" x14ac:dyDescent="0.25">
      <c r="A58" t="s">
        <v>64</v>
      </c>
      <c r="B58" s="1" t="s">
        <v>20</v>
      </c>
      <c r="C58" s="7">
        <v>908458601</v>
      </c>
    </row>
    <row r="59" spans="1:3" x14ac:dyDescent="0.25">
      <c r="A59" t="s">
        <v>64</v>
      </c>
      <c r="B59" s="1" t="s">
        <v>21</v>
      </c>
      <c r="C59" s="7">
        <v>912767267</v>
      </c>
    </row>
    <row r="60" spans="1:3" x14ac:dyDescent="0.25">
      <c r="A60" t="s">
        <v>64</v>
      </c>
      <c r="B60" s="1" t="s">
        <v>22</v>
      </c>
      <c r="C60" s="7">
        <v>909638667</v>
      </c>
    </row>
    <row r="61" spans="1:3" x14ac:dyDescent="0.25">
      <c r="A61" t="s">
        <v>64</v>
      </c>
      <c r="B61" s="1" t="s">
        <v>23</v>
      </c>
      <c r="C61" s="7">
        <v>997556847</v>
      </c>
    </row>
    <row r="62" spans="1:3" x14ac:dyDescent="0.25">
      <c r="A62" t="s">
        <v>65</v>
      </c>
      <c r="B62" s="1" t="s">
        <v>4</v>
      </c>
      <c r="C62" s="2">
        <v>258738696</v>
      </c>
    </row>
    <row r="63" spans="1:3" x14ac:dyDescent="0.25">
      <c r="A63" t="s">
        <v>65</v>
      </c>
      <c r="B63" s="1" t="s">
        <v>5</v>
      </c>
      <c r="C63" s="2">
        <v>268044394</v>
      </c>
    </row>
    <row r="64" spans="1:3" x14ac:dyDescent="0.25">
      <c r="A64" t="s">
        <v>65</v>
      </c>
      <c r="B64" s="1" t="s">
        <v>6</v>
      </c>
      <c r="C64" s="2">
        <v>272304662</v>
      </c>
    </row>
    <row r="65" spans="1:3" x14ac:dyDescent="0.25">
      <c r="A65" t="s">
        <v>65</v>
      </c>
      <c r="B65" s="1" t="s">
        <v>7</v>
      </c>
      <c r="C65" s="2">
        <v>306436194</v>
      </c>
    </row>
    <row r="66" spans="1:3" x14ac:dyDescent="0.25">
      <c r="A66" t="s">
        <v>65</v>
      </c>
      <c r="B66" s="1" t="s">
        <v>8</v>
      </c>
      <c r="C66" s="2">
        <v>301346488</v>
      </c>
    </row>
    <row r="67" spans="1:3" x14ac:dyDescent="0.25">
      <c r="A67" t="s">
        <v>65</v>
      </c>
      <c r="B67" s="1" t="s">
        <v>9</v>
      </c>
      <c r="C67" s="2">
        <v>312474892</v>
      </c>
    </row>
    <row r="68" spans="1:3" x14ac:dyDescent="0.25">
      <c r="A68" t="s">
        <v>65</v>
      </c>
      <c r="B68" s="1" t="s">
        <v>10</v>
      </c>
      <c r="C68" s="2">
        <v>316211345</v>
      </c>
    </row>
    <row r="69" spans="1:3" x14ac:dyDescent="0.25">
      <c r="A69" t="s">
        <v>65</v>
      </c>
      <c r="B69" s="1" t="s">
        <v>11</v>
      </c>
      <c r="C69" s="2">
        <v>311776828</v>
      </c>
    </row>
    <row r="70" spans="1:3" x14ac:dyDescent="0.25">
      <c r="A70" t="s">
        <v>65</v>
      </c>
      <c r="B70" s="1" t="s">
        <v>12</v>
      </c>
      <c r="C70" s="2">
        <v>308186680</v>
      </c>
    </row>
    <row r="71" spans="1:3" x14ac:dyDescent="0.25">
      <c r="A71" t="s">
        <v>65</v>
      </c>
      <c r="B71" s="1" t="s">
        <v>13</v>
      </c>
      <c r="C71" s="2">
        <v>314602871</v>
      </c>
    </row>
    <row r="72" spans="1:3" x14ac:dyDescent="0.25">
      <c r="A72" t="s">
        <v>65</v>
      </c>
      <c r="B72" s="1" t="s">
        <v>14</v>
      </c>
      <c r="C72" s="2">
        <v>356974307</v>
      </c>
    </row>
    <row r="73" spans="1:3" x14ac:dyDescent="0.25">
      <c r="A73" t="s">
        <v>65</v>
      </c>
      <c r="B73" s="1" t="s">
        <v>15</v>
      </c>
      <c r="C73" s="2">
        <v>361208406</v>
      </c>
    </row>
    <row r="74" spans="1:3" x14ac:dyDescent="0.25">
      <c r="A74" t="s">
        <v>65</v>
      </c>
      <c r="B74" s="1" t="s">
        <v>16</v>
      </c>
      <c r="C74" s="2">
        <v>375729831</v>
      </c>
    </row>
    <row r="75" spans="1:3" x14ac:dyDescent="0.25">
      <c r="A75" t="s">
        <v>65</v>
      </c>
      <c r="B75" s="1" t="s">
        <v>17</v>
      </c>
      <c r="C75" s="2">
        <v>380513594</v>
      </c>
    </row>
    <row r="76" spans="1:3" x14ac:dyDescent="0.25">
      <c r="A76" t="s">
        <v>65</v>
      </c>
      <c r="B76" s="1" t="s">
        <v>18</v>
      </c>
      <c r="C76" s="2">
        <v>368055555</v>
      </c>
    </row>
    <row r="77" spans="1:3" x14ac:dyDescent="0.25">
      <c r="A77" t="s">
        <v>65</v>
      </c>
      <c r="B77" s="1" t="s">
        <v>19</v>
      </c>
      <c r="C77" s="2">
        <v>371868311</v>
      </c>
    </row>
    <row r="78" spans="1:3" x14ac:dyDescent="0.25">
      <c r="A78" t="s">
        <v>65</v>
      </c>
      <c r="B78" s="1" t="s">
        <v>20</v>
      </c>
      <c r="C78" s="7">
        <v>367515728</v>
      </c>
    </row>
    <row r="79" spans="1:3" x14ac:dyDescent="0.25">
      <c r="A79" t="s">
        <v>65</v>
      </c>
      <c r="B79" s="1" t="s">
        <v>21</v>
      </c>
      <c r="C79" s="7">
        <v>381741249</v>
      </c>
    </row>
    <row r="80" spans="1:3" x14ac:dyDescent="0.25">
      <c r="A80" t="s">
        <v>65</v>
      </c>
      <c r="B80" s="1" t="s">
        <v>22</v>
      </c>
      <c r="C80" s="7">
        <v>389291838</v>
      </c>
    </row>
    <row r="81" spans="1:3" x14ac:dyDescent="0.25">
      <c r="A81" t="s">
        <v>65</v>
      </c>
      <c r="B81" s="1" t="s">
        <v>23</v>
      </c>
      <c r="C81" s="7">
        <v>402148312</v>
      </c>
    </row>
    <row r="82" spans="1:3" x14ac:dyDescent="0.25">
      <c r="A82" t="s">
        <v>66</v>
      </c>
      <c r="B82" s="1" t="s">
        <v>4</v>
      </c>
      <c r="C82" s="2">
        <v>153791192</v>
      </c>
    </row>
    <row r="83" spans="1:3" x14ac:dyDescent="0.25">
      <c r="A83" t="s">
        <v>66</v>
      </c>
      <c r="B83" s="1" t="s">
        <v>5</v>
      </c>
      <c r="C83" s="2">
        <v>156735873</v>
      </c>
    </row>
    <row r="84" spans="1:3" x14ac:dyDescent="0.25">
      <c r="A84" t="s">
        <v>66</v>
      </c>
      <c r="B84" s="1" t="s">
        <v>6</v>
      </c>
      <c r="C84" s="2">
        <v>152261989</v>
      </c>
    </row>
    <row r="85" spans="1:3" x14ac:dyDescent="0.25">
      <c r="A85" t="s">
        <v>66</v>
      </c>
      <c r="B85" s="1" t="s">
        <v>7</v>
      </c>
      <c r="C85" s="2">
        <v>159589094</v>
      </c>
    </row>
    <row r="86" spans="1:3" x14ac:dyDescent="0.25">
      <c r="A86" t="s">
        <v>66</v>
      </c>
      <c r="B86" s="1" t="s">
        <v>8</v>
      </c>
      <c r="C86" s="2">
        <v>161798243</v>
      </c>
    </row>
    <row r="87" spans="1:3" x14ac:dyDescent="0.25">
      <c r="A87" t="s">
        <v>66</v>
      </c>
      <c r="B87" s="1" t="s">
        <v>9</v>
      </c>
      <c r="C87" s="2">
        <v>170496970</v>
      </c>
    </row>
    <row r="88" spans="1:3" x14ac:dyDescent="0.25">
      <c r="A88" t="s">
        <v>66</v>
      </c>
      <c r="B88" s="1" t="s">
        <v>10</v>
      </c>
      <c r="C88" s="9">
        <v>168247629</v>
      </c>
    </row>
    <row r="89" spans="1:3" x14ac:dyDescent="0.25">
      <c r="A89" t="s">
        <v>66</v>
      </c>
      <c r="B89" s="1" t="s">
        <v>11</v>
      </c>
      <c r="C89" s="9">
        <v>169980944</v>
      </c>
    </row>
    <row r="90" spans="1:3" x14ac:dyDescent="0.25">
      <c r="A90" t="s">
        <v>66</v>
      </c>
      <c r="B90" s="1" t="s">
        <v>12</v>
      </c>
      <c r="C90" s="9">
        <v>178363942</v>
      </c>
    </row>
    <row r="91" spans="1:3" x14ac:dyDescent="0.25">
      <c r="A91" t="s">
        <v>66</v>
      </c>
      <c r="B91" s="1" t="s">
        <v>13</v>
      </c>
      <c r="C91" s="9">
        <v>172795629</v>
      </c>
    </row>
    <row r="92" spans="1:3" x14ac:dyDescent="0.25">
      <c r="A92" t="s">
        <v>66</v>
      </c>
      <c r="B92" s="1" t="s">
        <v>14</v>
      </c>
      <c r="C92" s="9">
        <v>175817715</v>
      </c>
    </row>
    <row r="93" spans="1:3" x14ac:dyDescent="0.25">
      <c r="A93" t="s">
        <v>66</v>
      </c>
      <c r="B93" s="1" t="s">
        <v>15</v>
      </c>
      <c r="C93" s="9">
        <v>181187809</v>
      </c>
    </row>
    <row r="94" spans="1:3" x14ac:dyDescent="0.25">
      <c r="A94" t="s">
        <v>66</v>
      </c>
      <c r="B94" s="1" t="s">
        <v>16</v>
      </c>
      <c r="C94" s="9">
        <v>177288921</v>
      </c>
    </row>
    <row r="95" spans="1:3" x14ac:dyDescent="0.25">
      <c r="A95" t="s">
        <v>66</v>
      </c>
      <c r="B95" s="1" t="s">
        <v>17</v>
      </c>
      <c r="C95" s="9">
        <v>178045762</v>
      </c>
    </row>
    <row r="96" spans="1:3" x14ac:dyDescent="0.25">
      <c r="A96" t="s">
        <v>66</v>
      </c>
      <c r="B96" s="1" t="s">
        <v>18</v>
      </c>
      <c r="C96" s="9">
        <v>173903301</v>
      </c>
    </row>
    <row r="97" spans="1:3" x14ac:dyDescent="0.25">
      <c r="A97" t="s">
        <v>66</v>
      </c>
      <c r="B97" s="1" t="s">
        <v>19</v>
      </c>
      <c r="C97" s="7">
        <v>178695480</v>
      </c>
    </row>
    <row r="98" spans="1:3" x14ac:dyDescent="0.25">
      <c r="A98" t="s">
        <v>66</v>
      </c>
      <c r="B98" s="1" t="s">
        <v>20</v>
      </c>
      <c r="C98" s="9">
        <v>181957679</v>
      </c>
    </row>
    <row r="99" spans="1:3" x14ac:dyDescent="0.25">
      <c r="A99" t="s">
        <v>66</v>
      </c>
      <c r="B99" s="1" t="s">
        <v>21</v>
      </c>
      <c r="C99" s="9">
        <v>179991333</v>
      </c>
    </row>
    <row r="100" spans="1:3" x14ac:dyDescent="0.25">
      <c r="A100" t="s">
        <v>66</v>
      </c>
      <c r="B100" s="1" t="s">
        <v>22</v>
      </c>
      <c r="C100" s="9">
        <v>175958714</v>
      </c>
    </row>
    <row r="101" spans="1:3" x14ac:dyDescent="0.25">
      <c r="A101" s="5" t="s">
        <v>66</v>
      </c>
      <c r="B101" s="1" t="s">
        <v>23</v>
      </c>
      <c r="C101" s="7">
        <v>197729688</v>
      </c>
    </row>
    <row r="102" spans="1:3" x14ac:dyDescent="0.25">
      <c r="A102" t="s">
        <v>67</v>
      </c>
      <c r="B102" s="1" t="s">
        <v>4</v>
      </c>
      <c r="C102" s="9">
        <v>151900294</v>
      </c>
    </row>
    <row r="103" spans="1:3" x14ac:dyDescent="0.25">
      <c r="A103" t="s">
        <v>67</v>
      </c>
      <c r="B103" s="1" t="s">
        <v>5</v>
      </c>
      <c r="C103" s="9">
        <v>159062532</v>
      </c>
    </row>
    <row r="104" spans="1:3" x14ac:dyDescent="0.25">
      <c r="A104" t="s">
        <v>67</v>
      </c>
      <c r="B104" s="1" t="s">
        <v>6</v>
      </c>
      <c r="C104" s="9">
        <v>155534538</v>
      </c>
    </row>
    <row r="105" spans="1:3" x14ac:dyDescent="0.25">
      <c r="A105" t="s">
        <v>67</v>
      </c>
      <c r="B105" s="1" t="s">
        <v>7</v>
      </c>
      <c r="C105" s="9">
        <v>152759234</v>
      </c>
    </row>
    <row r="106" spans="1:3" x14ac:dyDescent="0.25">
      <c r="A106" t="s">
        <v>67</v>
      </c>
      <c r="B106" s="1" t="s">
        <v>8</v>
      </c>
      <c r="C106" s="9">
        <v>160250986</v>
      </c>
    </row>
    <row r="107" spans="1:3" x14ac:dyDescent="0.25">
      <c r="A107" t="s">
        <v>67</v>
      </c>
      <c r="B107" s="1" t="s">
        <v>9</v>
      </c>
      <c r="C107" s="9">
        <v>147629882</v>
      </c>
    </row>
    <row r="108" spans="1:3" x14ac:dyDescent="0.25">
      <c r="A108" t="s">
        <v>67</v>
      </c>
      <c r="B108" s="1" t="s">
        <v>10</v>
      </c>
      <c r="C108" s="9">
        <v>154908997</v>
      </c>
    </row>
    <row r="109" spans="1:3" x14ac:dyDescent="0.25">
      <c r="A109" t="s">
        <v>67</v>
      </c>
      <c r="B109" s="1" t="s">
        <v>11</v>
      </c>
      <c r="C109" s="9">
        <v>161264340</v>
      </c>
    </row>
    <row r="110" spans="1:3" x14ac:dyDescent="0.25">
      <c r="A110" t="s">
        <v>67</v>
      </c>
      <c r="B110" s="1" t="s">
        <v>12</v>
      </c>
      <c r="C110" s="9">
        <v>167261064</v>
      </c>
    </row>
    <row r="111" spans="1:3" x14ac:dyDescent="0.25">
      <c r="A111" t="s">
        <v>67</v>
      </c>
      <c r="B111" s="1" t="s">
        <v>13</v>
      </c>
      <c r="C111" s="9">
        <v>157837069</v>
      </c>
    </row>
    <row r="112" spans="1:3" x14ac:dyDescent="0.25">
      <c r="A112" t="s">
        <v>67</v>
      </c>
      <c r="B112" s="1" t="s">
        <v>14</v>
      </c>
      <c r="C112" s="9">
        <v>166635675</v>
      </c>
    </row>
    <row r="113" spans="1:3" x14ac:dyDescent="0.25">
      <c r="A113" t="s">
        <v>67</v>
      </c>
      <c r="B113" s="1" t="s">
        <v>15</v>
      </c>
      <c r="C113" s="9">
        <v>197574403</v>
      </c>
    </row>
    <row r="114" spans="1:3" x14ac:dyDescent="0.25">
      <c r="A114" t="s">
        <v>67</v>
      </c>
      <c r="B114" s="1" t="s">
        <v>16</v>
      </c>
      <c r="C114" s="9">
        <v>203327872</v>
      </c>
    </row>
    <row r="115" spans="1:3" x14ac:dyDescent="0.25">
      <c r="A115" t="s">
        <v>67</v>
      </c>
      <c r="B115" s="1" t="s">
        <v>17</v>
      </c>
      <c r="C115" s="9">
        <v>212912825</v>
      </c>
    </row>
    <row r="116" spans="1:3" x14ac:dyDescent="0.25">
      <c r="A116" t="s">
        <v>67</v>
      </c>
      <c r="B116" s="1" t="s">
        <v>18</v>
      </c>
      <c r="C116" s="9">
        <v>218796253</v>
      </c>
    </row>
    <row r="117" spans="1:3" x14ac:dyDescent="0.25">
      <c r="A117" t="s">
        <v>67</v>
      </c>
      <c r="B117" s="1" t="s">
        <v>19</v>
      </c>
      <c r="C117" s="9">
        <v>234379042</v>
      </c>
    </row>
    <row r="118" spans="1:3" x14ac:dyDescent="0.25">
      <c r="A118" t="s">
        <v>67</v>
      </c>
      <c r="B118" s="1" t="s">
        <v>20</v>
      </c>
      <c r="C118" s="10" t="s">
        <v>101</v>
      </c>
    </row>
    <row r="119" spans="1:3" x14ac:dyDescent="0.25">
      <c r="A119" t="s">
        <v>67</v>
      </c>
      <c r="B119" s="1" t="s">
        <v>21</v>
      </c>
      <c r="C119" s="10" t="s">
        <v>102</v>
      </c>
    </row>
    <row r="120" spans="1:3" x14ac:dyDescent="0.25">
      <c r="A120" t="s">
        <v>67</v>
      </c>
      <c r="B120" s="1" t="s">
        <v>22</v>
      </c>
      <c r="C120" s="10" t="s">
        <v>103</v>
      </c>
    </row>
    <row r="121" spans="1:3" x14ac:dyDescent="0.25">
      <c r="A121" s="6" t="s">
        <v>67</v>
      </c>
      <c r="B121" s="1" t="s">
        <v>23</v>
      </c>
      <c r="C121" s="8">
        <v>255112471</v>
      </c>
    </row>
    <row r="122" spans="1:3" x14ac:dyDescent="0.25">
      <c r="A122" t="s">
        <v>68</v>
      </c>
      <c r="B122" s="1" t="s">
        <v>4</v>
      </c>
      <c r="C122" s="9">
        <v>745043491</v>
      </c>
    </row>
    <row r="123" spans="1:3" x14ac:dyDescent="0.25">
      <c r="A123" t="s">
        <v>68</v>
      </c>
      <c r="B123" s="1" t="s">
        <v>5</v>
      </c>
      <c r="C123" s="9">
        <v>776590042</v>
      </c>
    </row>
    <row r="124" spans="1:3" x14ac:dyDescent="0.25">
      <c r="A124" t="s">
        <v>68</v>
      </c>
      <c r="B124" s="1" t="s">
        <v>6</v>
      </c>
      <c r="C124" s="9">
        <v>783814134</v>
      </c>
    </row>
    <row r="125" spans="1:3" x14ac:dyDescent="0.25">
      <c r="A125" t="s">
        <v>68</v>
      </c>
      <c r="B125" s="1" t="s">
        <v>7</v>
      </c>
      <c r="C125" s="9">
        <v>808648119</v>
      </c>
    </row>
    <row r="126" spans="1:3" x14ac:dyDescent="0.25">
      <c r="A126" t="s">
        <v>68</v>
      </c>
      <c r="B126" s="1" t="s">
        <v>8</v>
      </c>
      <c r="C126" s="9">
        <v>814559087</v>
      </c>
    </row>
    <row r="127" spans="1:3" x14ac:dyDescent="0.25">
      <c r="A127" t="s">
        <v>68</v>
      </c>
      <c r="B127" s="1" t="s">
        <v>9</v>
      </c>
      <c r="C127" s="9">
        <v>853642798</v>
      </c>
    </row>
    <row r="128" spans="1:3" x14ac:dyDescent="0.25">
      <c r="A128" t="s">
        <v>68</v>
      </c>
      <c r="B128" s="1" t="s">
        <v>10</v>
      </c>
      <c r="C128" s="9">
        <v>875677023</v>
      </c>
    </row>
    <row r="129" spans="1:3" x14ac:dyDescent="0.25">
      <c r="A129" t="s">
        <v>68</v>
      </c>
      <c r="B129" s="1" t="s">
        <v>11</v>
      </c>
      <c r="C129" s="9">
        <v>899035962</v>
      </c>
    </row>
    <row r="130" spans="1:3" x14ac:dyDescent="0.25">
      <c r="A130" t="s">
        <v>68</v>
      </c>
      <c r="B130" s="1" t="s">
        <v>12</v>
      </c>
      <c r="C130" s="9">
        <v>953701928</v>
      </c>
    </row>
    <row r="131" spans="1:3" x14ac:dyDescent="0.25">
      <c r="A131" t="s">
        <v>68</v>
      </c>
      <c r="B131" s="1" t="s">
        <v>13</v>
      </c>
      <c r="C131" s="9">
        <v>957694444</v>
      </c>
    </row>
    <row r="132" spans="1:3" x14ac:dyDescent="0.25">
      <c r="A132" t="s">
        <v>68</v>
      </c>
      <c r="B132" s="1" t="s">
        <v>14</v>
      </c>
      <c r="C132" s="9">
        <v>985845932</v>
      </c>
    </row>
    <row r="133" spans="1:3" x14ac:dyDescent="0.25">
      <c r="A133" t="s">
        <v>68</v>
      </c>
      <c r="B133" s="1" t="s">
        <v>15</v>
      </c>
      <c r="C133" s="9">
        <v>1056362108</v>
      </c>
    </row>
    <row r="134" spans="1:3" x14ac:dyDescent="0.25">
      <c r="A134" t="s">
        <v>68</v>
      </c>
      <c r="B134" s="1" t="s">
        <v>16</v>
      </c>
      <c r="C134" s="9">
        <v>1071238142</v>
      </c>
    </row>
    <row r="135" spans="1:3" x14ac:dyDescent="0.25">
      <c r="A135" t="s">
        <v>68</v>
      </c>
      <c r="B135" s="1" t="s">
        <v>17</v>
      </c>
      <c r="C135" s="9">
        <v>1109512267</v>
      </c>
    </row>
    <row r="136" spans="1:3" x14ac:dyDescent="0.25">
      <c r="A136" t="s">
        <v>68</v>
      </c>
      <c r="B136" s="1" t="s">
        <v>18</v>
      </c>
      <c r="C136" s="9">
        <v>1148850342</v>
      </c>
    </row>
    <row r="137" spans="1:3" x14ac:dyDescent="0.25">
      <c r="A137" t="s">
        <v>68</v>
      </c>
      <c r="B137" s="1" t="s">
        <v>19</v>
      </c>
      <c r="C137" s="7">
        <v>1205491799</v>
      </c>
    </row>
    <row r="138" spans="1:3" x14ac:dyDescent="0.25">
      <c r="A138" t="s">
        <v>68</v>
      </c>
      <c r="B138" s="1" t="s">
        <v>20</v>
      </c>
      <c r="C138" s="10" t="s">
        <v>104</v>
      </c>
    </row>
    <row r="139" spans="1:3" x14ac:dyDescent="0.25">
      <c r="A139" t="s">
        <v>68</v>
      </c>
      <c r="B139" s="1" t="s">
        <v>21</v>
      </c>
      <c r="C139" s="10" t="s">
        <v>105</v>
      </c>
    </row>
    <row r="140" spans="1:3" x14ac:dyDescent="0.25">
      <c r="A140" t="s">
        <v>68</v>
      </c>
      <c r="B140" s="1" t="s">
        <v>22</v>
      </c>
      <c r="C140" s="10" t="s">
        <v>106</v>
      </c>
    </row>
    <row r="141" spans="1:3" x14ac:dyDescent="0.25">
      <c r="A141" t="s">
        <v>68</v>
      </c>
      <c r="B141" s="1" t="s">
        <v>23</v>
      </c>
      <c r="C141" s="7">
        <v>1283366355</v>
      </c>
    </row>
    <row r="142" spans="1:3" x14ac:dyDescent="0.25">
      <c r="A142" t="s">
        <v>69</v>
      </c>
      <c r="B142" s="1" t="s">
        <v>4</v>
      </c>
      <c r="C142" s="2">
        <v>160883617</v>
      </c>
    </row>
    <row r="143" spans="1:3" x14ac:dyDescent="0.25">
      <c r="A143" t="s">
        <v>69</v>
      </c>
      <c r="B143" s="1" t="s">
        <v>5</v>
      </c>
      <c r="C143" s="2">
        <v>155896565</v>
      </c>
    </row>
    <row r="144" spans="1:3" x14ac:dyDescent="0.25">
      <c r="A144" t="s">
        <v>69</v>
      </c>
      <c r="B144" s="1" t="s">
        <v>6</v>
      </c>
      <c r="C144" s="2">
        <v>157955044</v>
      </c>
    </row>
    <row r="145" spans="1:3" x14ac:dyDescent="0.25">
      <c r="A145" t="s">
        <v>69</v>
      </c>
      <c r="B145" s="1" t="s">
        <v>7</v>
      </c>
      <c r="C145" s="2">
        <v>163236041</v>
      </c>
    </row>
    <row r="146" spans="1:3" x14ac:dyDescent="0.25">
      <c r="A146" t="s">
        <v>69</v>
      </c>
      <c r="B146" s="1" t="s">
        <v>8</v>
      </c>
      <c r="C146" s="2">
        <v>173997784</v>
      </c>
    </row>
    <row r="147" spans="1:3" x14ac:dyDescent="0.25">
      <c r="A147" t="s">
        <v>69</v>
      </c>
      <c r="B147" s="1" t="s">
        <v>9</v>
      </c>
      <c r="C147" s="2">
        <v>169266124</v>
      </c>
    </row>
    <row r="148" spans="1:3" x14ac:dyDescent="0.25">
      <c r="A148" t="s">
        <v>69</v>
      </c>
      <c r="B148" s="1" t="s">
        <v>10</v>
      </c>
      <c r="C148" s="2">
        <v>163721487</v>
      </c>
    </row>
    <row r="149" spans="1:3" x14ac:dyDescent="0.25">
      <c r="A149" t="s">
        <v>69</v>
      </c>
      <c r="B149" s="1" t="s">
        <v>11</v>
      </c>
      <c r="C149" s="2">
        <v>154703225</v>
      </c>
    </row>
    <row r="150" spans="1:3" x14ac:dyDescent="0.25">
      <c r="A150" t="s">
        <v>69</v>
      </c>
      <c r="B150" s="1" t="s">
        <v>12</v>
      </c>
      <c r="C150" s="2">
        <v>167608969</v>
      </c>
    </row>
    <row r="151" spans="1:3" x14ac:dyDescent="0.25">
      <c r="A151" t="s">
        <v>69</v>
      </c>
      <c r="B151" s="1" t="s">
        <v>13</v>
      </c>
      <c r="C151" s="2">
        <v>151741055</v>
      </c>
    </row>
    <row r="152" spans="1:3" x14ac:dyDescent="0.25">
      <c r="A152" t="s">
        <v>69</v>
      </c>
      <c r="B152" s="1" t="s">
        <v>14</v>
      </c>
      <c r="C152" s="2">
        <v>166139379</v>
      </c>
    </row>
    <row r="153" spans="1:3" x14ac:dyDescent="0.25">
      <c r="A153" t="s">
        <v>69</v>
      </c>
      <c r="B153" s="1" t="s">
        <v>15</v>
      </c>
      <c r="C153" s="2">
        <v>162579069</v>
      </c>
    </row>
    <row r="154" spans="1:3" x14ac:dyDescent="0.25">
      <c r="A154" t="s">
        <v>69</v>
      </c>
      <c r="B154" s="1" t="s">
        <v>16</v>
      </c>
      <c r="C154" s="2">
        <v>164370126</v>
      </c>
    </row>
    <row r="155" spans="1:3" x14ac:dyDescent="0.25">
      <c r="A155" t="s">
        <v>69</v>
      </c>
      <c r="B155" s="1" t="s">
        <v>17</v>
      </c>
      <c r="C155" s="2">
        <v>152055984</v>
      </c>
    </row>
    <row r="156" spans="1:3" x14ac:dyDescent="0.25">
      <c r="A156" t="s">
        <v>69</v>
      </c>
      <c r="B156" s="1" t="s">
        <v>18</v>
      </c>
      <c r="C156" s="2">
        <v>144079298</v>
      </c>
    </row>
    <row r="157" spans="1:3" x14ac:dyDescent="0.25">
      <c r="A157" t="s">
        <v>69</v>
      </c>
      <c r="B157" s="1" t="s">
        <v>19</v>
      </c>
      <c r="C157" s="2">
        <v>157962140</v>
      </c>
    </row>
    <row r="158" spans="1:3" x14ac:dyDescent="0.25">
      <c r="A158" t="s">
        <v>69</v>
      </c>
      <c r="B158" s="1" t="s">
        <v>20</v>
      </c>
      <c r="C158" s="10" t="s">
        <v>107</v>
      </c>
    </row>
    <row r="159" spans="1:3" x14ac:dyDescent="0.25">
      <c r="A159" t="s">
        <v>69</v>
      </c>
      <c r="B159" s="1" t="s">
        <v>21</v>
      </c>
      <c r="C159" s="10" t="s">
        <v>108</v>
      </c>
    </row>
    <row r="160" spans="1:3" x14ac:dyDescent="0.25">
      <c r="A160" t="s">
        <v>69</v>
      </c>
      <c r="B160" s="1" t="s">
        <v>22</v>
      </c>
      <c r="C160" s="10" t="s">
        <v>109</v>
      </c>
    </row>
    <row r="161" spans="1:3" x14ac:dyDescent="0.25">
      <c r="A161" t="s">
        <v>69</v>
      </c>
      <c r="B161" s="1" t="s">
        <v>23</v>
      </c>
      <c r="C161" s="7">
        <v>148946390</v>
      </c>
    </row>
    <row r="162" spans="1:3" x14ac:dyDescent="0.25">
      <c r="A162" t="s">
        <v>70</v>
      </c>
      <c r="B162" s="1" t="s">
        <v>4</v>
      </c>
      <c r="C162" s="2">
        <v>197923174</v>
      </c>
    </row>
    <row r="163" spans="1:3" x14ac:dyDescent="0.25">
      <c r="A163" t="s">
        <v>70</v>
      </c>
      <c r="B163" s="1" t="s">
        <v>5</v>
      </c>
      <c r="C163" s="2">
        <v>189452263</v>
      </c>
    </row>
    <row r="164" spans="1:3" x14ac:dyDescent="0.25">
      <c r="A164" t="s">
        <v>70</v>
      </c>
      <c r="B164" s="1" t="s">
        <v>6</v>
      </c>
      <c r="C164" s="2">
        <v>186831938</v>
      </c>
    </row>
    <row r="165" spans="1:3" x14ac:dyDescent="0.25">
      <c r="A165" t="s">
        <v>70</v>
      </c>
      <c r="B165" s="1" t="s">
        <v>7</v>
      </c>
      <c r="C165" s="2">
        <v>188898490</v>
      </c>
    </row>
    <row r="166" spans="1:3" x14ac:dyDescent="0.25">
      <c r="A166" t="s">
        <v>70</v>
      </c>
      <c r="B166" s="1" t="s">
        <v>8</v>
      </c>
      <c r="C166" s="2">
        <v>192838094</v>
      </c>
    </row>
    <row r="167" spans="1:3" x14ac:dyDescent="0.25">
      <c r="A167" t="s">
        <v>70</v>
      </c>
      <c r="B167" s="1" t="s">
        <v>9</v>
      </c>
      <c r="C167" s="2">
        <v>193984292</v>
      </c>
    </row>
    <row r="168" spans="1:3" x14ac:dyDescent="0.25">
      <c r="A168" t="s">
        <v>70</v>
      </c>
      <c r="B168" s="1" t="s">
        <v>10</v>
      </c>
      <c r="C168" s="2">
        <v>192939358</v>
      </c>
    </row>
    <row r="169" spans="1:3" x14ac:dyDescent="0.25">
      <c r="A169" t="s">
        <v>70</v>
      </c>
      <c r="B169" s="1" t="s">
        <v>11</v>
      </c>
      <c r="C169" s="2">
        <v>190252348</v>
      </c>
    </row>
    <row r="170" spans="1:3" x14ac:dyDescent="0.25">
      <c r="A170" t="s">
        <v>70</v>
      </c>
      <c r="B170" s="1" t="s">
        <v>12</v>
      </c>
      <c r="C170" s="7">
        <v>185132358</v>
      </c>
    </row>
    <row r="171" spans="1:3" x14ac:dyDescent="0.25">
      <c r="A171" t="s">
        <v>70</v>
      </c>
      <c r="B171" s="1" t="s">
        <v>13</v>
      </c>
      <c r="C171" s="9">
        <v>192810389</v>
      </c>
    </row>
    <row r="172" spans="1:3" x14ac:dyDescent="0.25">
      <c r="A172" t="s">
        <v>70</v>
      </c>
      <c r="B172" s="1" t="s">
        <v>14</v>
      </c>
      <c r="C172" s="9">
        <v>198216614</v>
      </c>
    </row>
    <row r="173" spans="1:3" x14ac:dyDescent="0.25">
      <c r="A173" t="s">
        <v>70</v>
      </c>
      <c r="B173" s="1" t="s">
        <v>15</v>
      </c>
      <c r="C173" s="9">
        <v>201319549</v>
      </c>
    </row>
    <row r="174" spans="1:3" x14ac:dyDescent="0.25">
      <c r="A174" t="s">
        <v>70</v>
      </c>
      <c r="B174" s="1" t="s">
        <v>16</v>
      </c>
      <c r="C174" s="9">
        <v>190948316</v>
      </c>
    </row>
    <row r="175" spans="1:3" x14ac:dyDescent="0.25">
      <c r="A175" t="s">
        <v>70</v>
      </c>
      <c r="B175" s="1" t="s">
        <v>17</v>
      </c>
      <c r="C175" s="9">
        <v>189958177</v>
      </c>
    </row>
    <row r="176" spans="1:3" x14ac:dyDescent="0.25">
      <c r="A176" t="s">
        <v>70</v>
      </c>
      <c r="B176" s="1" t="s">
        <v>18</v>
      </c>
      <c r="C176" s="9">
        <v>184798507</v>
      </c>
    </row>
    <row r="177" spans="1:3" x14ac:dyDescent="0.25">
      <c r="A177" t="s">
        <v>70</v>
      </c>
      <c r="B177" s="1" t="s">
        <v>19</v>
      </c>
      <c r="C177" s="9">
        <v>190667695</v>
      </c>
    </row>
    <row r="178" spans="1:3" x14ac:dyDescent="0.25">
      <c r="A178" t="s">
        <v>70</v>
      </c>
      <c r="B178" s="1" t="s">
        <v>20</v>
      </c>
      <c r="C178" s="10" t="s">
        <v>110</v>
      </c>
    </row>
    <row r="179" spans="1:3" x14ac:dyDescent="0.25">
      <c r="A179" t="s">
        <v>70</v>
      </c>
      <c r="B179" s="1" t="s">
        <v>21</v>
      </c>
      <c r="C179" s="10" t="s">
        <v>111</v>
      </c>
    </row>
    <row r="180" spans="1:3" x14ac:dyDescent="0.25">
      <c r="A180" t="s">
        <v>70</v>
      </c>
      <c r="B180" s="1" t="s">
        <v>22</v>
      </c>
      <c r="C180" s="10" t="s">
        <v>112</v>
      </c>
    </row>
    <row r="181" spans="1:3" x14ac:dyDescent="0.25">
      <c r="A181" s="6" t="s">
        <v>70</v>
      </c>
      <c r="B181" s="1" t="s">
        <v>23</v>
      </c>
      <c r="C181" s="8">
        <v>193649452</v>
      </c>
    </row>
    <row r="182" spans="1:3" x14ac:dyDescent="0.25">
      <c r="A182" t="s">
        <v>71</v>
      </c>
      <c r="B182" s="1" t="s">
        <v>4</v>
      </c>
      <c r="C182" s="9">
        <v>255689959</v>
      </c>
    </row>
    <row r="183" spans="1:3" x14ac:dyDescent="0.25">
      <c r="A183" t="s">
        <v>71</v>
      </c>
      <c r="B183" s="1" t="s">
        <v>5</v>
      </c>
      <c r="C183" s="9">
        <v>258587594</v>
      </c>
    </row>
    <row r="184" spans="1:3" x14ac:dyDescent="0.25">
      <c r="A184" t="s">
        <v>71</v>
      </c>
      <c r="B184" s="1" t="s">
        <v>6</v>
      </c>
      <c r="C184" s="9">
        <v>259070857</v>
      </c>
    </row>
    <row r="185" spans="1:3" x14ac:dyDescent="0.25">
      <c r="A185" t="s">
        <v>71</v>
      </c>
      <c r="B185" s="1" t="s">
        <v>7</v>
      </c>
      <c r="C185" s="9">
        <v>265273866</v>
      </c>
    </row>
    <row r="186" spans="1:3" x14ac:dyDescent="0.25">
      <c r="A186" t="s">
        <v>71</v>
      </c>
      <c r="B186" s="1" t="s">
        <v>8</v>
      </c>
      <c r="C186" s="9">
        <v>261262096</v>
      </c>
    </row>
    <row r="187" spans="1:3" x14ac:dyDescent="0.25">
      <c r="A187" t="s">
        <v>71</v>
      </c>
      <c r="B187" s="1" t="s">
        <v>9</v>
      </c>
      <c r="C187" s="9">
        <v>270190664</v>
      </c>
    </row>
    <row r="188" spans="1:3" x14ac:dyDescent="0.25">
      <c r="A188" t="s">
        <v>71</v>
      </c>
      <c r="B188" s="1" t="s">
        <v>10</v>
      </c>
      <c r="C188" s="9">
        <v>260881792</v>
      </c>
    </row>
    <row r="189" spans="1:3" x14ac:dyDescent="0.25">
      <c r="A189" t="s">
        <v>71</v>
      </c>
      <c r="B189" s="1" t="s">
        <v>11</v>
      </c>
      <c r="C189" s="9">
        <v>272442016</v>
      </c>
    </row>
    <row r="190" spans="1:3" x14ac:dyDescent="0.25">
      <c r="A190" t="s">
        <v>71</v>
      </c>
      <c r="B190" s="1" t="s">
        <v>12</v>
      </c>
      <c r="C190" s="9">
        <v>271885773</v>
      </c>
    </row>
    <row r="191" spans="1:3" x14ac:dyDescent="0.25">
      <c r="A191" t="s">
        <v>71</v>
      </c>
      <c r="B191" s="1" t="s">
        <v>13</v>
      </c>
      <c r="C191" s="9">
        <v>272039821</v>
      </c>
    </row>
    <row r="192" spans="1:3" x14ac:dyDescent="0.25">
      <c r="A192" t="s">
        <v>71</v>
      </c>
      <c r="B192" s="1" t="s">
        <v>14</v>
      </c>
      <c r="C192" s="9">
        <v>279200462</v>
      </c>
    </row>
    <row r="193" spans="1:3" x14ac:dyDescent="0.25">
      <c r="A193" t="s">
        <v>71</v>
      </c>
      <c r="B193" s="1" t="s">
        <v>15</v>
      </c>
      <c r="C193" s="9">
        <v>278674061</v>
      </c>
    </row>
    <row r="194" spans="1:3" x14ac:dyDescent="0.25">
      <c r="A194" t="s">
        <v>71</v>
      </c>
      <c r="B194" s="1" t="s">
        <v>16</v>
      </c>
      <c r="C194" s="9">
        <v>270049711</v>
      </c>
    </row>
    <row r="195" spans="1:3" x14ac:dyDescent="0.25">
      <c r="A195" t="s">
        <v>71</v>
      </c>
      <c r="B195" s="1" t="s">
        <v>17</v>
      </c>
      <c r="C195" s="9">
        <v>286367574</v>
      </c>
    </row>
    <row r="196" spans="1:3" x14ac:dyDescent="0.25">
      <c r="A196" t="s">
        <v>71</v>
      </c>
      <c r="B196" s="1" t="s">
        <v>18</v>
      </c>
      <c r="C196" s="9">
        <v>292786766</v>
      </c>
    </row>
    <row r="197" spans="1:3" x14ac:dyDescent="0.25">
      <c r="A197" t="s">
        <v>71</v>
      </c>
      <c r="B197" s="1" t="s">
        <v>19</v>
      </c>
      <c r="C197" s="9">
        <v>307243611</v>
      </c>
    </row>
    <row r="198" spans="1:3" x14ac:dyDescent="0.25">
      <c r="A198" t="s">
        <v>71</v>
      </c>
      <c r="B198" s="1" t="s">
        <v>20</v>
      </c>
      <c r="C198" s="10" t="s">
        <v>113</v>
      </c>
    </row>
    <row r="199" spans="1:3" x14ac:dyDescent="0.25">
      <c r="A199" t="s">
        <v>71</v>
      </c>
      <c r="B199" s="1" t="s">
        <v>21</v>
      </c>
      <c r="C199" s="10" t="s">
        <v>114</v>
      </c>
    </row>
    <row r="200" spans="1:3" x14ac:dyDescent="0.25">
      <c r="A200" t="s">
        <v>71</v>
      </c>
      <c r="B200" s="1" t="s">
        <v>22</v>
      </c>
      <c r="C200" s="10" t="s">
        <v>115</v>
      </c>
    </row>
    <row r="201" spans="1:3" x14ac:dyDescent="0.25">
      <c r="A201" t="s">
        <v>71</v>
      </c>
      <c r="B201" s="1" t="s">
        <v>23</v>
      </c>
      <c r="C201" s="7">
        <v>301515827</v>
      </c>
    </row>
    <row r="202" spans="1:3" x14ac:dyDescent="0.25">
      <c r="A202" t="s">
        <v>72</v>
      </c>
      <c r="B202" s="1" t="s">
        <v>4</v>
      </c>
      <c r="C202" s="10" t="s">
        <v>120</v>
      </c>
    </row>
    <row r="203" spans="1:3" x14ac:dyDescent="0.25">
      <c r="A203" t="s">
        <v>72</v>
      </c>
      <c r="B203" s="1" t="s">
        <v>5</v>
      </c>
      <c r="C203" s="10" t="s">
        <v>121</v>
      </c>
    </row>
    <row r="204" spans="1:3" x14ac:dyDescent="0.25">
      <c r="A204" t="s">
        <v>72</v>
      </c>
      <c r="B204" s="1" t="s">
        <v>6</v>
      </c>
      <c r="C204" s="10" t="s">
        <v>122</v>
      </c>
    </row>
    <row r="205" spans="1:3" x14ac:dyDescent="0.25">
      <c r="A205" t="s">
        <v>72</v>
      </c>
      <c r="B205" s="1" t="s">
        <v>7</v>
      </c>
      <c r="C205" s="10" t="s">
        <v>123</v>
      </c>
    </row>
    <row r="206" spans="1:3" x14ac:dyDescent="0.25">
      <c r="A206" t="s">
        <v>72</v>
      </c>
      <c r="B206" s="1" t="s">
        <v>8</v>
      </c>
      <c r="C206" s="10" t="s">
        <v>124</v>
      </c>
    </row>
    <row r="207" spans="1:3" x14ac:dyDescent="0.25">
      <c r="A207" t="s">
        <v>72</v>
      </c>
      <c r="B207" s="1" t="s">
        <v>9</v>
      </c>
      <c r="C207" s="10" t="s">
        <v>125</v>
      </c>
    </row>
    <row r="208" spans="1:3" x14ac:dyDescent="0.25">
      <c r="A208" t="s">
        <v>72</v>
      </c>
      <c r="B208" s="1" t="s">
        <v>10</v>
      </c>
      <c r="C208" s="10" t="s">
        <v>126</v>
      </c>
    </row>
    <row r="209" spans="1:3" x14ac:dyDescent="0.25">
      <c r="A209" t="s">
        <v>72</v>
      </c>
      <c r="B209" s="1" t="s">
        <v>11</v>
      </c>
      <c r="C209" s="10" t="s">
        <v>127</v>
      </c>
    </row>
    <row r="210" spans="1:3" x14ac:dyDescent="0.25">
      <c r="A210" t="s">
        <v>72</v>
      </c>
      <c r="B210" s="1" t="s">
        <v>12</v>
      </c>
      <c r="C210" s="10" t="s">
        <v>128</v>
      </c>
    </row>
    <row r="211" spans="1:3" x14ac:dyDescent="0.25">
      <c r="A211" t="s">
        <v>72</v>
      </c>
      <c r="B211" s="1" t="s">
        <v>13</v>
      </c>
      <c r="C211" s="10" t="s">
        <v>129</v>
      </c>
    </row>
    <row r="212" spans="1:3" x14ac:dyDescent="0.25">
      <c r="A212" t="s">
        <v>72</v>
      </c>
      <c r="B212" s="1" t="s">
        <v>14</v>
      </c>
      <c r="C212" s="10" t="s">
        <v>130</v>
      </c>
    </row>
    <row r="213" spans="1:3" x14ac:dyDescent="0.25">
      <c r="A213" t="s">
        <v>72</v>
      </c>
      <c r="B213" s="1" t="s">
        <v>15</v>
      </c>
      <c r="C213" s="10" t="s">
        <v>131</v>
      </c>
    </row>
    <row r="214" spans="1:3" x14ac:dyDescent="0.25">
      <c r="A214" t="s">
        <v>72</v>
      </c>
      <c r="B214" s="1" t="s">
        <v>16</v>
      </c>
      <c r="C214" s="10" t="s">
        <v>132</v>
      </c>
    </row>
    <row r="215" spans="1:3" x14ac:dyDescent="0.25">
      <c r="A215" t="s">
        <v>72</v>
      </c>
      <c r="B215" s="1" t="s">
        <v>17</v>
      </c>
      <c r="C215" s="10" t="s">
        <v>133</v>
      </c>
    </row>
    <row r="216" spans="1:3" x14ac:dyDescent="0.25">
      <c r="A216" t="s">
        <v>72</v>
      </c>
      <c r="B216" s="1" t="s">
        <v>18</v>
      </c>
      <c r="C216" s="10" t="s">
        <v>134</v>
      </c>
    </row>
    <row r="217" spans="1:3" x14ac:dyDescent="0.25">
      <c r="A217" t="s">
        <v>72</v>
      </c>
      <c r="B217" s="1" t="s">
        <v>19</v>
      </c>
      <c r="C217" s="10" t="s">
        <v>135</v>
      </c>
    </row>
    <row r="218" spans="1:3" x14ac:dyDescent="0.25">
      <c r="A218" t="s">
        <v>72</v>
      </c>
      <c r="B218" s="1" t="s">
        <v>20</v>
      </c>
      <c r="C218" s="10" t="s">
        <v>136</v>
      </c>
    </row>
    <row r="219" spans="1:3" x14ac:dyDescent="0.25">
      <c r="A219" t="s">
        <v>72</v>
      </c>
      <c r="B219" s="1" t="s">
        <v>21</v>
      </c>
      <c r="C219" s="10" t="s">
        <v>137</v>
      </c>
    </row>
    <row r="220" spans="1:3" x14ac:dyDescent="0.25">
      <c r="A220" t="s">
        <v>72</v>
      </c>
      <c r="B220" s="1" t="s">
        <v>22</v>
      </c>
      <c r="C220" s="10" t="s">
        <v>138</v>
      </c>
    </row>
    <row r="221" spans="1:3" x14ac:dyDescent="0.25">
      <c r="A221" t="s">
        <v>72</v>
      </c>
      <c r="B221" s="1" t="s">
        <v>23</v>
      </c>
      <c r="C221" s="8">
        <v>170338680</v>
      </c>
    </row>
    <row r="222" spans="1:3" x14ac:dyDescent="0.25">
      <c r="A222" t="s">
        <v>73</v>
      </c>
      <c r="B222" s="1" t="s">
        <v>4</v>
      </c>
      <c r="C222" s="2">
        <v>161554444</v>
      </c>
    </row>
    <row r="223" spans="1:3" x14ac:dyDescent="0.25">
      <c r="A223" t="s">
        <v>73</v>
      </c>
      <c r="B223" s="1" t="s">
        <v>5</v>
      </c>
      <c r="C223" s="2">
        <v>170301607</v>
      </c>
    </row>
    <row r="224" spans="1:3" x14ac:dyDescent="0.25">
      <c r="A224" t="s">
        <v>73</v>
      </c>
      <c r="B224" s="1" t="s">
        <v>6</v>
      </c>
      <c r="C224" s="2">
        <v>163994740</v>
      </c>
    </row>
    <row r="225" spans="1:3" x14ac:dyDescent="0.25">
      <c r="A225" t="s">
        <v>73</v>
      </c>
      <c r="B225" s="1" t="s">
        <v>7</v>
      </c>
      <c r="C225" s="2">
        <v>173582894</v>
      </c>
    </row>
    <row r="226" spans="1:3" x14ac:dyDescent="0.25">
      <c r="A226" t="s">
        <v>73</v>
      </c>
      <c r="B226" s="1" t="s">
        <v>8</v>
      </c>
      <c r="C226" s="2">
        <v>177528984</v>
      </c>
    </row>
    <row r="227" spans="1:3" x14ac:dyDescent="0.25">
      <c r="A227" t="s">
        <v>73</v>
      </c>
      <c r="B227" s="1" t="s">
        <v>9</v>
      </c>
      <c r="C227" s="2">
        <v>178044586</v>
      </c>
    </row>
    <row r="228" spans="1:3" x14ac:dyDescent="0.25">
      <c r="A228" t="s">
        <v>73</v>
      </c>
      <c r="B228" s="1" t="s">
        <v>10</v>
      </c>
      <c r="C228" s="2">
        <v>175449266</v>
      </c>
    </row>
    <row r="229" spans="1:3" x14ac:dyDescent="0.25">
      <c r="A229" t="s">
        <v>73</v>
      </c>
      <c r="B229" s="1" t="s">
        <v>11</v>
      </c>
      <c r="C229" s="2">
        <v>180809253</v>
      </c>
    </row>
    <row r="230" spans="1:3" x14ac:dyDescent="0.25">
      <c r="A230" t="s">
        <v>73</v>
      </c>
      <c r="B230" s="1" t="s">
        <v>12</v>
      </c>
      <c r="C230" s="2">
        <v>191542602</v>
      </c>
    </row>
    <row r="231" spans="1:3" x14ac:dyDescent="0.25">
      <c r="A231" t="s">
        <v>73</v>
      </c>
      <c r="B231" s="1" t="s">
        <v>13</v>
      </c>
      <c r="C231" s="2">
        <v>182216046</v>
      </c>
    </row>
    <row r="232" spans="1:3" x14ac:dyDescent="0.25">
      <c r="A232" t="s">
        <v>73</v>
      </c>
      <c r="B232" s="1" t="s">
        <v>14</v>
      </c>
      <c r="C232" s="2">
        <v>197971797</v>
      </c>
    </row>
    <row r="233" spans="1:3" x14ac:dyDescent="0.25">
      <c r="A233" t="s">
        <v>73</v>
      </c>
      <c r="B233" s="1" t="s">
        <v>15</v>
      </c>
      <c r="C233" s="2">
        <v>206340908</v>
      </c>
    </row>
    <row r="234" spans="1:3" x14ac:dyDescent="0.25">
      <c r="A234" t="s">
        <v>73</v>
      </c>
      <c r="B234" s="1" t="s">
        <v>16</v>
      </c>
      <c r="C234" s="2">
        <v>207783766</v>
      </c>
    </row>
    <row r="235" spans="1:3" x14ac:dyDescent="0.25">
      <c r="A235" t="s">
        <v>73</v>
      </c>
      <c r="B235" s="1" t="s">
        <v>17</v>
      </c>
      <c r="C235" s="2">
        <v>201135481</v>
      </c>
    </row>
    <row r="236" spans="1:3" x14ac:dyDescent="0.25">
      <c r="A236" t="s">
        <v>73</v>
      </c>
      <c r="B236" s="1" t="s">
        <v>18</v>
      </c>
      <c r="C236" s="2">
        <v>211346011</v>
      </c>
    </row>
    <row r="237" spans="1:3" x14ac:dyDescent="0.25">
      <c r="A237" t="s">
        <v>73</v>
      </c>
      <c r="B237" s="1" t="s">
        <v>19</v>
      </c>
      <c r="C237" s="2">
        <v>214436988</v>
      </c>
    </row>
    <row r="238" spans="1:3" x14ac:dyDescent="0.25">
      <c r="A238" t="s">
        <v>73</v>
      </c>
      <c r="B238" s="1" t="s">
        <v>20</v>
      </c>
      <c r="C238" s="10" t="s">
        <v>139</v>
      </c>
    </row>
    <row r="239" spans="1:3" x14ac:dyDescent="0.25">
      <c r="A239" t="s">
        <v>73</v>
      </c>
      <c r="B239" s="1" t="s">
        <v>21</v>
      </c>
      <c r="C239" s="10" t="s">
        <v>140</v>
      </c>
    </row>
    <row r="240" spans="1:3" x14ac:dyDescent="0.25">
      <c r="A240" t="s">
        <v>73</v>
      </c>
      <c r="B240" s="1" t="s">
        <v>22</v>
      </c>
      <c r="C240" s="10" t="s">
        <v>141</v>
      </c>
    </row>
    <row r="241" spans="1:3" x14ac:dyDescent="0.25">
      <c r="A241" t="s">
        <v>73</v>
      </c>
      <c r="B241" s="1" t="s">
        <v>23</v>
      </c>
      <c r="C241" s="11" t="s">
        <v>142</v>
      </c>
    </row>
    <row r="242" spans="1:3" x14ac:dyDescent="0.25">
      <c r="A242" t="s">
        <v>74</v>
      </c>
      <c r="B242" s="1" t="s">
        <v>4</v>
      </c>
      <c r="C242" s="2">
        <v>28109938</v>
      </c>
    </row>
    <row r="243" spans="1:3" x14ac:dyDescent="0.25">
      <c r="A243" t="s">
        <v>74</v>
      </c>
      <c r="B243" s="1" t="s">
        <v>5</v>
      </c>
      <c r="C243" s="2">
        <v>28882830</v>
      </c>
    </row>
    <row r="244" spans="1:3" x14ac:dyDescent="0.25">
      <c r="A244" t="s">
        <v>74</v>
      </c>
      <c r="B244" s="1" t="s">
        <v>6</v>
      </c>
      <c r="C244" s="2">
        <v>26474197</v>
      </c>
    </row>
    <row r="245" spans="1:3" x14ac:dyDescent="0.25">
      <c r="A245" t="s">
        <v>74</v>
      </c>
      <c r="B245" s="1" t="s">
        <v>7</v>
      </c>
      <c r="C245" s="2">
        <v>26025189</v>
      </c>
    </row>
    <row r="246" spans="1:3" x14ac:dyDescent="0.25">
      <c r="A246" t="s">
        <v>74</v>
      </c>
      <c r="B246" s="1" t="s">
        <v>8</v>
      </c>
      <c r="C246" s="2">
        <v>26480214</v>
      </c>
    </row>
    <row r="247" spans="1:3" x14ac:dyDescent="0.25">
      <c r="A247" t="s">
        <v>74</v>
      </c>
      <c r="B247" s="1" t="s">
        <v>9</v>
      </c>
      <c r="C247" s="2">
        <v>26210375</v>
      </c>
    </row>
    <row r="248" spans="1:3" x14ac:dyDescent="0.25">
      <c r="A248" t="s">
        <v>74</v>
      </c>
      <c r="B248" s="1" t="s">
        <v>10</v>
      </c>
      <c r="C248" s="2">
        <v>25491163</v>
      </c>
    </row>
    <row r="249" spans="1:3" x14ac:dyDescent="0.25">
      <c r="A249" t="s">
        <v>74</v>
      </c>
      <c r="B249" s="1" t="s">
        <v>11</v>
      </c>
      <c r="C249" s="9">
        <v>25532041</v>
      </c>
    </row>
    <row r="250" spans="1:3" x14ac:dyDescent="0.25">
      <c r="A250" t="s">
        <v>74</v>
      </c>
      <c r="B250" s="1" t="s">
        <v>12</v>
      </c>
      <c r="C250" s="9">
        <v>25108074</v>
      </c>
    </row>
    <row r="251" spans="1:3" x14ac:dyDescent="0.25">
      <c r="A251" t="s">
        <v>74</v>
      </c>
      <c r="B251" s="1" t="s">
        <v>13</v>
      </c>
      <c r="C251" s="9">
        <v>24966618</v>
      </c>
    </row>
    <row r="252" spans="1:3" x14ac:dyDescent="0.25">
      <c r="A252" t="s">
        <v>74</v>
      </c>
      <c r="B252" s="1" t="s">
        <v>14</v>
      </c>
      <c r="C252" s="9">
        <v>28486616</v>
      </c>
    </row>
    <row r="253" spans="1:3" x14ac:dyDescent="0.25">
      <c r="A253" t="s">
        <v>74</v>
      </c>
      <c r="B253" s="1" t="s">
        <v>15</v>
      </c>
      <c r="C253" s="9">
        <v>30526965</v>
      </c>
    </row>
    <row r="254" spans="1:3" x14ac:dyDescent="0.25">
      <c r="A254" t="s">
        <v>74</v>
      </c>
      <c r="B254" s="1" t="s">
        <v>16</v>
      </c>
      <c r="C254" s="7">
        <v>29378221</v>
      </c>
    </row>
    <row r="255" spans="1:3" x14ac:dyDescent="0.25">
      <c r="A255" t="s">
        <v>74</v>
      </c>
      <c r="B255" s="1" t="s">
        <v>17</v>
      </c>
      <c r="C255" s="9">
        <v>27160915</v>
      </c>
    </row>
    <row r="256" spans="1:3" x14ac:dyDescent="0.25">
      <c r="A256" t="s">
        <v>74</v>
      </c>
      <c r="B256" s="1" t="s">
        <v>18</v>
      </c>
      <c r="C256" s="9">
        <v>26888216</v>
      </c>
    </row>
    <row r="257" spans="1:3" x14ac:dyDescent="0.25">
      <c r="A257" t="s">
        <v>74</v>
      </c>
      <c r="B257" s="1" t="s">
        <v>19</v>
      </c>
      <c r="C257" s="9">
        <v>26127820</v>
      </c>
    </row>
    <row r="258" spans="1:3" x14ac:dyDescent="0.25">
      <c r="A258" t="s">
        <v>74</v>
      </c>
      <c r="B258" s="1" t="s">
        <v>20</v>
      </c>
      <c r="C258" s="10" t="s">
        <v>143</v>
      </c>
    </row>
    <row r="259" spans="1:3" x14ac:dyDescent="0.25">
      <c r="A259" t="s">
        <v>74</v>
      </c>
      <c r="B259" s="1" t="s">
        <v>21</v>
      </c>
      <c r="C259" s="10" t="s">
        <v>144</v>
      </c>
    </row>
    <row r="260" spans="1:3" x14ac:dyDescent="0.25">
      <c r="A260" t="s">
        <v>74</v>
      </c>
      <c r="B260" s="1" t="s">
        <v>22</v>
      </c>
      <c r="C260" s="10" t="s">
        <v>145</v>
      </c>
    </row>
    <row r="261" spans="1:3" x14ac:dyDescent="0.25">
      <c r="A261" s="5" t="s">
        <v>74</v>
      </c>
      <c r="B261" s="1" t="s">
        <v>23</v>
      </c>
      <c r="C261" s="9"/>
    </row>
    <row r="262" spans="1:3" x14ac:dyDescent="0.25">
      <c r="A262" t="s">
        <v>75</v>
      </c>
      <c r="B262" s="1" t="s">
        <v>4</v>
      </c>
      <c r="C262" s="9">
        <v>7155757</v>
      </c>
    </row>
    <row r="263" spans="1:3" x14ac:dyDescent="0.25">
      <c r="A263" t="s">
        <v>75</v>
      </c>
      <c r="B263" s="1" t="s">
        <v>5</v>
      </c>
      <c r="C263" s="9">
        <v>7396242</v>
      </c>
    </row>
    <row r="264" spans="1:3" x14ac:dyDescent="0.25">
      <c r="A264" t="s">
        <v>75</v>
      </c>
      <c r="B264" s="1" t="s">
        <v>6</v>
      </c>
      <c r="C264" s="9">
        <v>7121266</v>
      </c>
    </row>
    <row r="265" spans="1:3" x14ac:dyDescent="0.25">
      <c r="A265" t="s">
        <v>75</v>
      </c>
      <c r="B265" s="1" t="s">
        <v>7</v>
      </c>
      <c r="C265" s="9">
        <v>7297274</v>
      </c>
    </row>
    <row r="266" spans="1:3" x14ac:dyDescent="0.25">
      <c r="A266" t="s">
        <v>75</v>
      </c>
      <c r="B266" s="1" t="s">
        <v>8</v>
      </c>
      <c r="C266" s="9">
        <v>7698672</v>
      </c>
    </row>
    <row r="267" spans="1:3" x14ac:dyDescent="0.25">
      <c r="A267" t="s">
        <v>75</v>
      </c>
      <c r="B267" s="1" t="s">
        <v>9</v>
      </c>
      <c r="C267" s="9">
        <v>7379818</v>
      </c>
    </row>
    <row r="268" spans="1:3" x14ac:dyDescent="0.25">
      <c r="A268" t="s">
        <v>75</v>
      </c>
      <c r="B268" s="1" t="s">
        <v>10</v>
      </c>
      <c r="C268" s="9">
        <v>7148922</v>
      </c>
    </row>
    <row r="269" spans="1:3" x14ac:dyDescent="0.25">
      <c r="A269" t="s">
        <v>75</v>
      </c>
      <c r="B269" s="1" t="s">
        <v>11</v>
      </c>
      <c r="C269" s="9">
        <v>7607654</v>
      </c>
    </row>
    <row r="270" spans="1:3" x14ac:dyDescent="0.25">
      <c r="A270" t="s">
        <v>75</v>
      </c>
      <c r="B270" s="1" t="s">
        <v>12</v>
      </c>
      <c r="C270" s="9">
        <v>7917744</v>
      </c>
    </row>
    <row r="271" spans="1:3" x14ac:dyDescent="0.25">
      <c r="A271" t="s">
        <v>75</v>
      </c>
      <c r="B271" s="1" t="s">
        <v>13</v>
      </c>
      <c r="C271" s="9">
        <v>7686327</v>
      </c>
    </row>
    <row r="272" spans="1:3" x14ac:dyDescent="0.25">
      <c r="A272" t="s">
        <v>75</v>
      </c>
      <c r="B272" s="1" t="s">
        <v>14</v>
      </c>
      <c r="C272" s="9">
        <v>8043256</v>
      </c>
    </row>
    <row r="273" spans="1:3" x14ac:dyDescent="0.25">
      <c r="A273" t="s">
        <v>75</v>
      </c>
      <c r="B273" s="1" t="s">
        <v>15</v>
      </c>
      <c r="C273" s="9">
        <v>7637523</v>
      </c>
    </row>
    <row r="274" spans="1:3" x14ac:dyDescent="0.25">
      <c r="A274" t="s">
        <v>75</v>
      </c>
      <c r="B274" s="1" t="s">
        <v>16</v>
      </c>
      <c r="C274" s="9">
        <v>7601659</v>
      </c>
    </row>
    <row r="275" spans="1:3" x14ac:dyDescent="0.25">
      <c r="A275" t="s">
        <v>75</v>
      </c>
      <c r="B275" s="1" t="s">
        <v>17</v>
      </c>
      <c r="C275" s="7">
        <v>7545988</v>
      </c>
    </row>
    <row r="276" spans="1:3" x14ac:dyDescent="0.25">
      <c r="A276" t="s">
        <v>75</v>
      </c>
      <c r="B276" s="1" t="s">
        <v>18</v>
      </c>
      <c r="C276" s="9">
        <v>7251694</v>
      </c>
    </row>
    <row r="277" spans="1:3" x14ac:dyDescent="0.25">
      <c r="A277" t="s">
        <v>75</v>
      </c>
      <c r="B277" s="1" t="s">
        <v>19</v>
      </c>
      <c r="C277" s="9">
        <v>8666526</v>
      </c>
    </row>
    <row r="278" spans="1:3" x14ac:dyDescent="0.25">
      <c r="A278" t="s">
        <v>75</v>
      </c>
      <c r="B278" s="1" t="s">
        <v>20</v>
      </c>
      <c r="C278" s="10" t="s">
        <v>146</v>
      </c>
    </row>
    <row r="279" spans="1:3" x14ac:dyDescent="0.25">
      <c r="A279" t="s">
        <v>75</v>
      </c>
      <c r="B279" s="1" t="s">
        <v>21</v>
      </c>
      <c r="C279" s="9">
        <v>8791457</v>
      </c>
    </row>
    <row r="280" spans="1:3" x14ac:dyDescent="0.25">
      <c r="A280" t="s">
        <v>75</v>
      </c>
      <c r="B280" s="1" t="s">
        <v>22</v>
      </c>
      <c r="C280" s="10" t="s">
        <v>147</v>
      </c>
    </row>
    <row r="281" spans="1:3" x14ac:dyDescent="0.25">
      <c r="A281" t="s">
        <v>75</v>
      </c>
      <c r="B281" s="1" t="s">
        <v>23</v>
      </c>
      <c r="C281" s="8">
        <v>8211292</v>
      </c>
    </row>
    <row r="282" spans="1:3" x14ac:dyDescent="0.25">
      <c r="A282" t="s">
        <v>76</v>
      </c>
      <c r="B282" s="1" t="s">
        <v>4</v>
      </c>
      <c r="C282" s="2">
        <v>55313192</v>
      </c>
    </row>
    <row r="283" spans="1:3" x14ac:dyDescent="0.25">
      <c r="A283" t="s">
        <v>76</v>
      </c>
      <c r="B283" s="1" t="s">
        <v>5</v>
      </c>
      <c r="C283" s="2">
        <v>59537033</v>
      </c>
    </row>
    <row r="284" spans="1:3" x14ac:dyDescent="0.25">
      <c r="A284" t="s">
        <v>76</v>
      </c>
      <c r="B284" s="1" t="s">
        <v>6</v>
      </c>
      <c r="C284" s="2">
        <v>63427447</v>
      </c>
    </row>
    <row r="285" spans="1:3" x14ac:dyDescent="0.25">
      <c r="A285" t="s">
        <v>76</v>
      </c>
      <c r="B285" s="1" t="s">
        <v>7</v>
      </c>
      <c r="C285" s="2">
        <v>62689118</v>
      </c>
    </row>
    <row r="286" spans="1:3" x14ac:dyDescent="0.25">
      <c r="A286" t="s">
        <v>76</v>
      </c>
      <c r="B286" s="1" t="s">
        <v>8</v>
      </c>
      <c r="C286" s="2">
        <v>63091469</v>
      </c>
    </row>
    <row r="287" spans="1:3" x14ac:dyDescent="0.25">
      <c r="A287" t="s">
        <v>76</v>
      </c>
      <c r="B287" s="1" t="s">
        <v>9</v>
      </c>
      <c r="C287" s="2">
        <v>68951774</v>
      </c>
    </row>
    <row r="288" spans="1:3" x14ac:dyDescent="0.25">
      <c r="A288" t="s">
        <v>76</v>
      </c>
      <c r="B288" s="1" t="s">
        <v>10</v>
      </c>
      <c r="C288" s="2">
        <v>72128316</v>
      </c>
    </row>
    <row r="289" spans="1:3" x14ac:dyDescent="0.25">
      <c r="A289" t="s">
        <v>76</v>
      </c>
      <c r="B289" s="1" t="s">
        <v>11</v>
      </c>
      <c r="C289" s="2">
        <v>76715290</v>
      </c>
    </row>
    <row r="290" spans="1:3" x14ac:dyDescent="0.25">
      <c r="A290" t="s">
        <v>76</v>
      </c>
      <c r="B290" s="1" t="s">
        <v>12</v>
      </c>
      <c r="C290" s="2">
        <v>69720706</v>
      </c>
    </row>
    <row r="291" spans="1:3" x14ac:dyDescent="0.25">
      <c r="A291" t="s">
        <v>76</v>
      </c>
      <c r="B291" s="1" t="s">
        <v>13</v>
      </c>
      <c r="C291" s="2">
        <v>75240142</v>
      </c>
    </row>
    <row r="292" spans="1:3" x14ac:dyDescent="0.25">
      <c r="A292" t="s">
        <v>76</v>
      </c>
      <c r="B292" s="1" t="s">
        <v>14</v>
      </c>
      <c r="C292" s="2">
        <v>82080977</v>
      </c>
    </row>
    <row r="293" spans="1:3" x14ac:dyDescent="0.25">
      <c r="A293" t="s">
        <v>76</v>
      </c>
      <c r="B293" s="1" t="s">
        <v>15</v>
      </c>
      <c r="C293" s="2">
        <v>83619452</v>
      </c>
    </row>
    <row r="294" spans="1:3" x14ac:dyDescent="0.25">
      <c r="A294" t="s">
        <v>76</v>
      </c>
      <c r="B294" s="1" t="s">
        <v>16</v>
      </c>
      <c r="C294" s="2">
        <v>89647568</v>
      </c>
    </row>
    <row r="295" spans="1:3" x14ac:dyDescent="0.25">
      <c r="A295" t="s">
        <v>76</v>
      </c>
      <c r="B295" s="1" t="s">
        <v>17</v>
      </c>
      <c r="C295" s="2">
        <v>95478871</v>
      </c>
    </row>
    <row r="296" spans="1:3" x14ac:dyDescent="0.25">
      <c r="A296" t="s">
        <v>76</v>
      </c>
      <c r="B296" s="1" t="s">
        <v>18</v>
      </c>
      <c r="C296" s="2">
        <v>101002784</v>
      </c>
    </row>
    <row r="297" spans="1:3" x14ac:dyDescent="0.25">
      <c r="A297" t="s">
        <v>76</v>
      </c>
      <c r="B297" s="1" t="s">
        <v>19</v>
      </c>
      <c r="C297" s="2">
        <v>100723330</v>
      </c>
    </row>
    <row r="298" spans="1:3" x14ac:dyDescent="0.25">
      <c r="A298" t="s">
        <v>76</v>
      </c>
      <c r="B298" s="1" t="s">
        <v>20</v>
      </c>
      <c r="C298" s="10" t="s">
        <v>148</v>
      </c>
    </row>
    <row r="299" spans="1:3" x14ac:dyDescent="0.25">
      <c r="A299" t="s">
        <v>76</v>
      </c>
      <c r="B299" s="1" t="s">
        <v>21</v>
      </c>
      <c r="C299" s="10" t="s">
        <v>149</v>
      </c>
    </row>
    <row r="300" spans="1:3" x14ac:dyDescent="0.25">
      <c r="A300" t="s">
        <v>76</v>
      </c>
      <c r="B300" s="1" t="s">
        <v>22</v>
      </c>
      <c r="C300" s="10" t="s">
        <v>150</v>
      </c>
    </row>
    <row r="301" spans="1:3" x14ac:dyDescent="0.25">
      <c r="A301" t="s">
        <v>76</v>
      </c>
      <c r="B301" s="1" t="s">
        <v>23</v>
      </c>
      <c r="C301" s="8">
        <v>103031367</v>
      </c>
    </row>
    <row r="302" spans="1:3" x14ac:dyDescent="0.25">
      <c r="A302" t="s">
        <v>77</v>
      </c>
      <c r="B302" s="1" t="s">
        <v>4</v>
      </c>
      <c r="C302" s="2">
        <v>17739090</v>
      </c>
    </row>
    <row r="303" spans="1:3" x14ac:dyDescent="0.25">
      <c r="A303" t="s">
        <v>77</v>
      </c>
      <c r="B303" s="1" t="s">
        <v>5</v>
      </c>
      <c r="C303" s="2">
        <v>17842187</v>
      </c>
    </row>
    <row r="304" spans="1:3" x14ac:dyDescent="0.25">
      <c r="A304" t="s">
        <v>77</v>
      </c>
      <c r="B304" s="1" t="s">
        <v>6</v>
      </c>
      <c r="C304" s="2">
        <v>17845096</v>
      </c>
    </row>
    <row r="305" spans="1:3" x14ac:dyDescent="0.25">
      <c r="A305" t="s">
        <v>77</v>
      </c>
      <c r="B305" s="1" t="s">
        <v>7</v>
      </c>
      <c r="C305" s="2">
        <v>17823669</v>
      </c>
    </row>
    <row r="306" spans="1:3" x14ac:dyDescent="0.25">
      <c r="A306" t="s">
        <v>77</v>
      </c>
      <c r="B306" s="1" t="s">
        <v>8</v>
      </c>
      <c r="C306" s="2">
        <v>17963452</v>
      </c>
    </row>
    <row r="307" spans="1:3" x14ac:dyDescent="0.25">
      <c r="A307" t="s">
        <v>77</v>
      </c>
      <c r="B307" s="1" t="s">
        <v>9</v>
      </c>
      <c r="C307" s="2">
        <v>15864199</v>
      </c>
    </row>
    <row r="308" spans="1:3" x14ac:dyDescent="0.25">
      <c r="A308" t="s">
        <v>77</v>
      </c>
      <c r="B308" s="1" t="s">
        <v>10</v>
      </c>
      <c r="C308" s="2">
        <v>17029802</v>
      </c>
    </row>
    <row r="309" spans="1:3" x14ac:dyDescent="0.25">
      <c r="A309" t="s">
        <v>77</v>
      </c>
      <c r="B309" s="1" t="s">
        <v>11</v>
      </c>
      <c r="C309" s="2">
        <v>17311597</v>
      </c>
    </row>
    <row r="310" spans="1:3" x14ac:dyDescent="0.25">
      <c r="A310" t="s">
        <v>77</v>
      </c>
      <c r="B310" s="1" t="s">
        <v>12</v>
      </c>
      <c r="C310" s="2">
        <v>19501696</v>
      </c>
    </row>
    <row r="311" spans="1:3" x14ac:dyDescent="0.25">
      <c r="A311" t="s">
        <v>77</v>
      </c>
      <c r="B311" s="1" t="s">
        <v>13</v>
      </c>
      <c r="C311" s="2">
        <v>16326679</v>
      </c>
    </row>
    <row r="312" spans="1:3" x14ac:dyDescent="0.25">
      <c r="A312" t="s">
        <v>77</v>
      </c>
      <c r="B312" s="1" t="s">
        <v>14</v>
      </c>
      <c r="C312" s="2">
        <v>16175888</v>
      </c>
    </row>
    <row r="313" spans="1:3" x14ac:dyDescent="0.25">
      <c r="A313" t="s">
        <v>77</v>
      </c>
      <c r="B313" s="1" t="s">
        <v>15</v>
      </c>
      <c r="C313" s="2">
        <v>16204908</v>
      </c>
    </row>
    <row r="314" spans="1:3" x14ac:dyDescent="0.25">
      <c r="A314" t="s">
        <v>77</v>
      </c>
      <c r="B314" s="1" t="s">
        <v>16</v>
      </c>
      <c r="C314" s="2">
        <v>16742754</v>
      </c>
    </row>
    <row r="315" spans="1:3" x14ac:dyDescent="0.25">
      <c r="A315" t="s">
        <v>77</v>
      </c>
      <c r="B315" s="1" t="s">
        <v>17</v>
      </c>
      <c r="C315" s="2">
        <v>17352543</v>
      </c>
    </row>
    <row r="316" spans="1:3" x14ac:dyDescent="0.25">
      <c r="A316" t="s">
        <v>77</v>
      </c>
      <c r="B316" s="1" t="s">
        <v>18</v>
      </c>
      <c r="C316" s="2">
        <v>17973075</v>
      </c>
    </row>
    <row r="317" spans="1:3" x14ac:dyDescent="0.25">
      <c r="A317" t="s">
        <v>77</v>
      </c>
      <c r="B317" s="1" t="s">
        <v>19</v>
      </c>
      <c r="C317" s="2">
        <v>21317575</v>
      </c>
    </row>
    <row r="318" spans="1:3" x14ac:dyDescent="0.25">
      <c r="A318" t="s">
        <v>77</v>
      </c>
      <c r="B318" s="1" t="s">
        <v>20</v>
      </c>
      <c r="C318" s="10" t="s">
        <v>151</v>
      </c>
    </row>
    <row r="319" spans="1:3" x14ac:dyDescent="0.25">
      <c r="A319" t="s">
        <v>77</v>
      </c>
      <c r="B319" s="1" t="s">
        <v>21</v>
      </c>
      <c r="C319" s="10" t="s">
        <v>152</v>
      </c>
    </row>
    <row r="320" spans="1:3" x14ac:dyDescent="0.25">
      <c r="A320" t="s">
        <v>77</v>
      </c>
      <c r="B320" s="1" t="s">
        <v>22</v>
      </c>
      <c r="C320" s="10" t="s">
        <v>153</v>
      </c>
    </row>
    <row r="321" spans="1:3" x14ac:dyDescent="0.25">
      <c r="A321" s="5" t="s">
        <v>77</v>
      </c>
      <c r="B321" s="1" t="s">
        <v>23</v>
      </c>
      <c r="C321" s="2"/>
    </row>
    <row r="322" spans="1:3" x14ac:dyDescent="0.25">
      <c r="A322" t="s">
        <v>78</v>
      </c>
      <c r="B322" s="1" t="s">
        <v>4</v>
      </c>
      <c r="C322" s="2">
        <v>79838018</v>
      </c>
    </row>
    <row r="323" spans="1:3" x14ac:dyDescent="0.25">
      <c r="A323" t="s">
        <v>78</v>
      </c>
      <c r="B323" s="1" t="s">
        <v>5</v>
      </c>
      <c r="C323" s="2">
        <v>80312119</v>
      </c>
    </row>
    <row r="324" spans="1:3" x14ac:dyDescent="0.25">
      <c r="A324" t="s">
        <v>78</v>
      </c>
      <c r="B324" s="1" t="s">
        <v>6</v>
      </c>
      <c r="C324" s="2">
        <v>83155655</v>
      </c>
    </row>
    <row r="325" spans="1:3" x14ac:dyDescent="0.25">
      <c r="A325" t="s">
        <v>78</v>
      </c>
      <c r="B325" s="1" t="s">
        <v>7</v>
      </c>
      <c r="C325" s="2">
        <v>86971893</v>
      </c>
    </row>
    <row r="326" spans="1:3" x14ac:dyDescent="0.25">
      <c r="A326" t="s">
        <v>78</v>
      </c>
      <c r="B326" s="1" t="s">
        <v>8</v>
      </c>
      <c r="C326" s="2">
        <v>89694724</v>
      </c>
    </row>
    <row r="327" spans="1:3" x14ac:dyDescent="0.25">
      <c r="A327" t="s">
        <v>78</v>
      </c>
      <c r="B327" s="1" t="s">
        <v>9</v>
      </c>
      <c r="C327" s="2">
        <v>89086631</v>
      </c>
    </row>
    <row r="328" spans="1:3" x14ac:dyDescent="0.25">
      <c r="A328" t="s">
        <v>78</v>
      </c>
      <c r="B328" s="1" t="s">
        <v>10</v>
      </c>
      <c r="C328" s="7">
        <v>92219734</v>
      </c>
    </row>
    <row r="329" spans="1:3" x14ac:dyDescent="0.25">
      <c r="A329" t="s">
        <v>78</v>
      </c>
      <c r="B329" s="1" t="s">
        <v>11</v>
      </c>
      <c r="C329" s="9">
        <v>93408831</v>
      </c>
    </row>
    <row r="330" spans="1:3" x14ac:dyDescent="0.25">
      <c r="A330" t="s">
        <v>78</v>
      </c>
      <c r="B330" s="1" t="s">
        <v>12</v>
      </c>
      <c r="C330" s="9">
        <v>89205160</v>
      </c>
    </row>
    <row r="331" spans="1:3" x14ac:dyDescent="0.25">
      <c r="A331" t="s">
        <v>78</v>
      </c>
      <c r="B331" s="1" t="s">
        <v>13</v>
      </c>
      <c r="C331" s="9">
        <v>88722063</v>
      </c>
    </row>
    <row r="332" spans="1:3" x14ac:dyDescent="0.25">
      <c r="A332" t="s">
        <v>78</v>
      </c>
      <c r="B332" s="1" t="s">
        <v>14</v>
      </c>
      <c r="C332" s="7">
        <v>86652476</v>
      </c>
    </row>
    <row r="333" spans="1:3" x14ac:dyDescent="0.25">
      <c r="A333" t="s">
        <v>78</v>
      </c>
      <c r="B333" s="1" t="s">
        <v>15</v>
      </c>
      <c r="C333" s="9">
        <v>92518025</v>
      </c>
    </row>
    <row r="334" spans="1:3" x14ac:dyDescent="0.25">
      <c r="A334" t="s">
        <v>78</v>
      </c>
      <c r="B334" s="1" t="s">
        <v>16</v>
      </c>
      <c r="C334" s="9">
        <v>104129755</v>
      </c>
    </row>
    <row r="335" spans="1:3" x14ac:dyDescent="0.25">
      <c r="A335" t="s">
        <v>78</v>
      </c>
      <c r="B335" s="1" t="s">
        <v>17</v>
      </c>
      <c r="C335" s="7">
        <v>111686446</v>
      </c>
    </row>
    <row r="336" spans="1:3" x14ac:dyDescent="0.25">
      <c r="A336" t="s">
        <v>78</v>
      </c>
      <c r="B336" s="1" t="s">
        <v>18</v>
      </c>
      <c r="C336" s="9">
        <v>114640479</v>
      </c>
    </row>
    <row r="337" spans="1:3" x14ac:dyDescent="0.25">
      <c r="A337" t="s">
        <v>78</v>
      </c>
      <c r="B337" s="1" t="s">
        <v>19</v>
      </c>
      <c r="C337" s="9">
        <v>119104185</v>
      </c>
    </row>
    <row r="338" spans="1:3" x14ac:dyDescent="0.25">
      <c r="A338" t="s">
        <v>78</v>
      </c>
      <c r="B338" s="1" t="s">
        <v>20</v>
      </c>
      <c r="C338" s="10" t="s">
        <v>154</v>
      </c>
    </row>
    <row r="339" spans="1:3" x14ac:dyDescent="0.25">
      <c r="A339" t="s">
        <v>78</v>
      </c>
      <c r="B339" s="1" t="s">
        <v>21</v>
      </c>
      <c r="C339" s="10" t="s">
        <v>155</v>
      </c>
    </row>
    <row r="340" spans="1:3" x14ac:dyDescent="0.25">
      <c r="A340" t="s">
        <v>78</v>
      </c>
      <c r="B340" s="1" t="s">
        <v>22</v>
      </c>
      <c r="C340" s="10" t="s">
        <v>156</v>
      </c>
    </row>
    <row r="341" spans="1:3" x14ac:dyDescent="0.25">
      <c r="A341" s="5" t="s">
        <v>78</v>
      </c>
      <c r="B341" s="1" t="s">
        <v>23</v>
      </c>
      <c r="C341" s="9"/>
    </row>
    <row r="342" spans="1:3" x14ac:dyDescent="0.25">
      <c r="A342" t="s">
        <v>79</v>
      </c>
      <c r="B342" s="1" t="s">
        <v>4</v>
      </c>
      <c r="C342" s="9">
        <v>4594843</v>
      </c>
    </row>
    <row r="343" spans="1:3" x14ac:dyDescent="0.25">
      <c r="A343" t="s">
        <v>79</v>
      </c>
      <c r="B343" s="1" t="s">
        <v>5</v>
      </c>
      <c r="C343" s="9">
        <v>4503328</v>
      </c>
    </row>
    <row r="344" spans="1:3" x14ac:dyDescent="0.25">
      <c r="A344" t="s">
        <v>79</v>
      </c>
      <c r="B344" s="1" t="s">
        <v>6</v>
      </c>
      <c r="C344" s="9">
        <v>4351967</v>
      </c>
    </row>
    <row r="345" spans="1:3" x14ac:dyDescent="0.25">
      <c r="A345" t="s">
        <v>79</v>
      </c>
      <c r="B345" s="1" t="s">
        <v>7</v>
      </c>
      <c r="C345" s="9">
        <v>3896760</v>
      </c>
    </row>
    <row r="346" spans="1:3" x14ac:dyDescent="0.25">
      <c r="A346" t="s">
        <v>79</v>
      </c>
      <c r="B346" s="1" t="s">
        <v>8</v>
      </c>
      <c r="C346" s="9">
        <v>3832001</v>
      </c>
    </row>
    <row r="347" spans="1:3" x14ac:dyDescent="0.25">
      <c r="A347" t="s">
        <v>79</v>
      </c>
      <c r="B347" s="1" t="s">
        <v>9</v>
      </c>
      <c r="C347" s="9">
        <v>3727915</v>
      </c>
    </row>
    <row r="348" spans="1:3" x14ac:dyDescent="0.25">
      <c r="A348" t="s">
        <v>79</v>
      </c>
      <c r="B348" s="1" t="s">
        <v>10</v>
      </c>
      <c r="C348" s="9">
        <v>3796685</v>
      </c>
    </row>
    <row r="349" spans="1:3" x14ac:dyDescent="0.25">
      <c r="A349" t="s">
        <v>79</v>
      </c>
      <c r="B349" s="1" t="s">
        <v>11</v>
      </c>
      <c r="C349" s="9">
        <v>4007413</v>
      </c>
    </row>
    <row r="350" spans="1:3" x14ac:dyDescent="0.25">
      <c r="A350" t="s">
        <v>79</v>
      </c>
      <c r="B350" s="1" t="s">
        <v>12</v>
      </c>
      <c r="C350" s="9">
        <v>4027548</v>
      </c>
    </row>
    <row r="351" spans="1:3" x14ac:dyDescent="0.25">
      <c r="A351" t="s">
        <v>79</v>
      </c>
      <c r="B351" s="1" t="s">
        <v>13</v>
      </c>
      <c r="C351" s="9">
        <v>3766486</v>
      </c>
    </row>
    <row r="352" spans="1:3" x14ac:dyDescent="0.25">
      <c r="A352" t="s">
        <v>79</v>
      </c>
      <c r="B352" s="1" t="s">
        <v>14</v>
      </c>
      <c r="C352" s="9">
        <v>3808717</v>
      </c>
    </row>
    <row r="353" spans="1:3" x14ac:dyDescent="0.25">
      <c r="A353" t="s">
        <v>79</v>
      </c>
      <c r="B353" s="1" t="s">
        <v>15</v>
      </c>
      <c r="C353" s="9">
        <v>3721363</v>
      </c>
    </row>
    <row r="354" spans="1:3" x14ac:dyDescent="0.25">
      <c r="A354" t="s">
        <v>79</v>
      </c>
      <c r="B354" s="1" t="s">
        <v>16</v>
      </c>
      <c r="C354" s="9">
        <v>3669705</v>
      </c>
    </row>
    <row r="355" spans="1:3" x14ac:dyDescent="0.25">
      <c r="A355" t="s">
        <v>79</v>
      </c>
      <c r="B355" s="1" t="s">
        <v>17</v>
      </c>
      <c r="C355" s="9">
        <v>3554651</v>
      </c>
    </row>
    <row r="356" spans="1:3" x14ac:dyDescent="0.25">
      <c r="A356" t="s">
        <v>79</v>
      </c>
      <c r="B356" s="1" t="s">
        <v>18</v>
      </c>
      <c r="C356" s="9">
        <v>3311380</v>
      </c>
    </row>
    <row r="357" spans="1:3" x14ac:dyDescent="0.25">
      <c r="A357" t="s">
        <v>79</v>
      </c>
      <c r="B357" s="1" t="s">
        <v>19</v>
      </c>
      <c r="C357" s="9">
        <v>4258288</v>
      </c>
    </row>
    <row r="358" spans="1:3" x14ac:dyDescent="0.25">
      <c r="A358" t="s">
        <v>79</v>
      </c>
      <c r="B358" s="1" t="s">
        <v>20</v>
      </c>
      <c r="C358" s="10" t="s">
        <v>157</v>
      </c>
    </row>
    <row r="359" spans="1:3" x14ac:dyDescent="0.25">
      <c r="A359" t="s">
        <v>79</v>
      </c>
      <c r="B359" s="1" t="s">
        <v>21</v>
      </c>
      <c r="C359" s="10" t="s">
        <v>158</v>
      </c>
    </row>
    <row r="360" spans="1:3" x14ac:dyDescent="0.25">
      <c r="A360" t="s">
        <v>79</v>
      </c>
      <c r="B360" s="1" t="s">
        <v>22</v>
      </c>
      <c r="C360" s="10" t="s">
        <v>159</v>
      </c>
    </row>
    <row r="361" spans="1:3" x14ac:dyDescent="0.25">
      <c r="A361" s="5" t="s">
        <v>79</v>
      </c>
      <c r="B361" s="1" t="s">
        <v>23</v>
      </c>
      <c r="C361" s="9"/>
    </row>
    <row r="362" spans="1:3" x14ac:dyDescent="0.25">
      <c r="A362" t="s">
        <v>80</v>
      </c>
      <c r="B362" s="1" t="s">
        <v>4</v>
      </c>
      <c r="C362" s="9">
        <v>11959701</v>
      </c>
    </row>
    <row r="363" spans="1:3" x14ac:dyDescent="0.25">
      <c r="A363" t="s">
        <v>80</v>
      </c>
      <c r="B363" s="1" t="s">
        <v>5</v>
      </c>
      <c r="C363" s="9">
        <v>12089309</v>
      </c>
    </row>
    <row r="364" spans="1:3" x14ac:dyDescent="0.25">
      <c r="A364" t="s">
        <v>80</v>
      </c>
      <c r="B364" s="1" t="s">
        <v>6</v>
      </c>
      <c r="C364" s="9">
        <v>11914067</v>
      </c>
    </row>
    <row r="365" spans="1:3" x14ac:dyDescent="0.25">
      <c r="A365" t="s">
        <v>80</v>
      </c>
      <c r="B365" s="1" t="s">
        <v>7</v>
      </c>
      <c r="C365" s="9">
        <v>12093079</v>
      </c>
    </row>
    <row r="366" spans="1:3" x14ac:dyDescent="0.25">
      <c r="A366" t="s">
        <v>80</v>
      </c>
      <c r="B366" s="1" t="s">
        <v>8</v>
      </c>
      <c r="C366" s="9">
        <v>11903140</v>
      </c>
    </row>
    <row r="367" spans="1:3" x14ac:dyDescent="0.25">
      <c r="A367" t="s">
        <v>80</v>
      </c>
      <c r="B367" s="1" t="s">
        <v>9</v>
      </c>
      <c r="C367" s="9">
        <v>12000850</v>
      </c>
    </row>
    <row r="368" spans="1:3" x14ac:dyDescent="0.25">
      <c r="A368" t="s">
        <v>80</v>
      </c>
      <c r="B368" s="1" t="s">
        <v>10</v>
      </c>
      <c r="C368" s="9">
        <v>12414579</v>
      </c>
    </row>
    <row r="369" spans="1:3" x14ac:dyDescent="0.25">
      <c r="A369" t="s">
        <v>80</v>
      </c>
      <c r="B369" s="1" t="s">
        <v>11</v>
      </c>
      <c r="C369" s="9">
        <v>12900219</v>
      </c>
    </row>
    <row r="370" spans="1:3" x14ac:dyDescent="0.25">
      <c r="A370" t="s">
        <v>80</v>
      </c>
      <c r="B370" s="1" t="s">
        <v>12</v>
      </c>
      <c r="C370" s="9">
        <v>12786225</v>
      </c>
    </row>
    <row r="371" spans="1:3" x14ac:dyDescent="0.25">
      <c r="A371" t="s">
        <v>80</v>
      </c>
      <c r="B371" s="1" t="s">
        <v>13</v>
      </c>
      <c r="C371" s="9">
        <v>12991967</v>
      </c>
    </row>
    <row r="372" spans="1:3" x14ac:dyDescent="0.25">
      <c r="A372" t="s">
        <v>80</v>
      </c>
      <c r="B372" s="1" t="s">
        <v>14</v>
      </c>
      <c r="C372" s="9">
        <v>13476276</v>
      </c>
    </row>
    <row r="373" spans="1:3" x14ac:dyDescent="0.25">
      <c r="A373" t="s">
        <v>80</v>
      </c>
      <c r="B373" s="1" t="s">
        <v>15</v>
      </c>
      <c r="C373" s="9">
        <v>14159755</v>
      </c>
    </row>
    <row r="374" spans="1:3" x14ac:dyDescent="0.25">
      <c r="A374" t="s">
        <v>80</v>
      </c>
      <c r="B374" s="1" t="s">
        <v>16</v>
      </c>
      <c r="C374" s="2">
        <v>14458153</v>
      </c>
    </row>
    <row r="375" spans="1:3" x14ac:dyDescent="0.25">
      <c r="A375" t="s">
        <v>80</v>
      </c>
      <c r="B375" s="1" t="s">
        <v>17</v>
      </c>
      <c r="C375" s="2">
        <v>15360958</v>
      </c>
    </row>
    <row r="376" spans="1:3" x14ac:dyDescent="0.25">
      <c r="A376" t="s">
        <v>80</v>
      </c>
      <c r="B376" s="1" t="s">
        <v>18</v>
      </c>
      <c r="C376" s="2">
        <v>16191295</v>
      </c>
    </row>
    <row r="377" spans="1:3" x14ac:dyDescent="0.25">
      <c r="A377" t="s">
        <v>80</v>
      </c>
      <c r="B377" s="1" t="s">
        <v>19</v>
      </c>
      <c r="C377" s="2">
        <v>15983152</v>
      </c>
    </row>
    <row r="378" spans="1:3" x14ac:dyDescent="0.25">
      <c r="A378" t="s">
        <v>80</v>
      </c>
      <c r="B378" s="1" t="s">
        <v>20</v>
      </c>
      <c r="C378" s="10" t="s">
        <v>160</v>
      </c>
    </row>
    <row r="379" spans="1:3" x14ac:dyDescent="0.25">
      <c r="A379" t="s">
        <v>80</v>
      </c>
      <c r="B379" s="1" t="s">
        <v>21</v>
      </c>
      <c r="C379" s="10" t="s">
        <v>161</v>
      </c>
    </row>
    <row r="380" spans="1:3" x14ac:dyDescent="0.25">
      <c r="A380" t="s">
        <v>80</v>
      </c>
      <c r="B380" s="1" t="s">
        <v>22</v>
      </c>
      <c r="C380" s="10" t="s">
        <v>162</v>
      </c>
    </row>
    <row r="381" spans="1:3" x14ac:dyDescent="0.25">
      <c r="A381" s="5" t="s">
        <v>80</v>
      </c>
      <c r="B381" s="1" t="s">
        <v>23</v>
      </c>
      <c r="C381" s="2"/>
    </row>
    <row r="382" spans="1:3" x14ac:dyDescent="0.25">
      <c r="A382" t="s">
        <v>81</v>
      </c>
      <c r="B382" s="1" t="s">
        <v>4</v>
      </c>
      <c r="C382" s="2">
        <v>31043833</v>
      </c>
    </row>
    <row r="383" spans="1:3" x14ac:dyDescent="0.25">
      <c r="A383" t="s">
        <v>81</v>
      </c>
      <c r="B383" s="1" t="s">
        <v>5</v>
      </c>
      <c r="C383" s="2">
        <v>29701432</v>
      </c>
    </row>
    <row r="384" spans="1:3" x14ac:dyDescent="0.25">
      <c r="A384" t="s">
        <v>81</v>
      </c>
      <c r="B384" s="1" t="s">
        <v>6</v>
      </c>
      <c r="C384" s="2">
        <v>30903093</v>
      </c>
    </row>
    <row r="385" spans="1:3" x14ac:dyDescent="0.25">
      <c r="A385" t="s">
        <v>81</v>
      </c>
      <c r="B385" s="1" t="s">
        <v>7</v>
      </c>
      <c r="C385" s="2">
        <v>30748742</v>
      </c>
    </row>
    <row r="386" spans="1:3" x14ac:dyDescent="0.25">
      <c r="A386" t="s">
        <v>81</v>
      </c>
      <c r="B386" s="1" t="s">
        <v>8</v>
      </c>
      <c r="C386" s="2">
        <v>33506541</v>
      </c>
    </row>
    <row r="387" spans="1:3" x14ac:dyDescent="0.25">
      <c r="A387" t="s">
        <v>81</v>
      </c>
      <c r="B387" s="1" t="s">
        <v>9</v>
      </c>
      <c r="C387" s="2">
        <v>36995880</v>
      </c>
    </row>
    <row r="388" spans="1:3" x14ac:dyDescent="0.25">
      <c r="A388" t="s">
        <v>81</v>
      </c>
      <c r="B388" s="1" t="s">
        <v>10</v>
      </c>
      <c r="C388" s="2">
        <v>37390492</v>
      </c>
    </row>
    <row r="389" spans="1:3" x14ac:dyDescent="0.25">
      <c r="A389" t="s">
        <v>81</v>
      </c>
      <c r="B389" s="1" t="s">
        <v>11</v>
      </c>
      <c r="C389" s="7">
        <v>36559556</v>
      </c>
    </row>
    <row r="390" spans="1:3" x14ac:dyDescent="0.25">
      <c r="A390" t="s">
        <v>81</v>
      </c>
      <c r="B390" s="1" t="s">
        <v>12</v>
      </c>
      <c r="C390" s="2">
        <v>39382799</v>
      </c>
    </row>
    <row r="391" spans="1:3" x14ac:dyDescent="0.25">
      <c r="A391" t="s">
        <v>81</v>
      </c>
      <c r="B391" s="1" t="s">
        <v>13</v>
      </c>
      <c r="C391" s="2">
        <v>37302453</v>
      </c>
    </row>
    <row r="392" spans="1:3" x14ac:dyDescent="0.25">
      <c r="A392" t="s">
        <v>81</v>
      </c>
      <c r="B392" s="1" t="s">
        <v>14</v>
      </c>
      <c r="C392" s="2">
        <v>37153213</v>
      </c>
    </row>
    <row r="393" spans="1:3" x14ac:dyDescent="0.25">
      <c r="A393" t="s">
        <v>81</v>
      </c>
      <c r="B393" s="1" t="s">
        <v>15</v>
      </c>
      <c r="C393" s="2">
        <v>44612045</v>
      </c>
    </row>
    <row r="394" spans="1:3" x14ac:dyDescent="0.25">
      <c r="A394" t="s">
        <v>81</v>
      </c>
      <c r="B394" s="1" t="s">
        <v>16</v>
      </c>
      <c r="C394" s="2">
        <v>47930702</v>
      </c>
    </row>
    <row r="395" spans="1:3" x14ac:dyDescent="0.25">
      <c r="A395" t="s">
        <v>81</v>
      </c>
      <c r="B395" s="1" t="s">
        <v>17</v>
      </c>
      <c r="C395" s="2">
        <v>45372169</v>
      </c>
    </row>
    <row r="396" spans="1:3" x14ac:dyDescent="0.25">
      <c r="A396" t="s">
        <v>81</v>
      </c>
      <c r="B396" s="1" t="s">
        <v>18</v>
      </c>
      <c r="C396" s="2">
        <v>46796049</v>
      </c>
    </row>
    <row r="397" spans="1:3" x14ac:dyDescent="0.25">
      <c r="A397" t="s">
        <v>81</v>
      </c>
      <c r="B397" s="1" t="s">
        <v>19</v>
      </c>
      <c r="C397" s="2">
        <v>52671981</v>
      </c>
    </row>
    <row r="398" spans="1:3" x14ac:dyDescent="0.25">
      <c r="A398" t="s">
        <v>81</v>
      </c>
      <c r="B398" s="1" t="s">
        <v>20</v>
      </c>
      <c r="C398" s="10" t="s">
        <v>163</v>
      </c>
    </row>
    <row r="399" spans="1:3" x14ac:dyDescent="0.25">
      <c r="A399" t="s">
        <v>81</v>
      </c>
      <c r="B399" s="1" t="s">
        <v>21</v>
      </c>
      <c r="C399" s="10" t="s">
        <v>164</v>
      </c>
    </row>
    <row r="400" spans="1:3" x14ac:dyDescent="0.25">
      <c r="A400" t="s">
        <v>81</v>
      </c>
      <c r="B400" s="1" t="s">
        <v>22</v>
      </c>
      <c r="C400" s="10" t="s">
        <v>165</v>
      </c>
    </row>
    <row r="401" spans="1:3" x14ac:dyDescent="0.25">
      <c r="A401" s="5" t="s">
        <v>81</v>
      </c>
      <c r="B401" s="1" t="s">
        <v>23</v>
      </c>
      <c r="C401" s="2"/>
    </row>
    <row r="402" spans="1:3" x14ac:dyDescent="0.25">
      <c r="A402" t="s">
        <v>82</v>
      </c>
      <c r="B402" s="1" t="s">
        <v>4</v>
      </c>
      <c r="C402" s="2">
        <v>6191310</v>
      </c>
    </row>
    <row r="403" spans="1:3" x14ac:dyDescent="0.25">
      <c r="A403" t="s">
        <v>82</v>
      </c>
      <c r="B403" s="1" t="s">
        <v>5</v>
      </c>
      <c r="C403" s="2">
        <v>6127524</v>
      </c>
    </row>
    <row r="404" spans="1:3" x14ac:dyDescent="0.25">
      <c r="A404" t="s">
        <v>82</v>
      </c>
      <c r="B404" s="1" t="s">
        <v>6</v>
      </c>
      <c r="C404" s="2">
        <v>6016333</v>
      </c>
    </row>
    <row r="405" spans="1:3" x14ac:dyDescent="0.25">
      <c r="A405" t="s">
        <v>82</v>
      </c>
      <c r="B405" s="1" t="s">
        <v>7</v>
      </c>
      <c r="C405" s="2">
        <v>6694024</v>
      </c>
    </row>
    <row r="406" spans="1:3" x14ac:dyDescent="0.25">
      <c r="A406" t="s">
        <v>82</v>
      </c>
      <c r="B406" s="1" t="s">
        <v>8</v>
      </c>
      <c r="C406" s="2">
        <v>6929992</v>
      </c>
    </row>
    <row r="407" spans="1:3" x14ac:dyDescent="0.25">
      <c r="A407" t="s">
        <v>82</v>
      </c>
      <c r="B407" s="1" t="s">
        <v>9</v>
      </c>
      <c r="C407" s="2">
        <v>7168321</v>
      </c>
    </row>
    <row r="408" spans="1:3" x14ac:dyDescent="0.25">
      <c r="A408" t="s">
        <v>82</v>
      </c>
      <c r="B408" s="1" t="s">
        <v>10</v>
      </c>
      <c r="C408" s="2">
        <v>7383960</v>
      </c>
    </row>
    <row r="409" spans="1:3" x14ac:dyDescent="0.25">
      <c r="A409" t="s">
        <v>82</v>
      </c>
      <c r="B409" s="1" t="s">
        <v>11</v>
      </c>
      <c r="C409" s="2">
        <v>7569580</v>
      </c>
    </row>
    <row r="410" spans="1:3" x14ac:dyDescent="0.25">
      <c r="A410" t="s">
        <v>82</v>
      </c>
      <c r="B410" s="1" t="s">
        <v>12</v>
      </c>
      <c r="C410" s="2">
        <v>7500035</v>
      </c>
    </row>
    <row r="411" spans="1:3" x14ac:dyDescent="0.25">
      <c r="A411" t="s">
        <v>82</v>
      </c>
      <c r="B411" s="1" t="s">
        <v>13</v>
      </c>
      <c r="C411" s="2">
        <v>7524151</v>
      </c>
    </row>
    <row r="412" spans="1:3" x14ac:dyDescent="0.25">
      <c r="A412" t="s">
        <v>82</v>
      </c>
      <c r="B412" s="1" t="s">
        <v>14</v>
      </c>
      <c r="C412" s="2">
        <v>8683512</v>
      </c>
    </row>
    <row r="413" spans="1:3" x14ac:dyDescent="0.25">
      <c r="A413" t="s">
        <v>82</v>
      </c>
      <c r="B413" s="1" t="s">
        <v>15</v>
      </c>
      <c r="C413" s="2">
        <v>10110520</v>
      </c>
    </row>
    <row r="414" spans="1:3" x14ac:dyDescent="0.25">
      <c r="A414" t="s">
        <v>82</v>
      </c>
      <c r="B414" s="1" t="s">
        <v>16</v>
      </c>
      <c r="C414" s="2">
        <v>11896015</v>
      </c>
    </row>
    <row r="415" spans="1:3" x14ac:dyDescent="0.25">
      <c r="A415" t="s">
        <v>82</v>
      </c>
      <c r="B415" s="1" t="s">
        <v>17</v>
      </c>
      <c r="C415" s="2">
        <v>13186165</v>
      </c>
    </row>
    <row r="416" spans="1:3" x14ac:dyDescent="0.25">
      <c r="A416" t="s">
        <v>82</v>
      </c>
      <c r="B416" s="1" t="s">
        <v>18</v>
      </c>
      <c r="C416" s="2">
        <v>13883955</v>
      </c>
    </row>
    <row r="417" spans="1:3" x14ac:dyDescent="0.25">
      <c r="A417" t="s">
        <v>82</v>
      </c>
      <c r="B417" s="1" t="s">
        <v>19</v>
      </c>
      <c r="C417" s="2">
        <v>14234358</v>
      </c>
    </row>
    <row r="418" spans="1:3" x14ac:dyDescent="0.25">
      <c r="A418" t="s">
        <v>82</v>
      </c>
      <c r="B418" s="1" t="s">
        <v>20</v>
      </c>
      <c r="C418" s="10" t="s">
        <v>166</v>
      </c>
    </row>
    <row r="419" spans="1:3" x14ac:dyDescent="0.25">
      <c r="A419" t="s">
        <v>82</v>
      </c>
      <c r="B419" s="1" t="s">
        <v>21</v>
      </c>
      <c r="C419" s="10" t="s">
        <v>167</v>
      </c>
    </row>
    <row r="420" spans="1:3" x14ac:dyDescent="0.25">
      <c r="A420" t="s">
        <v>82</v>
      </c>
      <c r="B420" s="1" t="s">
        <v>22</v>
      </c>
      <c r="C420" s="10" t="s">
        <v>168</v>
      </c>
    </row>
    <row r="421" spans="1:3" x14ac:dyDescent="0.25">
      <c r="A421" s="5" t="s">
        <v>82</v>
      </c>
      <c r="B421" s="1" t="s">
        <v>23</v>
      </c>
      <c r="C421" s="13"/>
    </row>
    <row r="422" spans="1:3" x14ac:dyDescent="0.25">
      <c r="A422" t="s">
        <v>83</v>
      </c>
      <c r="B422" s="1" t="s">
        <v>4</v>
      </c>
      <c r="C422" s="2">
        <v>4934893</v>
      </c>
    </row>
    <row r="423" spans="1:3" x14ac:dyDescent="0.25">
      <c r="A423" t="s">
        <v>83</v>
      </c>
      <c r="B423" s="1" t="s">
        <v>5</v>
      </c>
      <c r="C423" s="2">
        <v>4182285</v>
      </c>
    </row>
    <row r="424" spans="1:3" x14ac:dyDescent="0.25">
      <c r="A424" t="s">
        <v>83</v>
      </c>
      <c r="B424" s="1" t="s">
        <v>6</v>
      </c>
      <c r="C424" s="2">
        <v>4171832</v>
      </c>
    </row>
    <row r="425" spans="1:3" x14ac:dyDescent="0.25">
      <c r="A425" t="s">
        <v>83</v>
      </c>
      <c r="B425" s="1" t="s">
        <v>7</v>
      </c>
      <c r="C425" s="2">
        <v>4497122</v>
      </c>
    </row>
    <row r="426" spans="1:3" x14ac:dyDescent="0.25">
      <c r="A426" t="s">
        <v>83</v>
      </c>
      <c r="B426" s="1" t="s">
        <v>8</v>
      </c>
      <c r="C426" s="2">
        <v>4488244</v>
      </c>
    </row>
    <row r="427" spans="1:3" x14ac:dyDescent="0.25">
      <c r="A427" t="s">
        <v>83</v>
      </c>
      <c r="B427" s="1" t="s">
        <v>9</v>
      </c>
      <c r="C427" s="2">
        <v>4532600</v>
      </c>
    </row>
    <row r="428" spans="1:3" x14ac:dyDescent="0.25">
      <c r="A428" t="s">
        <v>83</v>
      </c>
      <c r="B428" s="1" t="s">
        <v>10</v>
      </c>
      <c r="C428" s="2">
        <v>4511748</v>
      </c>
    </row>
    <row r="429" spans="1:3" x14ac:dyDescent="0.25">
      <c r="A429" t="s">
        <v>83</v>
      </c>
      <c r="B429" s="1" t="s">
        <v>11</v>
      </c>
      <c r="C429" s="2">
        <v>4809743</v>
      </c>
    </row>
    <row r="430" spans="1:3" x14ac:dyDescent="0.25">
      <c r="A430" t="s">
        <v>83</v>
      </c>
      <c r="B430" s="1" t="s">
        <v>12</v>
      </c>
      <c r="C430" s="2">
        <v>4854452</v>
      </c>
    </row>
    <row r="431" spans="1:3" x14ac:dyDescent="0.25">
      <c r="A431" t="s">
        <v>83</v>
      </c>
      <c r="B431" s="1" t="s">
        <v>13</v>
      </c>
      <c r="C431" s="2">
        <v>4496294</v>
      </c>
    </row>
    <row r="432" spans="1:3" x14ac:dyDescent="0.25">
      <c r="A432" t="s">
        <v>83</v>
      </c>
      <c r="B432" s="1" t="s">
        <v>14</v>
      </c>
      <c r="C432" s="2">
        <v>4757860</v>
      </c>
    </row>
    <row r="433" spans="1:3" x14ac:dyDescent="0.25">
      <c r="A433" t="s">
        <v>83</v>
      </c>
      <c r="B433" s="1" t="s">
        <v>15</v>
      </c>
      <c r="C433" s="2">
        <v>5365456</v>
      </c>
    </row>
    <row r="434" spans="1:3" x14ac:dyDescent="0.25">
      <c r="A434" t="s">
        <v>83</v>
      </c>
      <c r="B434" s="1" t="s">
        <v>16</v>
      </c>
      <c r="C434" s="2">
        <v>5368082</v>
      </c>
    </row>
    <row r="435" spans="1:3" x14ac:dyDescent="0.25">
      <c r="A435" t="s">
        <v>83</v>
      </c>
      <c r="B435" s="1" t="s">
        <v>17</v>
      </c>
      <c r="C435" s="2">
        <v>5987944</v>
      </c>
    </row>
    <row r="436" spans="1:3" x14ac:dyDescent="0.25">
      <c r="A436" t="s">
        <v>83</v>
      </c>
      <c r="B436" s="1" t="s">
        <v>18</v>
      </c>
      <c r="C436" s="2">
        <v>7676187</v>
      </c>
    </row>
    <row r="437" spans="1:3" x14ac:dyDescent="0.25">
      <c r="A437" t="s">
        <v>83</v>
      </c>
      <c r="B437" s="1" t="s">
        <v>19</v>
      </c>
      <c r="C437" s="2">
        <v>8575950</v>
      </c>
    </row>
    <row r="438" spans="1:3" x14ac:dyDescent="0.25">
      <c r="A438" t="s">
        <v>83</v>
      </c>
      <c r="B438" s="1" t="s">
        <v>20</v>
      </c>
      <c r="C438" s="10" t="s">
        <v>169</v>
      </c>
    </row>
    <row r="439" spans="1:3" x14ac:dyDescent="0.25">
      <c r="A439" t="s">
        <v>83</v>
      </c>
      <c r="B439" s="1" t="s">
        <v>21</v>
      </c>
      <c r="C439" s="10" t="s">
        <v>170</v>
      </c>
    </row>
    <row r="440" spans="1:3" x14ac:dyDescent="0.25">
      <c r="A440" t="s">
        <v>83</v>
      </c>
      <c r="B440" s="1" t="s">
        <v>22</v>
      </c>
      <c r="C440" s="10" t="s">
        <v>171</v>
      </c>
    </row>
    <row r="441" spans="1:3" x14ac:dyDescent="0.25">
      <c r="A441" s="5" t="s">
        <v>83</v>
      </c>
      <c r="B441" s="1" t="s">
        <v>23</v>
      </c>
      <c r="C441" s="13"/>
    </row>
    <row r="442" spans="1:3" x14ac:dyDescent="0.25">
      <c r="A442" t="s">
        <v>84</v>
      </c>
      <c r="B442" s="1" t="s">
        <v>4</v>
      </c>
      <c r="C442" s="2">
        <v>22434585</v>
      </c>
    </row>
    <row r="443" spans="1:3" x14ac:dyDescent="0.25">
      <c r="A443" t="s">
        <v>84</v>
      </c>
      <c r="B443" s="1" t="s">
        <v>5</v>
      </c>
      <c r="C443" s="2">
        <v>20573665</v>
      </c>
    </row>
    <row r="444" spans="1:3" x14ac:dyDescent="0.25">
      <c r="A444" t="s">
        <v>84</v>
      </c>
      <c r="B444" s="1" t="s">
        <v>6</v>
      </c>
      <c r="C444" s="2">
        <v>21095742</v>
      </c>
    </row>
    <row r="445" spans="1:3" x14ac:dyDescent="0.25">
      <c r="A445" t="s">
        <v>84</v>
      </c>
      <c r="B445" s="1" t="s">
        <v>7</v>
      </c>
      <c r="C445" s="2">
        <v>20486926</v>
      </c>
    </row>
    <row r="446" spans="1:3" x14ac:dyDescent="0.25">
      <c r="A446" t="s">
        <v>84</v>
      </c>
      <c r="B446" s="1" t="s">
        <v>8</v>
      </c>
      <c r="C446" s="2">
        <v>18785634</v>
      </c>
    </row>
    <row r="447" spans="1:3" x14ac:dyDescent="0.25">
      <c r="A447" t="s">
        <v>84</v>
      </c>
      <c r="B447" s="1" t="s">
        <v>9</v>
      </c>
      <c r="C447" s="2">
        <v>21218758</v>
      </c>
    </row>
    <row r="448" spans="1:3" x14ac:dyDescent="0.25">
      <c r="A448" t="s">
        <v>84</v>
      </c>
      <c r="B448" s="1" t="s">
        <v>10</v>
      </c>
      <c r="C448" s="2">
        <v>21621173</v>
      </c>
    </row>
    <row r="449" spans="1:3" x14ac:dyDescent="0.25">
      <c r="A449" t="s">
        <v>84</v>
      </c>
      <c r="B449" s="1" t="s">
        <v>11</v>
      </c>
      <c r="C449" s="2">
        <v>23021785</v>
      </c>
    </row>
    <row r="450" spans="1:3" x14ac:dyDescent="0.25">
      <c r="A450" t="s">
        <v>84</v>
      </c>
      <c r="B450" s="1" t="s">
        <v>12</v>
      </c>
      <c r="C450" s="2">
        <v>21324429</v>
      </c>
    </row>
    <row r="451" spans="1:3" x14ac:dyDescent="0.25">
      <c r="A451" t="s">
        <v>84</v>
      </c>
      <c r="B451" s="1" t="s">
        <v>13</v>
      </c>
      <c r="C451" s="2">
        <v>21394130</v>
      </c>
    </row>
    <row r="452" spans="1:3" x14ac:dyDescent="0.25">
      <c r="A452" t="s">
        <v>84</v>
      </c>
      <c r="B452" s="1" t="s">
        <v>14</v>
      </c>
      <c r="C452" s="2">
        <v>20971901</v>
      </c>
    </row>
    <row r="453" spans="1:3" x14ac:dyDescent="0.25">
      <c r="A453" t="s">
        <v>84</v>
      </c>
      <c r="B453" s="1" t="s">
        <v>15</v>
      </c>
      <c r="C453" s="9">
        <v>18297700</v>
      </c>
    </row>
    <row r="454" spans="1:3" x14ac:dyDescent="0.25">
      <c r="A454" t="s">
        <v>84</v>
      </c>
      <c r="B454" s="1" t="s">
        <v>16</v>
      </c>
      <c r="C454" s="9">
        <v>18438704</v>
      </c>
    </row>
    <row r="455" spans="1:3" x14ac:dyDescent="0.25">
      <c r="A455" t="s">
        <v>84</v>
      </c>
      <c r="B455" s="1" t="s">
        <v>17</v>
      </c>
      <c r="C455" s="9">
        <v>17025906</v>
      </c>
    </row>
    <row r="456" spans="1:3" x14ac:dyDescent="0.25">
      <c r="A456" t="s">
        <v>84</v>
      </c>
      <c r="B456" s="1" t="s">
        <v>18</v>
      </c>
      <c r="C456" s="9">
        <v>16851777</v>
      </c>
    </row>
    <row r="457" spans="1:3" x14ac:dyDescent="0.25">
      <c r="A457" t="s">
        <v>84</v>
      </c>
      <c r="B457" s="1" t="s">
        <v>19</v>
      </c>
      <c r="C457" s="9">
        <v>17701527</v>
      </c>
    </row>
    <row r="458" spans="1:3" x14ac:dyDescent="0.25">
      <c r="A458" t="s">
        <v>84</v>
      </c>
      <c r="B458" s="1" t="s">
        <v>20</v>
      </c>
      <c r="C458" s="10" t="s">
        <v>172</v>
      </c>
    </row>
    <row r="459" spans="1:3" x14ac:dyDescent="0.25">
      <c r="A459" t="s">
        <v>84</v>
      </c>
      <c r="B459" s="1" t="s">
        <v>21</v>
      </c>
      <c r="C459" s="10" t="s">
        <v>173</v>
      </c>
    </row>
    <row r="460" spans="1:3" x14ac:dyDescent="0.25">
      <c r="A460" t="s">
        <v>84</v>
      </c>
      <c r="B460" s="1" t="s">
        <v>22</v>
      </c>
      <c r="C460" s="10" t="s">
        <v>174</v>
      </c>
    </row>
    <row r="461" spans="1:3" x14ac:dyDescent="0.25">
      <c r="A461" t="s">
        <v>84</v>
      </c>
      <c r="B461" s="1" t="s">
        <v>23</v>
      </c>
      <c r="C461" s="7">
        <v>16717087</v>
      </c>
    </row>
    <row r="462" spans="1:3" x14ac:dyDescent="0.25">
      <c r="A462" t="s">
        <v>85</v>
      </c>
      <c r="B462" s="1" t="s">
        <v>4</v>
      </c>
      <c r="C462" s="9">
        <v>28185185</v>
      </c>
    </row>
    <row r="463" spans="1:3" x14ac:dyDescent="0.25">
      <c r="A463" t="s">
        <v>85</v>
      </c>
      <c r="B463" s="1" t="s">
        <v>5</v>
      </c>
      <c r="C463" s="9">
        <v>27961844</v>
      </c>
    </row>
    <row r="464" spans="1:3" x14ac:dyDescent="0.25">
      <c r="A464" t="s">
        <v>85</v>
      </c>
      <c r="B464" s="1" t="s">
        <v>6</v>
      </c>
      <c r="C464" s="9">
        <v>28879204</v>
      </c>
    </row>
    <row r="465" spans="1:3" x14ac:dyDescent="0.25">
      <c r="A465" t="s">
        <v>85</v>
      </c>
      <c r="B465" s="1" t="s">
        <v>7</v>
      </c>
      <c r="C465" s="9">
        <v>29631693</v>
      </c>
    </row>
    <row r="466" spans="1:3" x14ac:dyDescent="0.25">
      <c r="A466" t="s">
        <v>85</v>
      </c>
      <c r="B466" s="1" t="s">
        <v>8</v>
      </c>
      <c r="C466" s="9">
        <v>31682518</v>
      </c>
    </row>
    <row r="467" spans="1:3" x14ac:dyDescent="0.25">
      <c r="A467" t="s">
        <v>85</v>
      </c>
      <c r="B467" s="1" t="s">
        <v>9</v>
      </c>
      <c r="C467" s="9">
        <v>37114722</v>
      </c>
    </row>
    <row r="468" spans="1:3" x14ac:dyDescent="0.25">
      <c r="A468" t="s">
        <v>85</v>
      </c>
      <c r="B468" s="1" t="s">
        <v>10</v>
      </c>
      <c r="C468" s="9">
        <v>39065823</v>
      </c>
    </row>
    <row r="469" spans="1:3" x14ac:dyDescent="0.25">
      <c r="A469" t="s">
        <v>85</v>
      </c>
      <c r="B469" s="1" t="s">
        <v>11</v>
      </c>
      <c r="C469" s="9">
        <v>36936262</v>
      </c>
    </row>
    <row r="470" spans="1:3" x14ac:dyDescent="0.25">
      <c r="A470" t="s">
        <v>85</v>
      </c>
      <c r="B470" s="1" t="s">
        <v>12</v>
      </c>
      <c r="C470" s="9">
        <v>38260154</v>
      </c>
    </row>
    <row r="471" spans="1:3" x14ac:dyDescent="0.25">
      <c r="A471" t="s">
        <v>85</v>
      </c>
      <c r="B471" s="1" t="s">
        <v>13</v>
      </c>
      <c r="C471" s="9">
        <v>36118896</v>
      </c>
    </row>
    <row r="472" spans="1:3" x14ac:dyDescent="0.25">
      <c r="A472" t="s">
        <v>85</v>
      </c>
      <c r="B472" s="1" t="s">
        <v>14</v>
      </c>
      <c r="C472" s="9">
        <v>39411352</v>
      </c>
    </row>
    <row r="473" spans="1:3" x14ac:dyDescent="0.25">
      <c r="A473" t="s">
        <v>85</v>
      </c>
      <c r="B473" s="1" t="s">
        <v>15</v>
      </c>
      <c r="C473" s="9">
        <v>38053939</v>
      </c>
    </row>
    <row r="474" spans="1:3" x14ac:dyDescent="0.25">
      <c r="A474" t="s">
        <v>85</v>
      </c>
      <c r="B474" s="1" t="s">
        <v>16</v>
      </c>
      <c r="C474" s="9">
        <v>40053044</v>
      </c>
    </row>
    <row r="475" spans="1:3" x14ac:dyDescent="0.25">
      <c r="A475" t="s">
        <v>85</v>
      </c>
      <c r="B475" s="1" t="s">
        <v>17</v>
      </c>
      <c r="C475" s="9">
        <v>40666380</v>
      </c>
    </row>
    <row r="476" spans="1:3" x14ac:dyDescent="0.25">
      <c r="A476" t="s">
        <v>85</v>
      </c>
      <c r="B476" s="1" t="s">
        <v>18</v>
      </c>
      <c r="C476" s="9">
        <v>41266849</v>
      </c>
    </row>
    <row r="477" spans="1:3" x14ac:dyDescent="0.25">
      <c r="A477" t="s">
        <v>85</v>
      </c>
      <c r="B477" s="1" t="s">
        <v>19</v>
      </c>
      <c r="C477" s="9">
        <v>43801571</v>
      </c>
    </row>
    <row r="478" spans="1:3" x14ac:dyDescent="0.25">
      <c r="A478" t="s">
        <v>85</v>
      </c>
      <c r="B478" s="1" t="s">
        <v>20</v>
      </c>
      <c r="C478" s="10" t="s">
        <v>175</v>
      </c>
    </row>
    <row r="479" spans="1:3" x14ac:dyDescent="0.25">
      <c r="A479" s="6" t="s">
        <v>85</v>
      </c>
      <c r="B479" s="1" t="s">
        <v>21</v>
      </c>
      <c r="C479" s="9">
        <v>47780374</v>
      </c>
    </row>
    <row r="480" spans="1:3" x14ac:dyDescent="0.25">
      <c r="A480" t="s">
        <v>85</v>
      </c>
      <c r="B480" s="1" t="s">
        <v>22</v>
      </c>
      <c r="C480" s="7">
        <v>48994215</v>
      </c>
    </row>
    <row r="481" spans="1:3" x14ac:dyDescent="0.25">
      <c r="A481" t="s">
        <v>85</v>
      </c>
      <c r="B481" s="1" t="s">
        <v>23</v>
      </c>
      <c r="C481" s="8">
        <v>51499424</v>
      </c>
    </row>
    <row r="482" spans="1:3" x14ac:dyDescent="0.25">
      <c r="A482" t="s">
        <v>39</v>
      </c>
      <c r="B482" s="1" t="s">
        <v>4</v>
      </c>
      <c r="C482" s="2">
        <v>84142259</v>
      </c>
    </row>
    <row r="483" spans="1:3" x14ac:dyDescent="0.25">
      <c r="A483" t="s">
        <v>39</v>
      </c>
      <c r="B483" s="1" t="s">
        <v>5</v>
      </c>
      <c r="C483" s="2">
        <v>82963039</v>
      </c>
    </row>
    <row r="484" spans="1:3" x14ac:dyDescent="0.25">
      <c r="A484" t="s">
        <v>39</v>
      </c>
      <c r="B484" s="1" t="s">
        <v>6</v>
      </c>
      <c r="C484" s="2">
        <v>77362176</v>
      </c>
    </row>
    <row r="485" spans="1:3" x14ac:dyDescent="0.25">
      <c r="A485" t="s">
        <v>39</v>
      </c>
      <c r="B485" s="1" t="s">
        <v>7</v>
      </c>
      <c r="C485" s="2">
        <v>83761946</v>
      </c>
    </row>
    <row r="486" spans="1:3" x14ac:dyDescent="0.25">
      <c r="A486" t="s">
        <v>39</v>
      </c>
      <c r="B486" s="1" t="s">
        <v>8</v>
      </c>
      <c r="C486" s="2">
        <v>83972460</v>
      </c>
    </row>
    <row r="487" spans="1:3" x14ac:dyDescent="0.25">
      <c r="A487" t="s">
        <v>39</v>
      </c>
      <c r="B487" s="1" t="s">
        <v>9</v>
      </c>
      <c r="C487" s="2">
        <v>84277675</v>
      </c>
    </row>
    <row r="488" spans="1:3" x14ac:dyDescent="0.25">
      <c r="A488" t="s">
        <v>39</v>
      </c>
      <c r="B488" s="1" t="s">
        <v>10</v>
      </c>
      <c r="C488" s="2">
        <v>87808884</v>
      </c>
    </row>
    <row r="489" spans="1:3" x14ac:dyDescent="0.25">
      <c r="A489" t="s">
        <v>39</v>
      </c>
      <c r="B489" s="1" t="s">
        <v>11</v>
      </c>
      <c r="C489" s="2">
        <v>100803831</v>
      </c>
    </row>
    <row r="490" spans="1:3" x14ac:dyDescent="0.25">
      <c r="A490" t="s">
        <v>39</v>
      </c>
      <c r="B490" s="1" t="s">
        <v>12</v>
      </c>
      <c r="C490" s="2">
        <v>99260211</v>
      </c>
    </row>
    <row r="491" spans="1:3" x14ac:dyDescent="0.25">
      <c r="A491" t="s">
        <v>39</v>
      </c>
      <c r="B491" s="1" t="s">
        <v>13</v>
      </c>
      <c r="C491" s="2">
        <v>99236119</v>
      </c>
    </row>
    <row r="492" spans="1:3" x14ac:dyDescent="0.25">
      <c r="A492" t="s">
        <v>39</v>
      </c>
      <c r="B492" s="1" t="s">
        <v>14</v>
      </c>
      <c r="C492" s="2">
        <v>103824073</v>
      </c>
    </row>
    <row r="493" spans="1:3" x14ac:dyDescent="0.25">
      <c r="A493" t="s">
        <v>39</v>
      </c>
      <c r="B493" s="1" t="s">
        <v>15</v>
      </c>
      <c r="C493" s="2">
        <v>112202653</v>
      </c>
    </row>
    <row r="494" spans="1:3" x14ac:dyDescent="0.25">
      <c r="A494" t="s">
        <v>39</v>
      </c>
      <c r="B494" s="1" t="s">
        <v>16</v>
      </c>
      <c r="C494" s="2">
        <v>111592194</v>
      </c>
    </row>
    <row r="495" spans="1:3" x14ac:dyDescent="0.25">
      <c r="A495" t="s">
        <v>39</v>
      </c>
      <c r="B495" s="1" t="s">
        <v>17</v>
      </c>
      <c r="C495" s="2">
        <v>115865775</v>
      </c>
    </row>
    <row r="496" spans="1:3" x14ac:dyDescent="0.25">
      <c r="A496" t="s">
        <v>39</v>
      </c>
      <c r="B496" s="1" t="s">
        <v>18</v>
      </c>
      <c r="C496" s="2">
        <v>119765037</v>
      </c>
    </row>
    <row r="497" spans="1:3" x14ac:dyDescent="0.25">
      <c r="A497" t="s">
        <v>39</v>
      </c>
      <c r="B497" s="1" t="s">
        <v>19</v>
      </c>
      <c r="C497" s="2">
        <v>132879390</v>
      </c>
    </row>
    <row r="498" spans="1:3" x14ac:dyDescent="0.25">
      <c r="A498" t="s">
        <v>39</v>
      </c>
      <c r="B498" s="1" t="s">
        <v>20</v>
      </c>
      <c r="C498" s="2">
        <v>113196061</v>
      </c>
    </row>
    <row r="499" spans="1:3" x14ac:dyDescent="0.25">
      <c r="A499" t="s">
        <v>39</v>
      </c>
      <c r="B499" s="1" t="s">
        <v>21</v>
      </c>
      <c r="C499" s="2">
        <v>123549904</v>
      </c>
    </row>
    <row r="500" spans="1:3" x14ac:dyDescent="0.25">
      <c r="A500" t="s">
        <v>39</v>
      </c>
      <c r="B500" s="1" t="s">
        <v>22</v>
      </c>
      <c r="C500" s="2">
        <v>126173172</v>
      </c>
    </row>
    <row r="501" spans="1:3" x14ac:dyDescent="0.25">
      <c r="A501" t="s">
        <v>39</v>
      </c>
      <c r="B501" s="1" t="s">
        <v>23</v>
      </c>
      <c r="C501" s="8">
        <v>141750449</v>
      </c>
    </row>
    <row r="502" spans="1:3" x14ac:dyDescent="0.25">
      <c r="A502" t="s">
        <v>86</v>
      </c>
      <c r="B502" s="1" t="s">
        <v>4</v>
      </c>
      <c r="C502" s="14">
        <v>2400706</v>
      </c>
    </row>
    <row r="503" spans="1:3" x14ac:dyDescent="0.25">
      <c r="A503" t="s">
        <v>86</v>
      </c>
      <c r="B503" s="1" t="s">
        <v>5</v>
      </c>
      <c r="C503" s="14">
        <v>2408175</v>
      </c>
    </row>
    <row r="504" spans="1:3" x14ac:dyDescent="0.25">
      <c r="A504" t="s">
        <v>86</v>
      </c>
      <c r="B504" s="1" t="s">
        <v>6</v>
      </c>
      <c r="C504" s="14">
        <v>2446722</v>
      </c>
    </row>
    <row r="505" spans="1:3" x14ac:dyDescent="0.25">
      <c r="A505" t="s">
        <v>86</v>
      </c>
      <c r="B505" s="1" t="s">
        <v>7</v>
      </c>
      <c r="C505" s="14">
        <v>2264173</v>
      </c>
    </row>
    <row r="506" spans="1:3" x14ac:dyDescent="0.25">
      <c r="A506" t="s">
        <v>86</v>
      </c>
      <c r="B506" s="1" t="s">
        <v>8</v>
      </c>
      <c r="C506" s="14">
        <v>2287153</v>
      </c>
    </row>
    <row r="507" spans="1:3" x14ac:dyDescent="0.25">
      <c r="A507" t="s">
        <v>86</v>
      </c>
      <c r="B507" s="1" t="s">
        <v>9</v>
      </c>
      <c r="C507" s="15">
        <v>2768699</v>
      </c>
    </row>
    <row r="508" spans="1:3" x14ac:dyDescent="0.25">
      <c r="A508" t="s">
        <v>86</v>
      </c>
      <c r="B508" s="1" t="s">
        <v>10</v>
      </c>
      <c r="C508" s="14">
        <v>2512842</v>
      </c>
    </row>
    <row r="509" spans="1:3" x14ac:dyDescent="0.25">
      <c r="A509" t="s">
        <v>86</v>
      </c>
      <c r="B509" s="1" t="s">
        <v>11</v>
      </c>
      <c r="C509" s="14">
        <v>2527173</v>
      </c>
    </row>
    <row r="510" spans="1:3" x14ac:dyDescent="0.25">
      <c r="A510" t="s">
        <v>86</v>
      </c>
      <c r="B510" s="1" t="s">
        <v>12</v>
      </c>
      <c r="C510" s="14">
        <v>2321800</v>
      </c>
    </row>
    <row r="511" spans="1:3" x14ac:dyDescent="0.25">
      <c r="A511" t="s">
        <v>86</v>
      </c>
      <c r="B511" s="1" t="s">
        <v>13</v>
      </c>
      <c r="C511" s="14">
        <v>2203513</v>
      </c>
    </row>
    <row r="512" spans="1:3" x14ac:dyDescent="0.25">
      <c r="A512" t="s">
        <v>86</v>
      </c>
      <c r="B512" s="1" t="s">
        <v>14</v>
      </c>
      <c r="C512" s="14">
        <v>2128998</v>
      </c>
    </row>
    <row r="513" spans="1:3" x14ac:dyDescent="0.25">
      <c r="A513" t="s">
        <v>86</v>
      </c>
      <c r="B513" s="1" t="s">
        <v>15</v>
      </c>
      <c r="C513" s="14">
        <v>2586663</v>
      </c>
    </row>
    <row r="514" spans="1:3" x14ac:dyDescent="0.25">
      <c r="A514" t="s">
        <v>86</v>
      </c>
      <c r="B514" s="1" t="s">
        <v>16</v>
      </c>
      <c r="C514" s="15">
        <v>3981142</v>
      </c>
    </row>
    <row r="515" spans="1:3" x14ac:dyDescent="0.25">
      <c r="A515" t="s">
        <v>86</v>
      </c>
      <c r="B515" s="1" t="s">
        <v>17</v>
      </c>
      <c r="C515" s="14">
        <v>4222206</v>
      </c>
    </row>
    <row r="516" spans="1:3" x14ac:dyDescent="0.25">
      <c r="A516" t="s">
        <v>86</v>
      </c>
      <c r="B516" s="1" t="s">
        <v>18</v>
      </c>
      <c r="C516" s="14">
        <v>6898588</v>
      </c>
    </row>
    <row r="517" spans="1:3" x14ac:dyDescent="0.25">
      <c r="A517" t="s">
        <v>86</v>
      </c>
      <c r="B517" s="1" t="s">
        <v>19</v>
      </c>
      <c r="C517" s="14">
        <v>4649357</v>
      </c>
    </row>
    <row r="518" spans="1:3" x14ac:dyDescent="0.25">
      <c r="A518" t="s">
        <v>86</v>
      </c>
      <c r="B518" s="1" t="s">
        <v>20</v>
      </c>
      <c r="C518" s="14">
        <v>9416588</v>
      </c>
    </row>
    <row r="519" spans="1:3" x14ac:dyDescent="0.25">
      <c r="A519" t="s">
        <v>86</v>
      </c>
      <c r="B519" s="1" t="s">
        <v>21</v>
      </c>
      <c r="C519" s="14">
        <v>9772945</v>
      </c>
    </row>
    <row r="520" spans="1:3" x14ac:dyDescent="0.25">
      <c r="A520" t="s">
        <v>86</v>
      </c>
      <c r="B520" s="1" t="s">
        <v>22</v>
      </c>
      <c r="C520" s="14">
        <v>10598944</v>
      </c>
    </row>
    <row r="521" spans="1:3" x14ac:dyDescent="0.25">
      <c r="A521" t="s">
        <v>86</v>
      </c>
      <c r="B521" s="1" t="s">
        <v>23</v>
      </c>
      <c r="C521" s="8">
        <v>11058956</v>
      </c>
    </row>
    <row r="522" spans="1:3" x14ac:dyDescent="0.25">
      <c r="A522" t="s">
        <v>87</v>
      </c>
      <c r="B522" s="1" t="s">
        <v>4</v>
      </c>
      <c r="C522" s="2">
        <v>102729077</v>
      </c>
    </row>
    <row r="523" spans="1:3" x14ac:dyDescent="0.25">
      <c r="A523" t="s">
        <v>87</v>
      </c>
      <c r="B523" s="1" t="s">
        <v>5</v>
      </c>
      <c r="C523" s="2">
        <v>86562197</v>
      </c>
    </row>
    <row r="524" spans="1:3" x14ac:dyDescent="0.25">
      <c r="A524" t="s">
        <v>87</v>
      </c>
      <c r="B524" s="1" t="s">
        <v>6</v>
      </c>
      <c r="C524" s="2">
        <v>85183437</v>
      </c>
    </row>
    <row r="525" spans="1:3" x14ac:dyDescent="0.25">
      <c r="A525" t="s">
        <v>87</v>
      </c>
      <c r="B525" s="1" t="s">
        <v>7</v>
      </c>
      <c r="C525" s="2">
        <v>90519271</v>
      </c>
    </row>
    <row r="526" spans="1:3" x14ac:dyDescent="0.25">
      <c r="A526" t="s">
        <v>87</v>
      </c>
      <c r="B526" s="1" t="s">
        <v>8</v>
      </c>
      <c r="C526" s="2">
        <v>91341837</v>
      </c>
    </row>
    <row r="527" spans="1:3" x14ac:dyDescent="0.25">
      <c r="A527" t="s">
        <v>87</v>
      </c>
      <c r="B527" s="1" t="s">
        <v>9</v>
      </c>
      <c r="C527" s="2">
        <v>92613487</v>
      </c>
    </row>
    <row r="528" spans="1:3" x14ac:dyDescent="0.25">
      <c r="A528" t="s">
        <v>87</v>
      </c>
      <c r="B528" s="1" t="s">
        <v>10</v>
      </c>
      <c r="C528" s="2">
        <v>91221902</v>
      </c>
    </row>
    <row r="529" spans="1:3" x14ac:dyDescent="0.25">
      <c r="A529" t="s">
        <v>87</v>
      </c>
      <c r="B529" s="1" t="s">
        <v>11</v>
      </c>
      <c r="C529" s="2">
        <v>94796657</v>
      </c>
    </row>
    <row r="530" spans="1:3" x14ac:dyDescent="0.25">
      <c r="A530" t="s">
        <v>87</v>
      </c>
      <c r="B530" s="1" t="s">
        <v>12</v>
      </c>
      <c r="C530" s="2">
        <v>96083140</v>
      </c>
    </row>
    <row r="531" spans="1:3" x14ac:dyDescent="0.25">
      <c r="A531" t="s">
        <v>87</v>
      </c>
      <c r="B531" s="1" t="s">
        <v>13</v>
      </c>
      <c r="C531" s="2">
        <v>83019354</v>
      </c>
    </row>
    <row r="532" spans="1:3" x14ac:dyDescent="0.25">
      <c r="A532" t="s">
        <v>87</v>
      </c>
      <c r="B532" s="1" t="s">
        <v>14</v>
      </c>
      <c r="C532" s="2">
        <v>76637648</v>
      </c>
    </row>
    <row r="533" spans="1:3" x14ac:dyDescent="0.25">
      <c r="A533" t="s">
        <v>87</v>
      </c>
      <c r="B533" s="1" t="s">
        <v>15</v>
      </c>
      <c r="C533" s="2">
        <v>76758847</v>
      </c>
    </row>
    <row r="534" spans="1:3" x14ac:dyDescent="0.25">
      <c r="A534" t="s">
        <v>87</v>
      </c>
      <c r="B534" s="1" t="s">
        <v>16</v>
      </c>
      <c r="C534" s="2">
        <v>77801906</v>
      </c>
    </row>
    <row r="535" spans="1:3" x14ac:dyDescent="0.25">
      <c r="A535" t="s">
        <v>87</v>
      </c>
      <c r="B535" s="1" t="s">
        <v>17</v>
      </c>
      <c r="C535" s="2">
        <v>77139845</v>
      </c>
    </row>
    <row r="536" spans="1:3" x14ac:dyDescent="0.25">
      <c r="A536" t="s">
        <v>87</v>
      </c>
      <c r="B536" s="1" t="s">
        <v>18</v>
      </c>
      <c r="C536" s="2">
        <v>85674260</v>
      </c>
    </row>
    <row r="537" spans="1:3" x14ac:dyDescent="0.25">
      <c r="A537" t="s">
        <v>87</v>
      </c>
      <c r="B537" s="1" t="s">
        <v>19</v>
      </c>
      <c r="C537" s="2">
        <v>84370310</v>
      </c>
    </row>
    <row r="538" spans="1:3" x14ac:dyDescent="0.25">
      <c r="A538" t="s">
        <v>87</v>
      </c>
      <c r="B538" s="1" t="s">
        <v>20</v>
      </c>
      <c r="C538" s="2">
        <v>75746452</v>
      </c>
    </row>
    <row r="539" spans="1:3" x14ac:dyDescent="0.25">
      <c r="A539" t="s">
        <v>87</v>
      </c>
      <c r="B539" s="1" t="s">
        <v>21</v>
      </c>
      <c r="C539" s="2">
        <v>83044798</v>
      </c>
    </row>
    <row r="540" spans="1:3" x14ac:dyDescent="0.25">
      <c r="A540" s="6" t="s">
        <v>87</v>
      </c>
      <c r="B540" s="1" t="s">
        <v>22</v>
      </c>
      <c r="C540" s="15">
        <v>81114990</v>
      </c>
    </row>
    <row r="541" spans="1:3" x14ac:dyDescent="0.25">
      <c r="A541" s="5" t="s">
        <v>87</v>
      </c>
      <c r="B541" s="1" t="s">
        <v>23</v>
      </c>
    </row>
    <row r="542" spans="1:3" x14ac:dyDescent="0.25">
      <c r="A542" t="s">
        <v>88</v>
      </c>
      <c r="B542" s="1" t="s">
        <v>4</v>
      </c>
      <c r="C542" s="2">
        <v>10655048</v>
      </c>
    </row>
    <row r="543" spans="1:3" x14ac:dyDescent="0.25">
      <c r="A543" t="s">
        <v>88</v>
      </c>
      <c r="B543" s="1" t="s">
        <v>5</v>
      </c>
      <c r="C543" s="2">
        <v>10272364</v>
      </c>
    </row>
    <row r="544" spans="1:3" x14ac:dyDescent="0.25">
      <c r="A544" t="s">
        <v>88</v>
      </c>
      <c r="B544" s="1" t="s">
        <v>6</v>
      </c>
      <c r="C544" s="2">
        <v>10695914</v>
      </c>
    </row>
    <row r="545" spans="1:3" x14ac:dyDescent="0.25">
      <c r="A545" t="s">
        <v>88</v>
      </c>
      <c r="B545" s="1" t="s">
        <v>7</v>
      </c>
      <c r="C545" s="2">
        <v>10854855</v>
      </c>
    </row>
    <row r="546" spans="1:3" x14ac:dyDescent="0.25">
      <c r="A546" t="s">
        <v>88</v>
      </c>
      <c r="B546" s="1" t="s">
        <v>8</v>
      </c>
      <c r="C546" s="2">
        <v>10921821</v>
      </c>
    </row>
    <row r="547" spans="1:3" x14ac:dyDescent="0.25">
      <c r="A547" t="s">
        <v>88</v>
      </c>
      <c r="B547" s="1" t="s">
        <v>9</v>
      </c>
      <c r="C547" s="2">
        <v>10785414</v>
      </c>
    </row>
    <row r="548" spans="1:3" x14ac:dyDescent="0.25">
      <c r="A548" t="s">
        <v>88</v>
      </c>
      <c r="B548" s="1" t="s">
        <v>10</v>
      </c>
      <c r="C548" s="2">
        <v>11079984</v>
      </c>
    </row>
    <row r="549" spans="1:3" x14ac:dyDescent="0.25">
      <c r="A549" t="s">
        <v>88</v>
      </c>
      <c r="B549" s="1" t="s">
        <v>11</v>
      </c>
      <c r="C549" s="2">
        <v>10607879</v>
      </c>
    </row>
    <row r="550" spans="1:3" x14ac:dyDescent="0.25">
      <c r="A550" t="s">
        <v>88</v>
      </c>
      <c r="B550" s="1" t="s">
        <v>12</v>
      </c>
      <c r="C550" s="2">
        <v>11028707</v>
      </c>
    </row>
    <row r="551" spans="1:3" x14ac:dyDescent="0.25">
      <c r="A551" t="s">
        <v>88</v>
      </c>
      <c r="B551" s="1" t="s">
        <v>13</v>
      </c>
      <c r="C551" s="2">
        <v>10195135</v>
      </c>
    </row>
    <row r="552" spans="1:3" x14ac:dyDescent="0.25">
      <c r="A552" t="s">
        <v>88</v>
      </c>
      <c r="B552" s="1" t="s">
        <v>14</v>
      </c>
      <c r="C552" s="2">
        <v>10840277</v>
      </c>
    </row>
    <row r="553" spans="1:3" x14ac:dyDescent="0.25">
      <c r="A553" t="s">
        <v>88</v>
      </c>
      <c r="B553" s="1" t="s">
        <v>15</v>
      </c>
      <c r="C553" s="2">
        <v>11652904</v>
      </c>
    </row>
    <row r="554" spans="1:3" x14ac:dyDescent="0.25">
      <c r="A554" t="s">
        <v>88</v>
      </c>
      <c r="B554" s="1" t="s">
        <v>16</v>
      </c>
      <c r="C554" s="2">
        <v>11127457</v>
      </c>
    </row>
    <row r="555" spans="1:3" x14ac:dyDescent="0.25">
      <c r="A555" t="s">
        <v>88</v>
      </c>
      <c r="B555" s="1" t="s">
        <v>17</v>
      </c>
      <c r="C555" s="2">
        <v>12153873</v>
      </c>
    </row>
    <row r="556" spans="1:3" x14ac:dyDescent="0.25">
      <c r="A556" t="s">
        <v>88</v>
      </c>
      <c r="B556" s="1" t="s">
        <v>18</v>
      </c>
      <c r="C556" s="2">
        <v>13553398</v>
      </c>
    </row>
    <row r="557" spans="1:3" x14ac:dyDescent="0.25">
      <c r="A557" t="s">
        <v>88</v>
      </c>
      <c r="B557" s="1" t="s">
        <v>19</v>
      </c>
      <c r="C557" s="2">
        <v>14015360</v>
      </c>
    </row>
    <row r="558" spans="1:3" x14ac:dyDescent="0.25">
      <c r="A558" t="s">
        <v>88</v>
      </c>
      <c r="B558" s="1" t="s">
        <v>20</v>
      </c>
      <c r="C558" s="2">
        <v>13220276</v>
      </c>
    </row>
    <row r="559" spans="1:3" x14ac:dyDescent="0.25">
      <c r="A559" t="s">
        <v>88</v>
      </c>
      <c r="B559" s="1" t="s">
        <v>21</v>
      </c>
      <c r="C559" s="2">
        <v>14767302</v>
      </c>
    </row>
    <row r="560" spans="1:3" x14ac:dyDescent="0.25">
      <c r="A560" t="s">
        <v>88</v>
      </c>
      <c r="B560" s="1" t="s">
        <v>22</v>
      </c>
      <c r="C560" s="2">
        <v>15348185</v>
      </c>
    </row>
    <row r="561" spans="1:3" x14ac:dyDescent="0.25">
      <c r="A561" s="5" t="s">
        <v>88</v>
      </c>
      <c r="B561" s="1" t="s">
        <v>23</v>
      </c>
    </row>
    <row r="562" spans="1:3" x14ac:dyDescent="0.25">
      <c r="A562" t="s">
        <v>89</v>
      </c>
      <c r="B562" s="1" t="s">
        <v>4</v>
      </c>
      <c r="C562" s="2">
        <v>17787021</v>
      </c>
    </row>
    <row r="563" spans="1:3" x14ac:dyDescent="0.25">
      <c r="A563" t="s">
        <v>89</v>
      </c>
      <c r="B563" s="1" t="s">
        <v>5</v>
      </c>
      <c r="C563" s="2">
        <v>18772417</v>
      </c>
    </row>
    <row r="564" spans="1:3" x14ac:dyDescent="0.25">
      <c r="A564" t="s">
        <v>89</v>
      </c>
      <c r="B564" s="1" t="s">
        <v>6</v>
      </c>
      <c r="C564" s="2">
        <v>20905827</v>
      </c>
    </row>
    <row r="565" spans="1:3" x14ac:dyDescent="0.25">
      <c r="A565" t="s">
        <v>89</v>
      </c>
      <c r="B565" s="1" t="s">
        <v>7</v>
      </c>
      <c r="C565" s="2">
        <v>23313671</v>
      </c>
    </row>
    <row r="566" spans="1:3" x14ac:dyDescent="0.25">
      <c r="A566" t="s">
        <v>89</v>
      </c>
      <c r="B566" s="1" t="s">
        <v>8</v>
      </c>
      <c r="C566" s="7">
        <v>22976903</v>
      </c>
    </row>
    <row r="567" spans="1:3" x14ac:dyDescent="0.25">
      <c r="A567" t="s">
        <v>89</v>
      </c>
      <c r="B567" s="1" t="s">
        <v>9</v>
      </c>
      <c r="C567" s="2">
        <v>24818174</v>
      </c>
    </row>
    <row r="568" spans="1:3" x14ac:dyDescent="0.25">
      <c r="A568" t="s">
        <v>89</v>
      </c>
      <c r="B568" s="1" t="s">
        <v>10</v>
      </c>
      <c r="C568" s="2">
        <v>24924164</v>
      </c>
    </row>
    <row r="569" spans="1:3" x14ac:dyDescent="0.25">
      <c r="A569" t="s">
        <v>89</v>
      </c>
      <c r="B569" s="1" t="s">
        <v>11</v>
      </c>
      <c r="C569" s="2">
        <v>27067923</v>
      </c>
    </row>
    <row r="570" spans="1:3" x14ac:dyDescent="0.25">
      <c r="A570" t="s">
        <v>89</v>
      </c>
      <c r="B570" s="1" t="s">
        <v>12</v>
      </c>
      <c r="C570" s="2">
        <v>26601258</v>
      </c>
    </row>
    <row r="571" spans="1:3" x14ac:dyDescent="0.25">
      <c r="A571" t="s">
        <v>89</v>
      </c>
      <c r="B571" s="1" t="s">
        <v>13</v>
      </c>
      <c r="C571" s="7">
        <v>26183539</v>
      </c>
    </row>
    <row r="572" spans="1:3" x14ac:dyDescent="0.25">
      <c r="A572" t="s">
        <v>89</v>
      </c>
      <c r="B572" s="1" t="s">
        <v>14</v>
      </c>
      <c r="C572" s="2">
        <v>27935096</v>
      </c>
    </row>
    <row r="573" spans="1:3" x14ac:dyDescent="0.25">
      <c r="A573" t="s">
        <v>89</v>
      </c>
      <c r="B573" s="1" t="s">
        <v>15</v>
      </c>
      <c r="C573" s="2">
        <v>28015492</v>
      </c>
    </row>
    <row r="574" spans="1:3" x14ac:dyDescent="0.25">
      <c r="A574" t="s">
        <v>89</v>
      </c>
      <c r="B574" s="1" t="s">
        <v>16</v>
      </c>
      <c r="C574" s="2">
        <v>24908842</v>
      </c>
    </row>
    <row r="575" spans="1:3" x14ac:dyDescent="0.25">
      <c r="A575" t="s">
        <v>89</v>
      </c>
      <c r="B575" s="1" t="s">
        <v>17</v>
      </c>
      <c r="C575" s="2">
        <v>25403477</v>
      </c>
    </row>
    <row r="576" spans="1:3" x14ac:dyDescent="0.25">
      <c r="A576" t="s">
        <v>89</v>
      </c>
      <c r="B576" s="1" t="s">
        <v>18</v>
      </c>
      <c r="C576" s="2">
        <v>20534582</v>
      </c>
    </row>
    <row r="577" spans="1:3" x14ac:dyDescent="0.25">
      <c r="A577" t="s">
        <v>89</v>
      </c>
      <c r="B577" s="1" t="s">
        <v>19</v>
      </c>
      <c r="C577" s="2">
        <v>16866523</v>
      </c>
    </row>
    <row r="578" spans="1:3" x14ac:dyDescent="0.25">
      <c r="A578" t="s">
        <v>89</v>
      </c>
      <c r="B578" s="1" t="s">
        <v>20</v>
      </c>
      <c r="C578" s="2">
        <v>13193287</v>
      </c>
    </row>
    <row r="579" spans="1:3" x14ac:dyDescent="0.25">
      <c r="A579" t="s">
        <v>89</v>
      </c>
      <c r="B579" s="1" t="s">
        <v>21</v>
      </c>
      <c r="C579" s="2">
        <v>14500676</v>
      </c>
    </row>
    <row r="580" spans="1:3" x14ac:dyDescent="0.25">
      <c r="A580" t="s">
        <v>89</v>
      </c>
      <c r="B580" s="1" t="s">
        <v>22</v>
      </c>
      <c r="C580" s="2">
        <v>12985038</v>
      </c>
    </row>
    <row r="581" spans="1:3" x14ac:dyDescent="0.25">
      <c r="A581" t="s">
        <v>89</v>
      </c>
      <c r="B581" s="1" t="s">
        <v>23</v>
      </c>
      <c r="C581" s="8">
        <v>13898775</v>
      </c>
    </row>
    <row r="582" spans="1:3" x14ac:dyDescent="0.25">
      <c r="A582" t="s">
        <v>90</v>
      </c>
      <c r="B582" s="1" t="s">
        <v>4</v>
      </c>
      <c r="C582" s="2">
        <v>15987385</v>
      </c>
    </row>
    <row r="583" spans="1:3" x14ac:dyDescent="0.25">
      <c r="A583" t="s">
        <v>90</v>
      </c>
      <c r="B583" s="1" t="s">
        <v>5</v>
      </c>
      <c r="C583" s="2">
        <v>15609436</v>
      </c>
    </row>
    <row r="584" spans="1:3" x14ac:dyDescent="0.25">
      <c r="A584" t="s">
        <v>90</v>
      </c>
      <c r="B584" s="1" t="s">
        <v>6</v>
      </c>
      <c r="C584" s="2">
        <v>15592687</v>
      </c>
    </row>
    <row r="585" spans="1:3" x14ac:dyDescent="0.25">
      <c r="A585" t="s">
        <v>90</v>
      </c>
      <c r="B585" s="1" t="s">
        <v>7</v>
      </c>
      <c r="C585" s="2">
        <v>15992475</v>
      </c>
    </row>
    <row r="586" spans="1:3" x14ac:dyDescent="0.25">
      <c r="A586" t="s">
        <v>90</v>
      </c>
      <c r="B586" s="1" t="s">
        <v>8</v>
      </c>
      <c r="C586" s="2">
        <v>15559675</v>
      </c>
    </row>
    <row r="587" spans="1:3" x14ac:dyDescent="0.25">
      <c r="A587" t="s">
        <v>90</v>
      </c>
      <c r="B587" s="1" t="s">
        <v>9</v>
      </c>
      <c r="C587" s="2">
        <v>16182137</v>
      </c>
    </row>
    <row r="588" spans="1:3" x14ac:dyDescent="0.25">
      <c r="A588" t="s">
        <v>90</v>
      </c>
      <c r="B588" s="1" t="s">
        <v>10</v>
      </c>
      <c r="C588" s="2">
        <v>18098687</v>
      </c>
    </row>
    <row r="589" spans="1:3" x14ac:dyDescent="0.25">
      <c r="A589" t="s">
        <v>90</v>
      </c>
      <c r="B589" s="1" t="s">
        <v>11</v>
      </c>
      <c r="C589" s="2">
        <v>18893684</v>
      </c>
    </row>
    <row r="590" spans="1:3" x14ac:dyDescent="0.25">
      <c r="A590" t="s">
        <v>90</v>
      </c>
      <c r="B590" s="1" t="s">
        <v>12</v>
      </c>
      <c r="C590" s="2">
        <v>20096332</v>
      </c>
    </row>
    <row r="591" spans="1:3" x14ac:dyDescent="0.25">
      <c r="A591" t="s">
        <v>90</v>
      </c>
      <c r="B591" s="1" t="s">
        <v>13</v>
      </c>
      <c r="C591" s="2">
        <v>19080739</v>
      </c>
    </row>
    <row r="592" spans="1:3" x14ac:dyDescent="0.25">
      <c r="A592" t="s">
        <v>90</v>
      </c>
      <c r="B592" s="1" t="s">
        <v>14</v>
      </c>
      <c r="C592" s="2">
        <v>25203507</v>
      </c>
    </row>
    <row r="593" spans="1:3" x14ac:dyDescent="0.25">
      <c r="A593" t="s">
        <v>90</v>
      </c>
      <c r="B593" s="1" t="s">
        <v>15</v>
      </c>
      <c r="C593" s="2">
        <v>25235573</v>
      </c>
    </row>
    <row r="594" spans="1:3" x14ac:dyDescent="0.25">
      <c r="A594" t="s">
        <v>90</v>
      </c>
      <c r="B594" s="1" t="s">
        <v>16</v>
      </c>
      <c r="C594" s="2">
        <v>25185291</v>
      </c>
    </row>
    <row r="595" spans="1:3" x14ac:dyDescent="0.25">
      <c r="A595" t="s">
        <v>90</v>
      </c>
      <c r="B595" s="1" t="s">
        <v>17</v>
      </c>
      <c r="C595" s="2">
        <v>25864195</v>
      </c>
    </row>
    <row r="596" spans="1:3" x14ac:dyDescent="0.25">
      <c r="A596" t="s">
        <v>90</v>
      </c>
      <c r="B596" s="1" t="s">
        <v>18</v>
      </c>
      <c r="C596" s="2">
        <v>26114159</v>
      </c>
    </row>
    <row r="597" spans="1:3" x14ac:dyDescent="0.25">
      <c r="A597" t="s">
        <v>90</v>
      </c>
      <c r="B597" s="1" t="s">
        <v>19</v>
      </c>
      <c r="C597" s="2">
        <v>26194548</v>
      </c>
    </row>
    <row r="598" spans="1:3" x14ac:dyDescent="0.25">
      <c r="A598" t="s">
        <v>90</v>
      </c>
      <c r="B598" s="1" t="s">
        <v>20</v>
      </c>
      <c r="C598" s="2">
        <v>26696706</v>
      </c>
    </row>
    <row r="599" spans="1:3" x14ac:dyDescent="0.25">
      <c r="A599" t="s">
        <v>90</v>
      </c>
      <c r="B599" s="1" t="s">
        <v>21</v>
      </c>
      <c r="C599" s="2">
        <v>25538254</v>
      </c>
    </row>
    <row r="600" spans="1:3" x14ac:dyDescent="0.25">
      <c r="A600" t="s">
        <v>90</v>
      </c>
      <c r="B600" s="1" t="s">
        <v>22</v>
      </c>
      <c r="C600" s="2">
        <v>24297260</v>
      </c>
    </row>
    <row r="601" spans="1:3" x14ac:dyDescent="0.25">
      <c r="A601" t="s">
        <v>90</v>
      </c>
      <c r="B601" s="1" t="s">
        <v>23</v>
      </c>
      <c r="C601" s="8">
        <v>25022953</v>
      </c>
    </row>
    <row r="602" spans="1:3" x14ac:dyDescent="0.25">
      <c r="A602" t="s">
        <v>91</v>
      </c>
      <c r="B602" s="1" t="s">
        <v>4</v>
      </c>
      <c r="C602" s="2">
        <v>16167261</v>
      </c>
    </row>
    <row r="603" spans="1:3" x14ac:dyDescent="0.25">
      <c r="A603" t="s">
        <v>91</v>
      </c>
      <c r="B603" s="1" t="s">
        <v>5</v>
      </c>
      <c r="C603" s="2">
        <v>16583425</v>
      </c>
    </row>
    <row r="604" spans="1:3" x14ac:dyDescent="0.25">
      <c r="A604" t="s">
        <v>91</v>
      </c>
      <c r="B604" s="1" t="s">
        <v>6</v>
      </c>
      <c r="C604" s="2">
        <v>18040803</v>
      </c>
    </row>
    <row r="605" spans="1:3" x14ac:dyDescent="0.25">
      <c r="A605" t="s">
        <v>91</v>
      </c>
      <c r="B605" s="1" t="s">
        <v>7</v>
      </c>
      <c r="C605" s="2">
        <v>18019614</v>
      </c>
    </row>
    <row r="606" spans="1:3" x14ac:dyDescent="0.25">
      <c r="A606" t="s">
        <v>91</v>
      </c>
      <c r="B606" s="1" t="s">
        <v>8</v>
      </c>
      <c r="C606" s="2">
        <v>18571790</v>
      </c>
    </row>
    <row r="607" spans="1:3" x14ac:dyDescent="0.25">
      <c r="A607" t="s">
        <v>91</v>
      </c>
      <c r="B607" s="1" t="s">
        <v>9</v>
      </c>
      <c r="C607" s="2">
        <v>18619215</v>
      </c>
    </row>
    <row r="608" spans="1:3" x14ac:dyDescent="0.25">
      <c r="A608" t="s">
        <v>91</v>
      </c>
      <c r="B608" s="1" t="s">
        <v>10</v>
      </c>
      <c r="C608" s="2">
        <v>19192375</v>
      </c>
    </row>
    <row r="609" spans="1:3" x14ac:dyDescent="0.25">
      <c r="A609" t="s">
        <v>91</v>
      </c>
      <c r="B609" s="1" t="s">
        <v>11</v>
      </c>
      <c r="C609" s="2">
        <v>18959622</v>
      </c>
    </row>
    <row r="610" spans="1:3" x14ac:dyDescent="0.25">
      <c r="A610" t="s">
        <v>91</v>
      </c>
      <c r="B610" s="1" t="s">
        <v>12</v>
      </c>
      <c r="C610" s="2">
        <v>17690259</v>
      </c>
    </row>
    <row r="611" spans="1:3" x14ac:dyDescent="0.25">
      <c r="A611" t="s">
        <v>91</v>
      </c>
      <c r="B611" s="1" t="s">
        <v>13</v>
      </c>
      <c r="C611" s="2">
        <v>17505428</v>
      </c>
    </row>
    <row r="612" spans="1:3" x14ac:dyDescent="0.25">
      <c r="A612" t="s">
        <v>91</v>
      </c>
      <c r="B612" s="1" t="s">
        <v>14</v>
      </c>
      <c r="C612" s="2">
        <v>19219430</v>
      </c>
    </row>
    <row r="613" spans="1:3" x14ac:dyDescent="0.25">
      <c r="A613" t="s">
        <v>91</v>
      </c>
      <c r="B613" s="1" t="s">
        <v>15</v>
      </c>
      <c r="C613" s="2">
        <v>20223558</v>
      </c>
    </row>
    <row r="614" spans="1:3" x14ac:dyDescent="0.25">
      <c r="A614" t="s">
        <v>91</v>
      </c>
      <c r="B614" s="1" t="s">
        <v>16</v>
      </c>
      <c r="C614" s="2">
        <v>20374452</v>
      </c>
    </row>
    <row r="615" spans="1:3" x14ac:dyDescent="0.25">
      <c r="A615" t="s">
        <v>91</v>
      </c>
      <c r="B615" s="1" t="s">
        <v>17</v>
      </c>
      <c r="C615" s="2">
        <v>23757582</v>
      </c>
    </row>
    <row r="616" spans="1:3" x14ac:dyDescent="0.25">
      <c r="A616" t="s">
        <v>91</v>
      </c>
      <c r="B616" s="1" t="s">
        <v>18</v>
      </c>
      <c r="C616" s="2">
        <v>22117070</v>
      </c>
    </row>
    <row r="617" spans="1:3" x14ac:dyDescent="0.25">
      <c r="A617" t="s">
        <v>91</v>
      </c>
      <c r="B617" s="1" t="s">
        <v>19</v>
      </c>
      <c r="C617" s="2">
        <v>22325884</v>
      </c>
    </row>
    <row r="618" spans="1:3" x14ac:dyDescent="0.25">
      <c r="A618" t="s">
        <v>91</v>
      </c>
      <c r="B618" s="1" t="s">
        <v>20</v>
      </c>
      <c r="C618" s="2">
        <v>22915126</v>
      </c>
    </row>
    <row r="619" spans="1:3" x14ac:dyDescent="0.25">
      <c r="A619" t="s">
        <v>91</v>
      </c>
      <c r="B619" s="1" t="s">
        <v>21</v>
      </c>
      <c r="C619" s="2">
        <v>20802912</v>
      </c>
    </row>
    <row r="620" spans="1:3" x14ac:dyDescent="0.25">
      <c r="A620" t="s">
        <v>91</v>
      </c>
      <c r="B620" s="1" t="s">
        <v>22</v>
      </c>
      <c r="C620" s="2">
        <v>20231240</v>
      </c>
    </row>
    <row r="621" spans="1:3" x14ac:dyDescent="0.25">
      <c r="A621" s="5" t="s">
        <v>91</v>
      </c>
      <c r="B621" s="1" t="s">
        <v>23</v>
      </c>
      <c r="C621" s="8"/>
    </row>
    <row r="622" spans="1:3" x14ac:dyDescent="0.25">
      <c r="A622" t="s">
        <v>92</v>
      </c>
      <c r="B622" s="1" t="s">
        <v>4</v>
      </c>
      <c r="C622" s="2">
        <v>4001326</v>
      </c>
    </row>
    <row r="623" spans="1:3" x14ac:dyDescent="0.25">
      <c r="A623" t="s">
        <v>92</v>
      </c>
      <c r="B623" s="1" t="s">
        <v>5</v>
      </c>
      <c r="C623" s="2">
        <v>4205730</v>
      </c>
    </row>
    <row r="624" spans="1:3" x14ac:dyDescent="0.25">
      <c r="A624" t="s">
        <v>92</v>
      </c>
      <c r="B624" s="1" t="s">
        <v>6</v>
      </c>
      <c r="C624" s="2">
        <v>3960060</v>
      </c>
    </row>
    <row r="625" spans="1:3" x14ac:dyDescent="0.25">
      <c r="A625" t="s">
        <v>92</v>
      </c>
      <c r="B625" s="1" t="s">
        <v>7</v>
      </c>
      <c r="C625" s="2">
        <v>4151151</v>
      </c>
    </row>
    <row r="626" spans="1:3" x14ac:dyDescent="0.25">
      <c r="A626" t="s">
        <v>92</v>
      </c>
      <c r="B626" s="1" t="s">
        <v>8</v>
      </c>
      <c r="C626" s="2">
        <v>4744593</v>
      </c>
    </row>
    <row r="627" spans="1:3" x14ac:dyDescent="0.25">
      <c r="A627" t="s">
        <v>92</v>
      </c>
      <c r="B627" s="1" t="s">
        <v>9</v>
      </c>
      <c r="C627" s="2">
        <v>4796302</v>
      </c>
    </row>
    <row r="628" spans="1:3" x14ac:dyDescent="0.25">
      <c r="A628" t="s">
        <v>92</v>
      </c>
      <c r="B628" s="1" t="s">
        <v>10</v>
      </c>
      <c r="C628" s="2">
        <v>7519690</v>
      </c>
    </row>
    <row r="629" spans="1:3" x14ac:dyDescent="0.25">
      <c r="A629" t="s">
        <v>92</v>
      </c>
      <c r="B629" s="1" t="s">
        <v>11</v>
      </c>
      <c r="C629" s="2">
        <v>6421844</v>
      </c>
    </row>
    <row r="630" spans="1:3" x14ac:dyDescent="0.25">
      <c r="A630" t="s">
        <v>92</v>
      </c>
      <c r="B630" s="1" t="s">
        <v>12</v>
      </c>
      <c r="C630" s="2">
        <v>6650706</v>
      </c>
    </row>
    <row r="631" spans="1:3" x14ac:dyDescent="0.25">
      <c r="A631" t="s">
        <v>92</v>
      </c>
      <c r="B631" s="1" t="s">
        <v>13</v>
      </c>
      <c r="C631" s="2">
        <v>6988894</v>
      </c>
    </row>
    <row r="632" spans="1:3" x14ac:dyDescent="0.25">
      <c r="A632" t="s">
        <v>92</v>
      </c>
      <c r="B632" s="1" t="s">
        <v>14</v>
      </c>
      <c r="C632" s="2">
        <v>8257403</v>
      </c>
    </row>
    <row r="633" spans="1:3" x14ac:dyDescent="0.25">
      <c r="A633" t="s">
        <v>92</v>
      </c>
      <c r="B633" s="1" t="s">
        <v>15</v>
      </c>
      <c r="C633" s="2">
        <v>9854035</v>
      </c>
    </row>
    <row r="634" spans="1:3" x14ac:dyDescent="0.25">
      <c r="A634" t="s">
        <v>92</v>
      </c>
      <c r="B634" s="1" t="s">
        <v>16</v>
      </c>
      <c r="C634" s="2">
        <v>10954831</v>
      </c>
    </row>
    <row r="635" spans="1:3" x14ac:dyDescent="0.25">
      <c r="A635" t="s">
        <v>92</v>
      </c>
      <c r="B635" s="1" t="s">
        <v>17</v>
      </c>
      <c r="C635" s="2">
        <v>11632495</v>
      </c>
    </row>
    <row r="636" spans="1:3" x14ac:dyDescent="0.25">
      <c r="A636" t="s">
        <v>92</v>
      </c>
      <c r="B636" s="1" t="s">
        <v>18</v>
      </c>
      <c r="C636" s="2">
        <v>12726871</v>
      </c>
    </row>
    <row r="637" spans="1:3" x14ac:dyDescent="0.25">
      <c r="A637" t="s">
        <v>92</v>
      </c>
      <c r="B637" s="1" t="s">
        <v>19</v>
      </c>
      <c r="C637" s="2">
        <v>14286910</v>
      </c>
    </row>
    <row r="638" spans="1:3" x14ac:dyDescent="0.25">
      <c r="A638" t="s">
        <v>92</v>
      </c>
      <c r="B638" s="1" t="s">
        <v>20</v>
      </c>
      <c r="C638" s="2">
        <v>14691788</v>
      </c>
    </row>
    <row r="639" spans="1:3" x14ac:dyDescent="0.25">
      <c r="A639" t="s">
        <v>92</v>
      </c>
      <c r="B639" s="1" t="s">
        <v>21</v>
      </c>
      <c r="C639" s="2">
        <v>15704747</v>
      </c>
    </row>
    <row r="640" spans="1:3" x14ac:dyDescent="0.25">
      <c r="A640" t="s">
        <v>92</v>
      </c>
      <c r="B640" s="1" t="s">
        <v>22</v>
      </c>
      <c r="C640" s="2">
        <v>16630906</v>
      </c>
    </row>
    <row r="641" spans="1:3" x14ac:dyDescent="0.25">
      <c r="A641" t="s">
        <v>92</v>
      </c>
      <c r="B641" s="1" t="s">
        <v>23</v>
      </c>
      <c r="C641" s="8">
        <v>18304587</v>
      </c>
    </row>
    <row r="642" spans="1:3" x14ac:dyDescent="0.25">
      <c r="A642" t="s">
        <v>44</v>
      </c>
      <c r="B642" s="1" t="s">
        <v>4</v>
      </c>
      <c r="C642" s="2">
        <v>87038389</v>
      </c>
    </row>
    <row r="643" spans="1:3" x14ac:dyDescent="0.25">
      <c r="A643" t="s">
        <v>44</v>
      </c>
      <c r="B643" s="1" t="s">
        <v>5</v>
      </c>
      <c r="C643" s="2">
        <v>90422307</v>
      </c>
    </row>
    <row r="644" spans="1:3" x14ac:dyDescent="0.25">
      <c r="A644" t="s">
        <v>44</v>
      </c>
      <c r="B644" s="1" t="s">
        <v>6</v>
      </c>
      <c r="C644" s="2">
        <v>88010091</v>
      </c>
    </row>
    <row r="645" spans="1:3" x14ac:dyDescent="0.25">
      <c r="A645" t="s">
        <v>44</v>
      </c>
      <c r="B645" s="1" t="s">
        <v>7</v>
      </c>
      <c r="C645" s="2">
        <v>91129570</v>
      </c>
    </row>
    <row r="646" spans="1:3" x14ac:dyDescent="0.25">
      <c r="A646" t="s">
        <v>44</v>
      </c>
      <c r="B646" s="1" t="s">
        <v>8</v>
      </c>
      <c r="C646" s="2">
        <v>180862270</v>
      </c>
    </row>
    <row r="647" spans="1:3" x14ac:dyDescent="0.25">
      <c r="A647" t="s">
        <v>44</v>
      </c>
      <c r="B647" s="1" t="s">
        <v>9</v>
      </c>
      <c r="C647" s="2">
        <v>174361099</v>
      </c>
    </row>
    <row r="648" spans="1:3" x14ac:dyDescent="0.25">
      <c r="A648" t="s">
        <v>44</v>
      </c>
      <c r="B648" s="1" t="s">
        <v>10</v>
      </c>
      <c r="C648" s="2">
        <v>168918673</v>
      </c>
    </row>
    <row r="649" spans="1:3" x14ac:dyDescent="0.25">
      <c r="A649" t="s">
        <v>44</v>
      </c>
      <c r="B649" s="1" t="s">
        <v>11</v>
      </c>
      <c r="C649" s="2">
        <v>167492734</v>
      </c>
    </row>
    <row r="650" spans="1:3" x14ac:dyDescent="0.25">
      <c r="A650" t="s">
        <v>44</v>
      </c>
      <c r="B650" s="1" t="s">
        <v>12</v>
      </c>
      <c r="C650" s="2">
        <v>184954549</v>
      </c>
    </row>
    <row r="651" spans="1:3" x14ac:dyDescent="0.25">
      <c r="A651" t="s">
        <v>44</v>
      </c>
      <c r="B651" s="1" t="s">
        <v>13</v>
      </c>
      <c r="C651" s="2">
        <v>171167512</v>
      </c>
    </row>
    <row r="652" spans="1:3" x14ac:dyDescent="0.25">
      <c r="A652" t="s">
        <v>44</v>
      </c>
      <c r="B652" s="1" t="s">
        <v>14</v>
      </c>
      <c r="C652" s="2">
        <v>172873156</v>
      </c>
    </row>
    <row r="653" spans="1:3" x14ac:dyDescent="0.25">
      <c r="A653" t="s">
        <v>44</v>
      </c>
      <c r="B653" s="1" t="s">
        <v>15</v>
      </c>
      <c r="C653" s="2">
        <v>168178044</v>
      </c>
    </row>
    <row r="654" spans="1:3" x14ac:dyDescent="0.25">
      <c r="A654" t="s">
        <v>44</v>
      </c>
      <c r="B654" s="1" t="s">
        <v>16</v>
      </c>
      <c r="C654" s="2">
        <v>158693638</v>
      </c>
    </row>
    <row r="655" spans="1:3" x14ac:dyDescent="0.25">
      <c r="A655" t="s">
        <v>44</v>
      </c>
      <c r="B655" s="1" t="s">
        <v>17</v>
      </c>
      <c r="C655" s="2">
        <v>159757227</v>
      </c>
    </row>
    <row r="656" spans="1:3" x14ac:dyDescent="0.25">
      <c r="A656" t="s">
        <v>44</v>
      </c>
      <c r="B656" s="1" t="s">
        <v>18</v>
      </c>
      <c r="C656" s="2">
        <v>166453972</v>
      </c>
    </row>
    <row r="657" spans="1:3" x14ac:dyDescent="0.25">
      <c r="A657" t="s">
        <v>44</v>
      </c>
      <c r="B657" s="1" t="s">
        <v>19</v>
      </c>
      <c r="C657" s="2">
        <v>174601315</v>
      </c>
    </row>
    <row r="658" spans="1:3" x14ac:dyDescent="0.25">
      <c r="A658" t="s">
        <v>44</v>
      </c>
      <c r="B658" s="1" t="s">
        <v>20</v>
      </c>
      <c r="C658" s="2">
        <v>174447329</v>
      </c>
    </row>
    <row r="659" spans="1:3" x14ac:dyDescent="0.25">
      <c r="A659" t="s">
        <v>44</v>
      </c>
      <c r="B659" s="1" t="s">
        <v>21</v>
      </c>
      <c r="C659" s="2">
        <v>176694824</v>
      </c>
    </row>
    <row r="660" spans="1:3" x14ac:dyDescent="0.25">
      <c r="A660" t="s">
        <v>44</v>
      </c>
      <c r="B660" s="1" t="s">
        <v>22</v>
      </c>
      <c r="C660" s="2">
        <v>180585841</v>
      </c>
    </row>
    <row r="661" spans="1:3" x14ac:dyDescent="0.25">
      <c r="A661" t="s">
        <v>44</v>
      </c>
      <c r="B661" s="1" t="s">
        <v>23</v>
      </c>
      <c r="C661" s="7">
        <v>189241556</v>
      </c>
    </row>
    <row r="662" spans="1:3" x14ac:dyDescent="0.25">
      <c r="A662" t="s">
        <v>93</v>
      </c>
      <c r="B662" s="1" t="s">
        <v>4</v>
      </c>
      <c r="C662" s="2">
        <v>793079</v>
      </c>
    </row>
    <row r="663" spans="1:3" x14ac:dyDescent="0.25">
      <c r="A663" t="s">
        <v>93</v>
      </c>
      <c r="B663" s="1" t="s">
        <v>5</v>
      </c>
      <c r="C663" s="2">
        <v>851525</v>
      </c>
    </row>
    <row r="664" spans="1:3" x14ac:dyDescent="0.25">
      <c r="A664" t="s">
        <v>93</v>
      </c>
      <c r="B664" s="1" t="s">
        <v>6</v>
      </c>
      <c r="C664" s="2">
        <v>857726</v>
      </c>
    </row>
    <row r="665" spans="1:3" x14ac:dyDescent="0.25">
      <c r="A665" t="s">
        <v>93</v>
      </c>
      <c r="B665" s="1" t="s">
        <v>7</v>
      </c>
      <c r="C665" s="2">
        <v>866346</v>
      </c>
    </row>
    <row r="666" spans="1:3" x14ac:dyDescent="0.25">
      <c r="A666" t="s">
        <v>93</v>
      </c>
      <c r="B666" s="1" t="s">
        <v>8</v>
      </c>
      <c r="C666" s="2">
        <v>866024</v>
      </c>
    </row>
    <row r="667" spans="1:3" x14ac:dyDescent="0.25">
      <c r="A667" t="s">
        <v>93</v>
      </c>
      <c r="B667" s="1" t="s">
        <v>9</v>
      </c>
      <c r="C667" s="2">
        <v>859906</v>
      </c>
    </row>
    <row r="668" spans="1:3" x14ac:dyDescent="0.25">
      <c r="A668" t="s">
        <v>93</v>
      </c>
      <c r="B668" s="1" t="s">
        <v>10</v>
      </c>
      <c r="C668" s="2">
        <v>900839</v>
      </c>
    </row>
    <row r="669" spans="1:3" x14ac:dyDescent="0.25">
      <c r="A669" t="s">
        <v>93</v>
      </c>
      <c r="B669" s="1" t="s">
        <v>11</v>
      </c>
      <c r="C669" s="2">
        <v>922258</v>
      </c>
    </row>
    <row r="670" spans="1:3" x14ac:dyDescent="0.25">
      <c r="A670" t="s">
        <v>93</v>
      </c>
      <c r="B670" s="1" t="s">
        <v>12</v>
      </c>
      <c r="C670" s="2">
        <v>954425</v>
      </c>
    </row>
    <row r="671" spans="1:3" x14ac:dyDescent="0.25">
      <c r="A671" t="s">
        <v>93</v>
      </c>
      <c r="B671" s="1" t="s">
        <v>13</v>
      </c>
      <c r="C671" s="2">
        <v>992526</v>
      </c>
    </row>
    <row r="672" spans="1:3" x14ac:dyDescent="0.25">
      <c r="A672" t="s">
        <v>93</v>
      </c>
      <c r="B672" s="1" t="s">
        <v>14</v>
      </c>
      <c r="C672" s="2">
        <v>1185309</v>
      </c>
    </row>
    <row r="673" spans="1:3" x14ac:dyDescent="0.25">
      <c r="A673" t="s">
        <v>93</v>
      </c>
      <c r="B673" s="1" t="s">
        <v>15</v>
      </c>
      <c r="C673" s="2">
        <v>1441234</v>
      </c>
    </row>
    <row r="674" spans="1:3" x14ac:dyDescent="0.25">
      <c r="A674" t="s">
        <v>93</v>
      </c>
      <c r="B674" s="1" t="s">
        <v>16</v>
      </c>
      <c r="C674" s="2">
        <v>1445180</v>
      </c>
    </row>
    <row r="675" spans="1:3" x14ac:dyDescent="0.25">
      <c r="A675" t="s">
        <v>93</v>
      </c>
      <c r="B675" s="1" t="s">
        <v>17</v>
      </c>
      <c r="C675" s="2">
        <v>1598217</v>
      </c>
    </row>
    <row r="676" spans="1:3" x14ac:dyDescent="0.25">
      <c r="A676" t="s">
        <v>93</v>
      </c>
      <c r="B676" s="1" t="s">
        <v>18</v>
      </c>
      <c r="C676" s="2">
        <v>1589020</v>
      </c>
    </row>
    <row r="677" spans="1:3" x14ac:dyDescent="0.25">
      <c r="A677" t="s">
        <v>93</v>
      </c>
      <c r="B677" s="1" t="s">
        <v>19</v>
      </c>
      <c r="C677" s="2">
        <v>2476075</v>
      </c>
    </row>
    <row r="678" spans="1:3" x14ac:dyDescent="0.25">
      <c r="A678" t="s">
        <v>93</v>
      </c>
      <c r="B678" s="1" t="s">
        <v>20</v>
      </c>
      <c r="C678" s="2">
        <v>3360033</v>
      </c>
    </row>
    <row r="679" spans="1:3" x14ac:dyDescent="0.25">
      <c r="A679" t="s">
        <v>93</v>
      </c>
      <c r="B679" s="1" t="s">
        <v>21</v>
      </c>
      <c r="C679" s="7">
        <v>3028726</v>
      </c>
    </row>
    <row r="680" spans="1:3" x14ac:dyDescent="0.25">
      <c r="A680" t="s">
        <v>93</v>
      </c>
      <c r="B680" s="1" t="s">
        <v>22</v>
      </c>
      <c r="C680" s="2">
        <v>2837812</v>
      </c>
    </row>
    <row r="681" spans="1:3" x14ac:dyDescent="0.25">
      <c r="A681" s="5" t="s">
        <v>93</v>
      </c>
      <c r="B681" s="1" t="s">
        <v>23</v>
      </c>
      <c r="C681" s="11"/>
    </row>
    <row r="682" spans="1:3" x14ac:dyDescent="0.25">
      <c r="A682" t="s">
        <v>94</v>
      </c>
      <c r="B682" s="1" t="s">
        <v>4</v>
      </c>
      <c r="C682" s="2">
        <v>4898594</v>
      </c>
    </row>
    <row r="683" spans="1:3" x14ac:dyDescent="0.25">
      <c r="A683" t="s">
        <v>94</v>
      </c>
      <c r="B683" s="1" t="s">
        <v>5</v>
      </c>
      <c r="C683" s="2">
        <v>4951852</v>
      </c>
    </row>
    <row r="684" spans="1:3" x14ac:dyDescent="0.25">
      <c r="A684" t="s">
        <v>94</v>
      </c>
      <c r="B684" s="1" t="s">
        <v>6</v>
      </c>
      <c r="C684" s="2">
        <v>4886436</v>
      </c>
    </row>
    <row r="685" spans="1:3" x14ac:dyDescent="0.25">
      <c r="A685" t="s">
        <v>94</v>
      </c>
      <c r="B685" s="1" t="s">
        <v>7</v>
      </c>
      <c r="C685" s="2">
        <v>4533729</v>
      </c>
    </row>
    <row r="686" spans="1:3" x14ac:dyDescent="0.25">
      <c r="A686" t="s">
        <v>94</v>
      </c>
      <c r="B686" s="1" t="s">
        <v>8</v>
      </c>
      <c r="C686" s="2">
        <v>4810523</v>
      </c>
    </row>
    <row r="687" spans="1:3" x14ac:dyDescent="0.25">
      <c r="A687" t="s">
        <v>94</v>
      </c>
      <c r="B687" s="1" t="s">
        <v>9</v>
      </c>
      <c r="C687" s="2">
        <v>4731855</v>
      </c>
    </row>
    <row r="688" spans="1:3" x14ac:dyDescent="0.25">
      <c r="A688" t="s">
        <v>94</v>
      </c>
      <c r="B688" s="1" t="s">
        <v>10</v>
      </c>
      <c r="C688" s="2">
        <v>5209200</v>
      </c>
    </row>
    <row r="689" spans="1:3" x14ac:dyDescent="0.25">
      <c r="A689" t="s">
        <v>94</v>
      </c>
      <c r="B689" s="1" t="s">
        <v>11</v>
      </c>
      <c r="C689" s="2">
        <v>5123734</v>
      </c>
    </row>
    <row r="690" spans="1:3" x14ac:dyDescent="0.25">
      <c r="A690" t="s">
        <v>94</v>
      </c>
      <c r="B690" s="1" t="s">
        <v>12</v>
      </c>
      <c r="C690" s="2">
        <v>4846528</v>
      </c>
    </row>
    <row r="691" spans="1:3" x14ac:dyDescent="0.25">
      <c r="A691" t="s">
        <v>94</v>
      </c>
      <c r="B691" s="1" t="s">
        <v>13</v>
      </c>
      <c r="C691" s="2">
        <v>3997786</v>
      </c>
    </row>
    <row r="692" spans="1:3" x14ac:dyDescent="0.25">
      <c r="A692" t="s">
        <v>94</v>
      </c>
      <c r="B692" s="1" t="s">
        <v>14</v>
      </c>
      <c r="C692" s="2">
        <v>4284675</v>
      </c>
    </row>
    <row r="693" spans="1:3" x14ac:dyDescent="0.25">
      <c r="A693" t="s">
        <v>94</v>
      </c>
      <c r="B693" s="1" t="s">
        <v>15</v>
      </c>
      <c r="C693" s="2">
        <v>5421324</v>
      </c>
    </row>
    <row r="694" spans="1:3" x14ac:dyDescent="0.25">
      <c r="A694" t="s">
        <v>94</v>
      </c>
      <c r="B694" s="1" t="s">
        <v>16</v>
      </c>
      <c r="C694" s="2">
        <v>5736039</v>
      </c>
    </row>
    <row r="695" spans="1:3" x14ac:dyDescent="0.25">
      <c r="A695" t="s">
        <v>94</v>
      </c>
      <c r="B695" s="1" t="s">
        <v>17</v>
      </c>
      <c r="C695" s="2">
        <v>6992560</v>
      </c>
    </row>
    <row r="696" spans="1:3" x14ac:dyDescent="0.25">
      <c r="A696" t="s">
        <v>94</v>
      </c>
      <c r="B696" s="1" t="s">
        <v>18</v>
      </c>
      <c r="C696" s="2">
        <v>8086562</v>
      </c>
    </row>
    <row r="697" spans="1:3" x14ac:dyDescent="0.25">
      <c r="A697" t="s">
        <v>94</v>
      </c>
      <c r="B697" s="1" t="s">
        <v>19</v>
      </c>
      <c r="C697" s="2">
        <v>11337809</v>
      </c>
    </row>
    <row r="698" spans="1:3" x14ac:dyDescent="0.25">
      <c r="A698" t="s">
        <v>94</v>
      </c>
      <c r="B698" s="1" t="s">
        <v>20</v>
      </c>
      <c r="C698" s="2">
        <v>12529170</v>
      </c>
    </row>
    <row r="699" spans="1:3" x14ac:dyDescent="0.25">
      <c r="A699" t="s">
        <v>94</v>
      </c>
      <c r="B699" s="1" t="s">
        <v>21</v>
      </c>
      <c r="C699" s="2">
        <v>14362926</v>
      </c>
    </row>
    <row r="700" spans="1:3" x14ac:dyDescent="0.25">
      <c r="A700" t="s">
        <v>94</v>
      </c>
      <c r="B700" s="1" t="s">
        <v>22</v>
      </c>
      <c r="C700" s="2">
        <v>15997627</v>
      </c>
    </row>
    <row r="701" spans="1:3" x14ac:dyDescent="0.25">
      <c r="A701" s="5" t="s">
        <v>94</v>
      </c>
      <c r="B701" s="1" t="s">
        <v>23</v>
      </c>
    </row>
    <row r="702" spans="1:3" x14ac:dyDescent="0.25">
      <c r="A702" t="s">
        <v>95</v>
      </c>
      <c r="B702" s="1" t="s">
        <v>4</v>
      </c>
      <c r="C702" s="2">
        <v>10508569</v>
      </c>
    </row>
    <row r="703" spans="1:3" x14ac:dyDescent="0.25">
      <c r="A703" t="s">
        <v>95</v>
      </c>
      <c r="B703" s="1" t="s">
        <v>5</v>
      </c>
      <c r="C703" s="2">
        <v>10042003</v>
      </c>
    </row>
    <row r="704" spans="1:3" x14ac:dyDescent="0.25">
      <c r="A704" t="s">
        <v>95</v>
      </c>
      <c r="B704" s="1" t="s">
        <v>6</v>
      </c>
      <c r="C704" s="2">
        <v>10407053</v>
      </c>
    </row>
    <row r="705" spans="1:3" x14ac:dyDescent="0.25">
      <c r="A705" t="s">
        <v>95</v>
      </c>
      <c r="B705" s="1" t="s">
        <v>7</v>
      </c>
      <c r="C705" s="2">
        <v>11793981</v>
      </c>
    </row>
    <row r="706" spans="1:3" x14ac:dyDescent="0.25">
      <c r="A706" t="s">
        <v>95</v>
      </c>
      <c r="B706" s="1" t="s">
        <v>8</v>
      </c>
      <c r="C706" s="2">
        <v>11989767</v>
      </c>
    </row>
    <row r="707" spans="1:3" x14ac:dyDescent="0.25">
      <c r="A707" t="s">
        <v>95</v>
      </c>
      <c r="B707" s="1" t="s">
        <v>9</v>
      </c>
      <c r="C707" s="2">
        <v>12084529</v>
      </c>
    </row>
    <row r="708" spans="1:3" x14ac:dyDescent="0.25">
      <c r="A708" t="s">
        <v>95</v>
      </c>
      <c r="B708" s="1" t="s">
        <v>10</v>
      </c>
      <c r="C708" s="2">
        <v>12079029</v>
      </c>
    </row>
    <row r="709" spans="1:3" x14ac:dyDescent="0.25">
      <c r="A709" t="s">
        <v>95</v>
      </c>
      <c r="B709" s="1" t="s">
        <v>11</v>
      </c>
      <c r="C709" s="2">
        <v>13147503</v>
      </c>
    </row>
    <row r="710" spans="1:3" x14ac:dyDescent="0.25">
      <c r="A710" t="s">
        <v>95</v>
      </c>
      <c r="B710" s="1" t="s">
        <v>12</v>
      </c>
      <c r="C710" s="2">
        <v>12811325</v>
      </c>
    </row>
    <row r="711" spans="1:3" x14ac:dyDescent="0.25">
      <c r="A711" t="s">
        <v>95</v>
      </c>
      <c r="B711" s="1" t="s">
        <v>13</v>
      </c>
      <c r="C711" s="2">
        <v>12675712</v>
      </c>
    </row>
    <row r="712" spans="1:3" x14ac:dyDescent="0.25">
      <c r="A712" t="s">
        <v>95</v>
      </c>
      <c r="B712" s="1" t="s">
        <v>14</v>
      </c>
      <c r="C712" s="2">
        <v>12274400</v>
      </c>
    </row>
    <row r="713" spans="1:3" x14ac:dyDescent="0.25">
      <c r="A713" t="s">
        <v>95</v>
      </c>
      <c r="B713" s="1" t="s">
        <v>15</v>
      </c>
      <c r="C713" s="2">
        <v>13737934</v>
      </c>
    </row>
    <row r="714" spans="1:3" x14ac:dyDescent="0.25">
      <c r="A714" t="s">
        <v>95</v>
      </c>
      <c r="B714" s="1" t="s">
        <v>16</v>
      </c>
      <c r="C714" s="2">
        <v>14466968</v>
      </c>
    </row>
    <row r="715" spans="1:3" x14ac:dyDescent="0.25">
      <c r="A715" t="s">
        <v>95</v>
      </c>
      <c r="B715" s="1" t="s">
        <v>17</v>
      </c>
      <c r="C715" s="2">
        <v>15668143</v>
      </c>
    </row>
    <row r="716" spans="1:3" x14ac:dyDescent="0.25">
      <c r="A716" t="s">
        <v>95</v>
      </c>
      <c r="B716" s="1" t="s">
        <v>18</v>
      </c>
      <c r="C716" s="2">
        <v>16356627</v>
      </c>
    </row>
    <row r="717" spans="1:3" x14ac:dyDescent="0.25">
      <c r="A717" t="s">
        <v>95</v>
      </c>
      <c r="B717" s="1" t="s">
        <v>19</v>
      </c>
      <c r="C717" s="2">
        <v>20742643</v>
      </c>
    </row>
    <row r="718" spans="1:3" x14ac:dyDescent="0.25">
      <c r="A718" t="s">
        <v>95</v>
      </c>
      <c r="B718" s="1" t="s">
        <v>20</v>
      </c>
      <c r="C718" s="2">
        <v>20543807</v>
      </c>
    </row>
    <row r="719" spans="1:3" x14ac:dyDescent="0.25">
      <c r="A719" t="s">
        <v>95</v>
      </c>
      <c r="B719" s="1" t="s">
        <v>21</v>
      </c>
      <c r="C719" s="2">
        <v>21433136</v>
      </c>
    </row>
    <row r="720" spans="1:3" x14ac:dyDescent="0.25">
      <c r="A720" t="s">
        <v>95</v>
      </c>
      <c r="B720" s="1" t="s">
        <v>22</v>
      </c>
      <c r="C720" s="2">
        <v>21257655</v>
      </c>
    </row>
    <row r="721" spans="1:3" x14ac:dyDescent="0.25">
      <c r="A721" t="s">
        <v>95</v>
      </c>
      <c r="B721" s="1" t="s">
        <v>23</v>
      </c>
      <c r="C721" s="2">
        <v>22116366</v>
      </c>
    </row>
    <row r="722" spans="1:3" x14ac:dyDescent="0.25">
      <c r="A722" t="s">
        <v>96</v>
      </c>
      <c r="B722" s="1" t="s">
        <v>4</v>
      </c>
      <c r="C722" s="2">
        <v>3253535</v>
      </c>
    </row>
    <row r="723" spans="1:3" x14ac:dyDescent="0.25">
      <c r="A723" t="s">
        <v>96</v>
      </c>
      <c r="B723" s="1" t="s">
        <v>5</v>
      </c>
      <c r="C723" s="2">
        <v>3327489</v>
      </c>
    </row>
    <row r="724" spans="1:3" x14ac:dyDescent="0.25">
      <c r="A724" t="s">
        <v>96</v>
      </c>
      <c r="B724" s="1" t="s">
        <v>6</v>
      </c>
      <c r="C724" s="2">
        <v>3654726</v>
      </c>
    </row>
    <row r="725" spans="1:3" x14ac:dyDescent="0.25">
      <c r="A725" t="s">
        <v>96</v>
      </c>
      <c r="B725" s="1" t="s">
        <v>7</v>
      </c>
      <c r="C725" s="2">
        <v>3854174</v>
      </c>
    </row>
    <row r="726" spans="1:3" x14ac:dyDescent="0.25">
      <c r="A726" t="s">
        <v>96</v>
      </c>
      <c r="B726" s="1" t="s">
        <v>8</v>
      </c>
      <c r="C726" s="2">
        <v>4093593</v>
      </c>
    </row>
    <row r="727" spans="1:3" x14ac:dyDescent="0.25">
      <c r="A727" t="s">
        <v>96</v>
      </c>
      <c r="B727" s="1" t="s">
        <v>9</v>
      </c>
      <c r="C727" s="2">
        <v>4306483</v>
      </c>
    </row>
    <row r="728" spans="1:3" x14ac:dyDescent="0.25">
      <c r="A728" t="s">
        <v>96</v>
      </c>
      <c r="B728" s="1" t="s">
        <v>10</v>
      </c>
      <c r="C728" s="2">
        <v>4523152</v>
      </c>
    </row>
    <row r="729" spans="1:3" x14ac:dyDescent="0.25">
      <c r="A729" t="s">
        <v>96</v>
      </c>
      <c r="B729" s="1" t="s">
        <v>11</v>
      </c>
      <c r="C729" s="2">
        <v>5262429</v>
      </c>
    </row>
    <row r="730" spans="1:3" x14ac:dyDescent="0.25">
      <c r="A730" t="s">
        <v>96</v>
      </c>
      <c r="B730" s="1" t="s">
        <v>12</v>
      </c>
      <c r="C730" s="2">
        <v>5090699</v>
      </c>
    </row>
    <row r="731" spans="1:3" x14ac:dyDescent="0.25">
      <c r="A731" t="s">
        <v>96</v>
      </c>
      <c r="B731" s="1" t="s">
        <v>13</v>
      </c>
      <c r="C731" s="2">
        <v>5102129</v>
      </c>
    </row>
    <row r="732" spans="1:3" x14ac:dyDescent="0.25">
      <c r="A732" t="s">
        <v>96</v>
      </c>
      <c r="B732" s="1" t="s">
        <v>14</v>
      </c>
      <c r="C732" s="2">
        <v>5444124</v>
      </c>
    </row>
    <row r="733" spans="1:3" x14ac:dyDescent="0.25">
      <c r="A733" t="s">
        <v>96</v>
      </c>
      <c r="B733" s="1" t="s">
        <v>15</v>
      </c>
      <c r="C733" s="2">
        <v>8437685</v>
      </c>
    </row>
    <row r="734" spans="1:3" x14ac:dyDescent="0.25">
      <c r="A734" t="s">
        <v>96</v>
      </c>
      <c r="B734" s="1" t="s">
        <v>16</v>
      </c>
      <c r="C734" s="2">
        <v>10608863</v>
      </c>
    </row>
    <row r="735" spans="1:3" x14ac:dyDescent="0.25">
      <c r="A735" t="s">
        <v>96</v>
      </c>
      <c r="B735" s="1" t="s">
        <v>17</v>
      </c>
      <c r="C735" s="2">
        <v>11366057</v>
      </c>
    </row>
    <row r="736" spans="1:3" x14ac:dyDescent="0.25">
      <c r="A736" t="s">
        <v>96</v>
      </c>
      <c r="B736" s="1" t="s">
        <v>18</v>
      </c>
      <c r="C736" s="2">
        <v>11889656</v>
      </c>
    </row>
    <row r="737" spans="1:3" x14ac:dyDescent="0.25">
      <c r="A737" t="s">
        <v>96</v>
      </c>
      <c r="B737" s="1" t="s">
        <v>19</v>
      </c>
      <c r="C737" s="2">
        <v>15055850</v>
      </c>
    </row>
    <row r="738" spans="1:3" x14ac:dyDescent="0.25">
      <c r="A738" t="s">
        <v>96</v>
      </c>
      <c r="B738" s="1" t="s">
        <v>20</v>
      </c>
      <c r="C738" s="2">
        <v>17669162</v>
      </c>
    </row>
    <row r="739" spans="1:3" x14ac:dyDescent="0.25">
      <c r="A739" t="s">
        <v>96</v>
      </c>
      <c r="B739" s="1" t="s">
        <v>21</v>
      </c>
      <c r="C739" s="7">
        <v>19334975</v>
      </c>
    </row>
    <row r="740" spans="1:3" x14ac:dyDescent="0.25">
      <c r="A740" t="s">
        <v>96</v>
      </c>
      <c r="B740" s="1" t="s">
        <v>22</v>
      </c>
      <c r="C740" s="2">
        <v>20303526</v>
      </c>
    </row>
    <row r="741" spans="1:3" x14ac:dyDescent="0.25">
      <c r="A741" s="5" t="s">
        <v>96</v>
      </c>
      <c r="B741" s="1" t="s">
        <v>23</v>
      </c>
    </row>
    <row r="742" spans="1:3" x14ac:dyDescent="0.25">
      <c r="A742" t="s">
        <v>97</v>
      </c>
      <c r="B742" s="1" t="s">
        <v>4</v>
      </c>
      <c r="C742" s="2">
        <v>2471729</v>
      </c>
    </row>
    <row r="743" spans="1:3" x14ac:dyDescent="0.25">
      <c r="A743" t="s">
        <v>97</v>
      </c>
      <c r="B743" s="1" t="s">
        <v>5</v>
      </c>
      <c r="C743" s="2">
        <v>2460269</v>
      </c>
    </row>
    <row r="744" spans="1:3" x14ac:dyDescent="0.25">
      <c r="A744" t="s">
        <v>97</v>
      </c>
      <c r="B744" s="1" t="s">
        <v>6</v>
      </c>
      <c r="C744" s="2">
        <v>2352896</v>
      </c>
    </row>
    <row r="745" spans="1:3" x14ac:dyDescent="0.25">
      <c r="A745" t="s">
        <v>97</v>
      </c>
      <c r="B745" s="1" t="s">
        <v>7</v>
      </c>
      <c r="C745" s="2">
        <v>2534266</v>
      </c>
    </row>
    <row r="746" spans="1:3" x14ac:dyDescent="0.25">
      <c r="A746" t="s">
        <v>97</v>
      </c>
      <c r="B746" s="1" t="s">
        <v>8</v>
      </c>
      <c r="C746" s="2">
        <v>2351547</v>
      </c>
    </row>
    <row r="747" spans="1:3" x14ac:dyDescent="0.25">
      <c r="A747" t="s">
        <v>97</v>
      </c>
      <c r="B747" s="1" t="s">
        <v>9</v>
      </c>
      <c r="C747" s="2">
        <v>2420296</v>
      </c>
    </row>
    <row r="748" spans="1:3" x14ac:dyDescent="0.25">
      <c r="A748" t="s">
        <v>97</v>
      </c>
      <c r="B748" s="1" t="s">
        <v>10</v>
      </c>
      <c r="C748" s="2">
        <v>4522928</v>
      </c>
    </row>
    <row r="749" spans="1:3" x14ac:dyDescent="0.25">
      <c r="A749" t="s">
        <v>97</v>
      </c>
      <c r="B749" s="1" t="s">
        <v>11</v>
      </c>
      <c r="C749" s="2">
        <v>5108848</v>
      </c>
    </row>
    <row r="750" spans="1:3" x14ac:dyDescent="0.25">
      <c r="A750" t="s">
        <v>97</v>
      </c>
      <c r="B750" s="1" t="s">
        <v>12</v>
      </c>
      <c r="C750" s="2">
        <v>4838999</v>
      </c>
    </row>
    <row r="751" spans="1:3" x14ac:dyDescent="0.25">
      <c r="A751" t="s">
        <v>97</v>
      </c>
      <c r="B751" s="1" t="s">
        <v>13</v>
      </c>
      <c r="C751" s="2">
        <v>5020968</v>
      </c>
    </row>
    <row r="752" spans="1:3" x14ac:dyDescent="0.25">
      <c r="A752" t="s">
        <v>97</v>
      </c>
      <c r="B752" s="1" t="s">
        <v>14</v>
      </c>
      <c r="C752" s="2">
        <v>5316027</v>
      </c>
    </row>
    <row r="753" spans="1:3" x14ac:dyDescent="0.25">
      <c r="A753" t="s">
        <v>97</v>
      </c>
      <c r="B753" s="1" t="s">
        <v>15</v>
      </c>
      <c r="C753" s="2">
        <v>6275182</v>
      </c>
    </row>
    <row r="754" spans="1:3" x14ac:dyDescent="0.25">
      <c r="A754" t="s">
        <v>97</v>
      </c>
      <c r="B754" s="1" t="s">
        <v>16</v>
      </c>
      <c r="C754" s="2">
        <v>6466745</v>
      </c>
    </row>
    <row r="755" spans="1:3" x14ac:dyDescent="0.25">
      <c r="A755" t="s">
        <v>97</v>
      </c>
      <c r="B755" s="1" t="s">
        <v>17</v>
      </c>
      <c r="C755" s="2">
        <v>6802935</v>
      </c>
    </row>
    <row r="756" spans="1:3" x14ac:dyDescent="0.25">
      <c r="A756" t="s">
        <v>97</v>
      </c>
      <c r="B756" s="1" t="s">
        <v>18</v>
      </c>
      <c r="C756" s="2">
        <v>6752158</v>
      </c>
    </row>
    <row r="757" spans="1:3" x14ac:dyDescent="0.25">
      <c r="A757" t="s">
        <v>97</v>
      </c>
      <c r="B757" s="1" t="s">
        <v>19</v>
      </c>
      <c r="C757" s="2">
        <v>7721345</v>
      </c>
    </row>
    <row r="758" spans="1:3" x14ac:dyDescent="0.25">
      <c r="A758" t="s">
        <v>97</v>
      </c>
      <c r="B758" s="1" t="s">
        <v>20</v>
      </c>
      <c r="C758" s="2">
        <v>7081912</v>
      </c>
    </row>
    <row r="759" spans="1:3" x14ac:dyDescent="0.25">
      <c r="A759" t="s">
        <v>97</v>
      </c>
      <c r="B759" s="1" t="s">
        <v>21</v>
      </c>
      <c r="C759" s="2">
        <v>8510614</v>
      </c>
    </row>
    <row r="760" spans="1:3" x14ac:dyDescent="0.25">
      <c r="A760" t="s">
        <v>97</v>
      </c>
      <c r="B760" s="1" t="s">
        <v>22</v>
      </c>
      <c r="C760" s="2">
        <v>9449631</v>
      </c>
    </row>
    <row r="761" spans="1:3" x14ac:dyDescent="0.25">
      <c r="A761" t="s">
        <v>97</v>
      </c>
      <c r="B761" s="1" t="s">
        <v>23</v>
      </c>
      <c r="C761" s="8">
        <v>10183411</v>
      </c>
    </row>
    <row r="762" spans="1:3" x14ac:dyDescent="0.25">
      <c r="A762" t="s">
        <v>98</v>
      </c>
      <c r="B762" s="1" t="s">
        <v>4</v>
      </c>
      <c r="C762" s="2">
        <v>750122</v>
      </c>
    </row>
    <row r="763" spans="1:3" x14ac:dyDescent="0.25">
      <c r="A763" t="s">
        <v>98</v>
      </c>
      <c r="B763" s="1" t="s">
        <v>5</v>
      </c>
      <c r="C763" s="2">
        <v>758789</v>
      </c>
    </row>
    <row r="764" spans="1:3" x14ac:dyDescent="0.25">
      <c r="A764" t="s">
        <v>98</v>
      </c>
      <c r="B764" s="1" t="s">
        <v>6</v>
      </c>
      <c r="C764" s="2">
        <v>733303</v>
      </c>
    </row>
    <row r="765" spans="1:3" x14ac:dyDescent="0.25">
      <c r="A765" t="s">
        <v>98</v>
      </c>
      <c r="B765" s="1" t="s">
        <v>7</v>
      </c>
      <c r="C765" s="2">
        <v>664673</v>
      </c>
    </row>
    <row r="766" spans="1:3" x14ac:dyDescent="0.25">
      <c r="A766" t="s">
        <v>98</v>
      </c>
      <c r="B766" s="1" t="s">
        <v>8</v>
      </c>
      <c r="C766" s="2">
        <v>678937</v>
      </c>
    </row>
    <row r="767" spans="1:3" x14ac:dyDescent="0.25">
      <c r="A767" t="s">
        <v>98</v>
      </c>
      <c r="B767" s="1" t="s">
        <v>9</v>
      </c>
      <c r="C767" s="2">
        <v>694121</v>
      </c>
    </row>
    <row r="768" spans="1:3" x14ac:dyDescent="0.25">
      <c r="A768" t="s">
        <v>98</v>
      </c>
      <c r="B768" s="1" t="s">
        <v>10</v>
      </c>
      <c r="C768" s="2">
        <v>718949</v>
      </c>
    </row>
    <row r="769" spans="1:3" x14ac:dyDescent="0.25">
      <c r="A769" t="s">
        <v>98</v>
      </c>
      <c r="B769" s="1" t="s">
        <v>11</v>
      </c>
      <c r="C769" s="2">
        <v>1321057</v>
      </c>
    </row>
    <row r="770" spans="1:3" x14ac:dyDescent="0.25">
      <c r="A770" t="s">
        <v>98</v>
      </c>
      <c r="B770" s="1" t="s">
        <v>12</v>
      </c>
      <c r="C770" s="2">
        <v>1212735</v>
      </c>
    </row>
    <row r="771" spans="1:3" x14ac:dyDescent="0.25">
      <c r="A771" t="s">
        <v>98</v>
      </c>
      <c r="B771" s="1" t="s">
        <v>13</v>
      </c>
      <c r="C771" s="2">
        <v>1706564</v>
      </c>
    </row>
    <row r="772" spans="1:3" x14ac:dyDescent="0.25">
      <c r="A772" t="s">
        <v>98</v>
      </c>
      <c r="B772" s="1" t="s">
        <v>14</v>
      </c>
      <c r="C772" s="2">
        <v>1727087</v>
      </c>
    </row>
    <row r="773" spans="1:3" x14ac:dyDescent="0.25">
      <c r="A773" t="s">
        <v>98</v>
      </c>
      <c r="B773" s="1" t="s">
        <v>15</v>
      </c>
      <c r="C773" s="2">
        <v>2179873</v>
      </c>
    </row>
    <row r="774" spans="1:3" x14ac:dyDescent="0.25">
      <c r="A774" t="s">
        <v>98</v>
      </c>
      <c r="B774" s="1" t="s">
        <v>16</v>
      </c>
      <c r="C774" s="2">
        <v>9243671</v>
      </c>
    </row>
    <row r="775" spans="1:3" x14ac:dyDescent="0.25">
      <c r="A775" t="s">
        <v>98</v>
      </c>
      <c r="B775" s="1" t="s">
        <v>17</v>
      </c>
      <c r="C775" s="2">
        <v>10093317</v>
      </c>
    </row>
    <row r="776" spans="1:3" x14ac:dyDescent="0.25">
      <c r="A776" t="s">
        <v>98</v>
      </c>
      <c r="B776" s="1" t="s">
        <v>18</v>
      </c>
      <c r="C776" s="2">
        <v>10978255</v>
      </c>
    </row>
    <row r="777" spans="1:3" x14ac:dyDescent="0.25">
      <c r="A777" t="s">
        <v>98</v>
      </c>
      <c r="B777" s="1" t="s">
        <v>19</v>
      </c>
      <c r="C777" s="2">
        <v>12312422</v>
      </c>
    </row>
    <row r="778" spans="1:3" x14ac:dyDescent="0.25">
      <c r="A778" t="s">
        <v>98</v>
      </c>
      <c r="B778" s="1" t="s">
        <v>20</v>
      </c>
      <c r="C778" s="2">
        <v>12825240</v>
      </c>
    </row>
    <row r="779" spans="1:3" x14ac:dyDescent="0.25">
      <c r="A779" t="s">
        <v>98</v>
      </c>
      <c r="B779" s="1" t="s">
        <v>21</v>
      </c>
      <c r="C779" s="2">
        <v>14611943</v>
      </c>
    </row>
    <row r="780" spans="1:3" x14ac:dyDescent="0.25">
      <c r="A780" t="s">
        <v>98</v>
      </c>
      <c r="B780" s="1" t="s">
        <v>22</v>
      </c>
      <c r="C780" s="2">
        <v>15823104</v>
      </c>
    </row>
    <row r="781" spans="1:3" x14ac:dyDescent="0.25">
      <c r="A781" t="s">
        <v>98</v>
      </c>
      <c r="B781" s="1" t="s">
        <v>23</v>
      </c>
      <c r="C781" s="8">
        <v>16965295</v>
      </c>
    </row>
    <row r="782" spans="1:3" x14ac:dyDescent="0.25">
      <c r="A782" t="s">
        <v>99</v>
      </c>
      <c r="B782" s="1" t="s">
        <v>4</v>
      </c>
      <c r="C782" s="2">
        <v>28083808</v>
      </c>
    </row>
    <row r="783" spans="1:3" x14ac:dyDescent="0.25">
      <c r="A783" t="s">
        <v>99</v>
      </c>
      <c r="B783" s="1" t="s">
        <v>5</v>
      </c>
      <c r="C783" s="2">
        <v>27981409</v>
      </c>
    </row>
    <row r="784" spans="1:3" x14ac:dyDescent="0.25">
      <c r="A784" t="s">
        <v>99</v>
      </c>
      <c r="B784" s="1" t="s">
        <v>6</v>
      </c>
      <c r="C784" s="2">
        <v>25859776</v>
      </c>
    </row>
    <row r="785" spans="1:3" x14ac:dyDescent="0.25">
      <c r="A785" t="s">
        <v>99</v>
      </c>
      <c r="B785" s="1" t="s">
        <v>7</v>
      </c>
      <c r="C785" s="2">
        <v>28348692</v>
      </c>
    </row>
    <row r="786" spans="1:3" x14ac:dyDescent="0.25">
      <c r="A786" t="s">
        <v>99</v>
      </c>
      <c r="B786" s="1" t="s">
        <v>8</v>
      </c>
      <c r="C786" s="2">
        <v>26909979</v>
      </c>
    </row>
    <row r="787" spans="1:3" x14ac:dyDescent="0.25">
      <c r="A787" t="s">
        <v>99</v>
      </c>
      <c r="B787" s="1" t="s">
        <v>9</v>
      </c>
      <c r="C787" s="2">
        <v>27519034</v>
      </c>
    </row>
    <row r="788" spans="1:3" x14ac:dyDescent="0.25">
      <c r="A788" t="s">
        <v>99</v>
      </c>
      <c r="B788" s="1" t="s">
        <v>10</v>
      </c>
      <c r="C788" s="7">
        <v>29747933</v>
      </c>
    </row>
    <row r="789" spans="1:3" x14ac:dyDescent="0.25">
      <c r="A789" t="s">
        <v>99</v>
      </c>
      <c r="B789" s="1" t="s">
        <v>11</v>
      </c>
      <c r="C789" s="2">
        <v>28547933</v>
      </c>
    </row>
    <row r="790" spans="1:3" x14ac:dyDescent="0.25">
      <c r="A790" t="s">
        <v>99</v>
      </c>
      <c r="B790" s="1" t="s">
        <v>12</v>
      </c>
      <c r="C790" s="2">
        <v>25205810</v>
      </c>
    </row>
    <row r="791" spans="1:3" x14ac:dyDescent="0.25">
      <c r="A791" t="s">
        <v>99</v>
      </c>
      <c r="B791" s="1" t="s">
        <v>13</v>
      </c>
      <c r="C791" s="2">
        <v>22993363</v>
      </c>
    </row>
    <row r="792" spans="1:3" x14ac:dyDescent="0.25">
      <c r="A792" t="s">
        <v>99</v>
      </c>
      <c r="B792" s="1" t="s">
        <v>14</v>
      </c>
      <c r="C792" s="2">
        <v>22526998</v>
      </c>
    </row>
    <row r="793" spans="1:3" x14ac:dyDescent="0.25">
      <c r="A793" t="s">
        <v>99</v>
      </c>
      <c r="B793" s="1" t="s">
        <v>15</v>
      </c>
      <c r="C793" s="2">
        <v>24279916</v>
      </c>
    </row>
    <row r="794" spans="1:3" x14ac:dyDescent="0.25">
      <c r="A794" t="s">
        <v>99</v>
      </c>
      <c r="B794" s="1" t="s">
        <v>16</v>
      </c>
      <c r="C794" s="2">
        <v>22419948</v>
      </c>
    </row>
    <row r="795" spans="1:3" x14ac:dyDescent="0.25">
      <c r="A795" t="s">
        <v>99</v>
      </c>
      <c r="B795" s="1" t="s">
        <v>17</v>
      </c>
      <c r="C795" s="2">
        <v>22899717</v>
      </c>
    </row>
    <row r="796" spans="1:3" x14ac:dyDescent="0.25">
      <c r="A796" t="s">
        <v>99</v>
      </c>
      <c r="B796" s="1" t="s">
        <v>18</v>
      </c>
      <c r="C796" s="2">
        <v>22908791</v>
      </c>
    </row>
    <row r="797" spans="1:3" x14ac:dyDescent="0.25">
      <c r="A797" t="s">
        <v>99</v>
      </c>
      <c r="B797" s="1" t="s">
        <v>19</v>
      </c>
      <c r="C797" s="2">
        <v>23659941</v>
      </c>
    </row>
    <row r="798" spans="1:3" x14ac:dyDescent="0.25">
      <c r="A798" t="s">
        <v>99</v>
      </c>
      <c r="B798" s="1" t="s">
        <v>20</v>
      </c>
      <c r="C798" s="2">
        <v>24410895</v>
      </c>
    </row>
    <row r="799" spans="1:3" x14ac:dyDescent="0.25">
      <c r="A799" t="s">
        <v>99</v>
      </c>
      <c r="B799" s="1" t="s">
        <v>21</v>
      </c>
      <c r="C799" s="2">
        <v>23930534</v>
      </c>
    </row>
    <row r="800" spans="1:3" x14ac:dyDescent="0.25">
      <c r="A800" t="s">
        <v>99</v>
      </c>
      <c r="B800" s="1" t="s">
        <v>22</v>
      </c>
      <c r="C800" s="2">
        <v>24113196</v>
      </c>
    </row>
    <row r="801" spans="1:2" x14ac:dyDescent="0.25">
      <c r="A801" s="5" t="s">
        <v>99</v>
      </c>
      <c r="B801" s="1" t="s">
        <v>23</v>
      </c>
    </row>
    <row r="802" spans="1:2" x14ac:dyDescent="0.25">
      <c r="B802" s="1"/>
    </row>
    <row r="803" spans="1:2" x14ac:dyDescent="0.25">
      <c r="B803" s="1"/>
    </row>
    <row r="804" spans="1:2" x14ac:dyDescent="0.25">
      <c r="B804" s="1"/>
    </row>
    <row r="805" spans="1:2" x14ac:dyDescent="0.25">
      <c r="B805" s="1"/>
    </row>
    <row r="806" spans="1:2" x14ac:dyDescent="0.25">
      <c r="B806" s="1"/>
    </row>
    <row r="807" spans="1:2" x14ac:dyDescent="0.25">
      <c r="B807" s="1"/>
    </row>
    <row r="808" spans="1:2" x14ac:dyDescent="0.25">
      <c r="B808" s="1"/>
    </row>
    <row r="809" spans="1:2" x14ac:dyDescent="0.25">
      <c r="B809" s="1"/>
    </row>
    <row r="810" spans="1:2" x14ac:dyDescent="0.25">
      <c r="B810" s="1"/>
    </row>
    <row r="811" spans="1:2" x14ac:dyDescent="0.25">
      <c r="B811" s="1"/>
    </row>
    <row r="812" spans="1:2" x14ac:dyDescent="0.25">
      <c r="B812" s="1"/>
    </row>
    <row r="813" spans="1:2" x14ac:dyDescent="0.25">
      <c r="B813" s="1"/>
    </row>
    <row r="814" spans="1:2" x14ac:dyDescent="0.25">
      <c r="B814" s="1"/>
    </row>
    <row r="815" spans="1:2" x14ac:dyDescent="0.25">
      <c r="B815" s="1"/>
    </row>
    <row r="816" spans="1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pake yang ini</vt:lpstr>
      <vt:lpstr>2018</vt:lpstr>
      <vt:lpstr>coba</vt:lpstr>
      <vt:lpstr>2019</vt:lpstr>
      <vt:lpstr>2020</vt:lpstr>
      <vt:lpstr>2021</vt:lpstr>
      <vt:lpstr>2022</vt:lpstr>
      <vt:lpstr>Sheet1</vt:lpstr>
      <vt:lpstr>URUTAN ASET</vt:lpstr>
      <vt:lpstr>Sheet9</vt:lpstr>
      <vt:lpstr>ckpn</vt:lpstr>
      <vt:lpstr>loangrowth</vt:lpstr>
      <vt:lpstr>loangrowth1</vt:lpstr>
      <vt:lpstr>loangrowth2</vt:lpstr>
      <vt:lpstr>lar</vt:lpstr>
      <vt:lpstr>aset2017-2022</vt:lpstr>
      <vt:lpstr>bank size</vt:lpstr>
      <vt:lpstr>aset2018-2022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2023-03-25T03:01:51Z</dcterms:created>
  <dcterms:modified xsi:type="dcterms:W3CDTF">2023-03-31T02:07:48Z</dcterms:modified>
</cp:coreProperties>
</file>